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E2E37621-9942-4F3E-9A87-E8748F96004A}" xr6:coauthVersionLast="47" xr6:coauthVersionMax="47" xr10:uidLastSave="{00000000-0000-0000-0000-000000000000}"/>
  <bookViews>
    <workbookView xWindow="28680" yWindow="4920" windowWidth="29040" windowHeight="15720" activeTab="1" xr2:uid="{198B9485-C913-4F78-B2DC-00D171B18B4F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 l="1"/>
  <c r="C4" i="13"/>
  <c r="C6" i="13"/>
  <c r="C8" i="13"/>
  <c r="C10" i="13"/>
  <c r="D2" i="13"/>
  <c r="D6" i="13"/>
  <c r="D8" i="13"/>
  <c r="D10" i="13"/>
  <c r="E4" i="13"/>
  <c r="E6" i="13"/>
  <c r="E8" i="13"/>
  <c r="E10" i="13"/>
  <c r="F4" i="13"/>
  <c r="F6" i="13"/>
  <c r="F10" i="13"/>
  <c r="G4" i="13"/>
  <c r="G10" i="13"/>
  <c r="H4" i="13"/>
  <c r="H10" i="13"/>
  <c r="C9" i="13"/>
  <c r="D9" i="13"/>
  <c r="E5" i="13"/>
  <c r="D4" i="13"/>
  <c r="D7" i="13"/>
  <c r="F7" i="13"/>
  <c r="G7" i="13"/>
  <c r="H9" i="13"/>
  <c r="E2" i="13"/>
  <c r="G8" i="13"/>
  <c r="H6" i="13"/>
  <c r="C7" i="13"/>
  <c r="D5" i="13"/>
  <c r="E7" i="13"/>
  <c r="F5" i="13"/>
  <c r="G5" i="13"/>
  <c r="H5" i="13"/>
  <c r="F2" i="13"/>
  <c r="F8" i="13"/>
  <c r="G6" i="13"/>
  <c r="H2" i="13"/>
  <c r="H8" i="13"/>
  <c r="C5" i="13"/>
  <c r="E9" i="13"/>
  <c r="F9" i="13"/>
  <c r="G9" i="13"/>
  <c r="H7" i="13"/>
  <c r="G2" i="13"/>
  <c r="C3" i="13"/>
  <c r="B10" i="13"/>
  <c r="B9" i="13"/>
  <c r="B8" i="13"/>
  <c r="B7" i="13"/>
  <c r="B6" i="13"/>
  <c r="B5" i="13"/>
  <c r="B4" i="13"/>
  <c r="B3" i="13"/>
  <c r="B2" i="13"/>
  <c r="H4" i="17" l="1"/>
  <c r="H2" i="17"/>
  <c r="G3" i="17"/>
  <c r="F2" i="17"/>
  <c r="E4" i="17"/>
  <c r="C4" i="17"/>
  <c r="H3" i="17"/>
  <c r="G2" i="17"/>
  <c r="G4" i="17"/>
  <c r="F4" i="17"/>
  <c r="D4" i="17"/>
  <c r="F3" i="17"/>
  <c r="E2" i="17"/>
  <c r="E3" i="17"/>
  <c r="D2" i="17"/>
  <c r="D3" i="17"/>
  <c r="C2" i="17"/>
  <c r="C3" i="17"/>
  <c r="B4" i="17"/>
  <c r="B3" i="17"/>
  <c r="B2" i="17"/>
  <c r="F6" i="17" l="1"/>
  <c r="F7" i="17"/>
  <c r="H7" i="17"/>
  <c r="H6" i="17"/>
  <c r="G6" i="17"/>
  <c r="G7" i="17"/>
  <c r="C6" i="17"/>
  <c r="C7" i="17"/>
  <c r="D6" i="17"/>
  <c r="D7" i="17"/>
  <c r="E6" i="17"/>
  <c r="E7" i="17"/>
  <c r="B6" i="17"/>
  <c r="B7" i="17"/>
  <c r="J7" i="17" l="1"/>
  <c r="J6" i="17"/>
  <c r="B13" i="17" s="1"/>
  <c r="K7" i="17"/>
  <c r="L7" i="17"/>
  <c r="K6" i="17"/>
  <c r="N7" i="17" a="1"/>
  <c r="L6" i="17" l="1"/>
  <c r="N6" i="17" s="1" a="1"/>
  <c r="P6" i="17" s="1"/>
  <c r="N7" i="17"/>
  <c r="O7" i="17"/>
  <c r="P7" i="17"/>
  <c r="N6" i="17" l="1"/>
  <c r="O6" i="17"/>
  <c r="C13" i="17" s="1"/>
  <c r="D10" i="17"/>
  <c r="H10" i="17"/>
  <c r="C10" i="17"/>
  <c r="F10" i="17"/>
  <c r="E10" i="17"/>
  <c r="G10" i="17"/>
  <c r="B14" i="17"/>
  <c r="C14" i="17" s="1"/>
  <c r="B10" i="17"/>
  <c r="F9" i="17" l="1"/>
  <c r="G9" i="17"/>
  <c r="H9" i="17"/>
  <c r="C9" i="17"/>
  <c r="B9" i="17"/>
  <c r="E9" i="17"/>
  <c r="D9" i="17"/>
</calcChain>
</file>

<file path=xl/sharedStrings.xml><?xml version="1.0" encoding="utf-8"?>
<sst xmlns="http://schemas.openxmlformats.org/spreadsheetml/2006/main" count="599" uniqueCount="150">
  <si>
    <t xml:space="preserve"> </t>
  </si>
  <si>
    <t>061225-Glazner-4-Y06-39-c1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</si>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</sst>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758</c:v>
                </c:pt>
                <c:pt idx="1">
                  <c:v>759</c:v>
                </c:pt>
                <c:pt idx="2">
                  <c:v>759</c:v>
                </c:pt>
                <c:pt idx="3">
                  <c:v>759</c:v>
                </c:pt>
                <c:pt idx="4">
                  <c:v>765</c:v>
                </c:pt>
                <c:pt idx="5">
                  <c:v>775</c:v>
                </c:pt>
                <c:pt idx="6">
                  <c:v>788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7-4ED8-BFF8-F17556DDA4CC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B7-4ED8-BFF8-F17556DDA4CC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739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B7-4ED8-BFF8-F17556DDA4CC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739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B7-4ED8-BFF8-F17556DDA4CC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741</c:v>
                </c:pt>
                <c:pt idx="1">
                  <c:v>744</c:v>
                </c:pt>
                <c:pt idx="2">
                  <c:v>750</c:v>
                </c:pt>
                <c:pt idx="3">
                  <c:v>756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B7-4ED8-BFF8-F17556DDA4CC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740</c:v>
                </c:pt>
                <c:pt idx="1">
                  <c:v>744</c:v>
                </c:pt>
                <c:pt idx="2">
                  <c:v>748</c:v>
                </c:pt>
                <c:pt idx="3">
                  <c:v>752</c:v>
                </c:pt>
                <c:pt idx="4">
                  <c:v>758</c:v>
                </c:pt>
                <c:pt idx="5">
                  <c:v>764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3B7-4ED8-BFF8-F17556DDA4CC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758</c:v>
                </c:pt>
                <c:pt idx="3">
                  <c:v>759</c:v>
                </c:pt>
                <c:pt idx="4">
                  <c:v>762</c:v>
                </c:pt>
                <c:pt idx="5">
                  <c:v>768</c:v>
                </c:pt>
                <c:pt idx="6">
                  <c:v>777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3B7-4ED8-BFF8-F17556DDA4CC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758</c:v>
                </c:pt>
                <c:pt idx="1">
                  <c:v>759</c:v>
                </c:pt>
                <c:pt idx="2">
                  <c:v>759</c:v>
                </c:pt>
                <c:pt idx="3">
                  <c:v>759</c:v>
                </c:pt>
                <c:pt idx="4">
                  <c:v>765</c:v>
                </c:pt>
                <c:pt idx="5">
                  <c:v>775</c:v>
                </c:pt>
                <c:pt idx="6">
                  <c:v>788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23B7-4ED8-BFF8-F17556DDA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978672"/>
        <c:axId val="1739982032"/>
      </c:scatterChart>
      <c:valAx>
        <c:axId val="1739978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739982032"/>
        <c:crosses val="autoZero"/>
        <c:crossBetween val="midCat"/>
      </c:valAx>
      <c:valAx>
        <c:axId val="1739982032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73997867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758</c:v>
                </c:pt>
                <c:pt idx="3">
                  <c:v>759</c:v>
                </c:pt>
                <c:pt idx="4">
                  <c:v>762</c:v>
                </c:pt>
                <c:pt idx="5">
                  <c:v>768</c:v>
                </c:pt>
                <c:pt idx="6">
                  <c:v>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0C-413D-A2E5-10C9074DDAD2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741</c:v>
                </c:pt>
                <c:pt idx="1">
                  <c:v>744</c:v>
                </c:pt>
                <c:pt idx="2">
                  <c:v>750</c:v>
                </c:pt>
                <c:pt idx="3">
                  <c:v>756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0C-413D-A2E5-10C9074DDAD2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740</c:v>
                </c:pt>
                <c:pt idx="1">
                  <c:v>744</c:v>
                </c:pt>
                <c:pt idx="2">
                  <c:v>748</c:v>
                </c:pt>
                <c:pt idx="3">
                  <c:v>752</c:v>
                </c:pt>
                <c:pt idx="4">
                  <c:v>758</c:v>
                </c:pt>
                <c:pt idx="5">
                  <c:v>764</c:v>
                </c:pt>
                <c:pt idx="6">
                  <c:v>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0C-413D-A2E5-10C9074DD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332224"/>
        <c:axId val="1906333184"/>
      </c:scatterChart>
      <c:valAx>
        <c:axId val="190633222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06333184"/>
        <c:crosses val="autoZero"/>
        <c:crossBetween val="midCat"/>
      </c:valAx>
      <c:valAx>
        <c:axId val="190633318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0633222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758</c:v>
                </c:pt>
                <c:pt idx="3">
                  <c:v>759</c:v>
                </c:pt>
                <c:pt idx="4">
                  <c:v>762</c:v>
                </c:pt>
                <c:pt idx="5">
                  <c:v>768</c:v>
                </c:pt>
                <c:pt idx="6">
                  <c:v>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F0-48F4-935C-2883A07CDEDB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741</c:v>
                </c:pt>
                <c:pt idx="1">
                  <c:v>744</c:v>
                </c:pt>
                <c:pt idx="2">
                  <c:v>750</c:v>
                </c:pt>
                <c:pt idx="3">
                  <c:v>756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F0-48F4-935C-2883A07CD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978240"/>
        <c:axId val="1993976320"/>
      </c:scatterChart>
      <c:valAx>
        <c:axId val="19939782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3976320"/>
        <c:crosses val="autoZero"/>
        <c:crossBetween val="midCat"/>
      </c:valAx>
      <c:valAx>
        <c:axId val="199397632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397824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17</c:v>
                </c:pt>
                <c:pt idx="1">
                  <c:v>13</c:v>
                </c:pt>
                <c:pt idx="2">
                  <c:v>10</c:v>
                </c:pt>
                <c:pt idx="3">
                  <c:v>7</c:v>
                </c:pt>
                <c:pt idx="4">
                  <c:v>6</c:v>
                </c:pt>
                <c:pt idx="5">
                  <c:v>10</c:v>
                </c:pt>
                <c:pt idx="6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AF-440B-BFB4-FA2E2A008E87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AF-440B-BFB4-FA2E2A008E87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AF-440B-BFB4-FA2E2A008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417136"/>
        <c:axId val="1991418096"/>
      </c:scatterChart>
      <c:valAx>
        <c:axId val="19914171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1418096"/>
        <c:crosses val="autoZero"/>
        <c:crossBetween val="midCat"/>
      </c:valAx>
      <c:valAx>
        <c:axId val="199141809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141713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16</c:v>
                </c:pt>
                <c:pt idx="1">
                  <c:v>13</c:v>
                </c:pt>
                <c:pt idx="2">
                  <c:v>8</c:v>
                </c:pt>
                <c:pt idx="3">
                  <c:v>3</c:v>
                </c:pt>
                <c:pt idx="4">
                  <c:v>2</c:v>
                </c:pt>
                <c:pt idx="5">
                  <c:v>6</c:v>
                </c:pt>
                <c:pt idx="6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BA-46C2-9DB5-FAD53BBD5881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26.000000000005656</c:v>
                </c:pt>
                <c:pt idx="1">
                  <c:v>15.200000000001893</c:v>
                </c:pt>
                <c:pt idx="2">
                  <c:v>7.6857142857134875</c:v>
                </c:pt>
                <c:pt idx="3">
                  <c:v>3.4571428571405107</c:v>
                </c:pt>
                <c:pt idx="4">
                  <c:v>2.5142857142829058</c:v>
                </c:pt>
                <c:pt idx="5">
                  <c:v>4.8571428571407012</c:v>
                </c:pt>
                <c:pt idx="6">
                  <c:v>10.485714285713868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BA-46C2-9DB5-FAD53BBD5881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180.32608695652064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2.4397204968915958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BA-46C2-9DB5-FAD53BBD5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54144"/>
        <c:axId val="165954624"/>
      </c:scatterChart>
      <c:valAx>
        <c:axId val="16595414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5954624"/>
        <c:crosses val="autoZero"/>
        <c:crossBetween val="midCat"/>
      </c:valAx>
      <c:valAx>
        <c:axId val="16595462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595414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BBC18EC-6E94-435A-A0EA-3F2B10A21E11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23522E-4CFA-CA48-1C3C-B7D51325265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A39B41-7448-B3D3-FAEE-4F747DCAF6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7AFFFD-4FEF-0E07-4063-E4C95C70D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EAD2FF-A48C-D2F4-582F-A2681E3F9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88ED9E8-C998-F8D0-A169-B7097FCA0E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E27F2-A73F-4844-95F0-00630AE5908C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757</v>
      </c>
      <c r="C2">
        <f ca="1">IFERROR(VLOOKUP($A2,Phase_Data!$1:$1048576,COLUMN(),0),"-")</f>
        <v>757</v>
      </c>
      <c r="D2">
        <f ca="1">IFERROR(VLOOKUP($A2,Phase_Data!$1:$1048576,COLUMN(),0),"-")</f>
        <v>758</v>
      </c>
      <c r="E2">
        <f ca="1">IFERROR(VLOOKUP($A2,Phase_Data!$1:$1048576,COLUMN(),0),"-")</f>
        <v>759</v>
      </c>
      <c r="F2">
        <f ca="1">IFERROR(VLOOKUP($A2,Phase_Data!$1:$1048576,COLUMN(),0),"-")</f>
        <v>762</v>
      </c>
      <c r="G2">
        <f ca="1">IFERROR(VLOOKUP($A2,Phase_Data!$1:$1048576,COLUMN(),0),"-")</f>
        <v>768</v>
      </c>
      <c r="H2">
        <f ca="1">IFERROR(VLOOKUP($A2,Phase_Data!$1:$1048576,COLUMN(),0),"-")</f>
        <v>777</v>
      </c>
    </row>
    <row r="3" spans="1:16" x14ac:dyDescent="0.2">
      <c r="A3" t="s">
        <v>133</v>
      </c>
      <c r="B3">
        <f ca="1">IFERROR(VLOOKUP($A3,Phase_Data!$1:$1048576,COLUMN(),0),"-")</f>
        <v>741</v>
      </c>
      <c r="C3">
        <f ca="1">IFERROR(VLOOKUP($A3,Phase_Data!$1:$1048576,COLUMN(),0),"-")</f>
        <v>744</v>
      </c>
      <c r="D3">
        <f ca="1">IFERROR(VLOOKUP($A3,Phase_Data!$1:$1048576,COLUMN(),0),"-")</f>
        <v>750</v>
      </c>
      <c r="E3">
        <f ca="1">IFERROR(VLOOKUP($A3,Phase_Data!$1:$1048576,COLUMN(),0),"-")</f>
        <v>756</v>
      </c>
      <c r="F3">
        <f ca="1">IFERROR(VLOOKUP($A3,Phase_Data!$1:$1048576,COLUMN(),0),"-")</f>
        <v>764</v>
      </c>
      <c r="G3">
        <f ca="1">IFERROR(VLOOKUP($A3,Phase_Data!$1:$1048576,COLUMN(),0),"-")</f>
        <v>774</v>
      </c>
      <c r="H3">
        <f ca="1">IFERROR(VLOOKUP($A3,Phase_Data!$1:$1048576,COLUMN(),0),"-")</f>
        <v>787</v>
      </c>
    </row>
    <row r="4" spans="1:16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744</v>
      </c>
      <c r="D4">
        <f ca="1">IFERROR(VLOOKUP($A4,Phase_Data!$1:$1048576,COLUMN(),0),"-")</f>
        <v>748</v>
      </c>
      <c r="E4">
        <f ca="1">IFERROR(VLOOKUP($A4,Phase_Data!$1:$1048576,COLUMN(),0),"-")</f>
        <v>752</v>
      </c>
      <c r="F4">
        <f ca="1">IFERROR(VLOOKUP($A4,Phase_Data!$1:$1048576,COLUMN(),0),"-")</f>
        <v>758</v>
      </c>
      <c r="G4">
        <f ca="1">IFERROR(VLOOKUP($A4,Phase_Data!$1:$1048576,COLUMN(),0),"-")</f>
        <v>764</v>
      </c>
      <c r="H4">
        <f ca="1">IFERROR(VLOOKUP($A4,Phase_Data!$1:$1048576,COLUMN(),0),"-")</f>
        <v>772</v>
      </c>
    </row>
    <row r="6" spans="1:16" x14ac:dyDescent="0.2">
      <c r="A6" t="s">
        <v>136</v>
      </c>
      <c r="B6">
        <f ca="1">IF(AND(B2&lt;&gt;0,B3&lt;&gt;0,B4&lt;&gt;0),MAX(B2:B4)-MIN(B2:B4),"-")</f>
        <v>17</v>
      </c>
      <c r="C6">
        <f t="shared" ref="C6:H6" ca="1" si="0">IF(AND(C2&lt;&gt;0,C3&lt;&gt;0,C4&lt;&gt;0),MAX(C2:C4)-MIN(C2:C4),"-")</f>
        <v>13</v>
      </c>
      <c r="D6">
        <f t="shared" ca="1" si="0"/>
        <v>10</v>
      </c>
      <c r="E6">
        <f t="shared" ca="1" si="0"/>
        <v>7</v>
      </c>
      <c r="F6">
        <f t="shared" ca="1" si="0"/>
        <v>6</v>
      </c>
      <c r="G6">
        <f t="shared" ca="1" si="0"/>
        <v>10</v>
      </c>
      <c r="H6">
        <f t="shared" ca="1" si="0"/>
        <v>15</v>
      </c>
      <c r="J6">
        <f ca="1">MIN(B6:H6)</f>
        <v>6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16</v>
      </c>
      <c r="C7">
        <f t="shared" ref="C7:H7" ca="1" si="1">IF(AND(MAX(C2:C4)&lt;&gt;0,LARGE(C2:C4,2)&lt;&gt;0),MAX(C2:C4)-LARGE(C2:C4,2),"-")</f>
        <v>13</v>
      </c>
      <c r="D7">
        <f t="shared" ca="1" si="1"/>
        <v>8</v>
      </c>
      <c r="E7">
        <f t="shared" ca="1" si="1"/>
        <v>3</v>
      </c>
      <c r="F7">
        <f t="shared" ca="1" si="1"/>
        <v>2</v>
      </c>
      <c r="G7">
        <f t="shared" ca="1" si="1"/>
        <v>6</v>
      </c>
      <c r="H7">
        <f t="shared" ca="1" si="1"/>
        <v>10</v>
      </c>
      <c r="J7">
        <f ca="1">MIN(B7:H7)</f>
        <v>2</v>
      </c>
      <c r="K7">
        <f ca="1">IF(J7&lt;=5,INDEX(B$1:H$1,1,MATCH(J7,B7:H7,0)),"-")</f>
        <v>175</v>
      </c>
      <c r="L7">
        <f ca="1">IF(J7&lt;=5,MATCH(J7,B7:H7,0),"-")</f>
        <v>5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87.914285714310608</v>
      </c>
      <c r="O7">
        <f ca="1"/>
        <v>-0.94800000000031304</v>
      </c>
      <c r="P7">
        <f ca="1"/>
        <v>2.6285714285723127E-3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>
        <f ca="1">IFERROR(IF($P7&gt;0,$P7*B$1^2+$O7*B$1+$N7,"-"),"-")</f>
        <v>26.000000000005656</v>
      </c>
      <c r="C10">
        <f ca="1">IFERROR(IF($P7&gt;0,$P7*C$1^2+$O7*C$1+$N7,"-"),"-")</f>
        <v>15.200000000001893</v>
      </c>
      <c r="D10">
        <f ca="1">IFERROR(IF($P7&gt;0,$P7*D$1^2+$O7*D$1+$N7,"-"),"-")</f>
        <v>7.6857142857134875</v>
      </c>
      <c r="E10">
        <f ca="1">IFERROR(IF($P7&gt;0,$P7*E$1^2+$O7*E$1+$N7,"-"),"-")</f>
        <v>3.4571428571405107</v>
      </c>
      <c r="F10">
        <f ca="1">IFERROR(IF($P7&gt;0,$P7*F$1^2+$O7*F$1+$N7,"-"),"-")</f>
        <v>2.5142857142829058</v>
      </c>
      <c r="G10">
        <f ca="1">IFERROR(IF($P7&gt;0,$P7*G$1^2+$O7*G$1+$N7,"-"),"-")</f>
        <v>4.8571428571407012</v>
      </c>
      <c r="H10">
        <f ca="1">IFERROR(IF($P7&gt;0,$P7*H$1^2+$O7*H$1+$N7,"-"),"-")</f>
        <v>10.485714285713868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>
        <f ca="1">IFERROR(IF($J7&lt;=5,IF($P7&gt;0,-$O7/(2*$P7),"-"),"-"),"-")</f>
        <v>180.32608695652064</v>
      </c>
      <c r="C14" s="2">
        <f ca="1">IFERROR(IF($P7&gt;0,$P7*B14^2+$O7*B14+$N7,"-"),"-")</f>
        <v>2.4397204968915958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28C1-C974-4CFA-8F19-96A201246777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758</v>
      </c>
      <c r="C2">
        <f t="shared" ref="C2:H10" ca="1" si="0">_xlfn.IFNA(INDEX(INDIRECT("'"&amp;$A2&amp;"'!$B:$B"),MATCH(C$1,INDIRECT("'"&amp;$A2&amp;"'!$c:$c"),0)),"")</f>
        <v>759</v>
      </c>
      <c r="D2">
        <f t="shared" ca="1" si="0"/>
        <v>759</v>
      </c>
      <c r="E2">
        <f t="shared" ca="1" si="0"/>
        <v>759</v>
      </c>
      <c r="F2">
        <f t="shared" ca="1" si="0"/>
        <v>765</v>
      </c>
      <c r="G2">
        <f t="shared" ca="1" si="0"/>
        <v>775</v>
      </c>
      <c r="H2">
        <f t="shared" ca="1" si="0"/>
        <v>788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739</v>
      </c>
      <c r="C4">
        <f t="shared" ca="1" si="0"/>
        <v>742</v>
      </c>
      <c r="D4">
        <f t="shared" ca="1" si="0"/>
        <v>746</v>
      </c>
      <c r="E4">
        <f t="shared" ca="1" si="0"/>
        <v>751</v>
      </c>
      <c r="F4">
        <f t="shared" ca="1" si="0"/>
        <v>756</v>
      </c>
      <c r="G4">
        <f t="shared" ca="1" si="0"/>
        <v>762</v>
      </c>
      <c r="H4">
        <f t="shared" ca="1" si="0"/>
        <v>771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739</v>
      </c>
      <c r="C5">
        <f t="shared" ca="1" si="0"/>
        <v>742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762</v>
      </c>
      <c r="H5">
        <f t="shared" ca="1" si="0"/>
        <v>770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741</v>
      </c>
      <c r="C6">
        <f t="shared" ca="1" si="0"/>
        <v>744</v>
      </c>
      <c r="D6">
        <f t="shared" ca="1" si="0"/>
        <v>750</v>
      </c>
      <c r="E6">
        <f t="shared" ca="1" si="0"/>
        <v>756</v>
      </c>
      <c r="F6">
        <f t="shared" ca="1" si="0"/>
        <v>764</v>
      </c>
      <c r="G6">
        <f t="shared" ca="1" si="0"/>
        <v>774</v>
      </c>
      <c r="H6">
        <f t="shared" ca="1" si="0"/>
        <v>787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744</v>
      </c>
      <c r="D7">
        <f t="shared" ca="1" si="0"/>
        <v>748</v>
      </c>
      <c r="E7">
        <f t="shared" ca="1" si="0"/>
        <v>752</v>
      </c>
      <c r="F7">
        <f t="shared" ca="1" si="0"/>
        <v>758</v>
      </c>
      <c r="G7">
        <f t="shared" ca="1" si="0"/>
        <v>764</v>
      </c>
      <c r="H7">
        <f t="shared" ca="1" si="0"/>
        <v>772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757</v>
      </c>
      <c r="C8">
        <f t="shared" ca="1" si="0"/>
        <v>757</v>
      </c>
      <c r="D8">
        <f t="shared" ca="1" si="0"/>
        <v>758</v>
      </c>
      <c r="E8">
        <f t="shared" ca="1" si="0"/>
        <v>759</v>
      </c>
      <c r="F8">
        <f t="shared" ca="1" si="0"/>
        <v>762</v>
      </c>
      <c r="G8">
        <f t="shared" ca="1" si="0"/>
        <v>768</v>
      </c>
      <c r="H8">
        <f t="shared" ca="1" si="0"/>
        <v>777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758</v>
      </c>
      <c r="C9">
        <f t="shared" ca="1" si="0"/>
        <v>759</v>
      </c>
      <c r="D9">
        <f t="shared" ca="1" si="0"/>
        <v>759</v>
      </c>
      <c r="E9">
        <f t="shared" ca="1" si="0"/>
        <v>759</v>
      </c>
      <c r="F9">
        <f t="shared" ca="1" si="0"/>
        <v>765</v>
      </c>
      <c r="G9">
        <f t="shared" ca="1" si="0"/>
        <v>775</v>
      </c>
      <c r="H9">
        <f t="shared" ca="1" si="0"/>
        <v>788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741</v>
      </c>
      <c r="C10">
        <f t="shared" ca="1" si="0"/>
        <v>744</v>
      </c>
      <c r="D10">
        <f t="shared" ca="1" si="0"/>
        <v>750</v>
      </c>
      <c r="E10">
        <f t="shared" ca="1" si="0"/>
        <v>756</v>
      </c>
      <c r="F10">
        <f t="shared" ca="1" si="0"/>
        <v>764</v>
      </c>
      <c r="G10">
        <f t="shared" ca="1" si="0"/>
        <v>774</v>
      </c>
      <c r="H10">
        <f t="shared" ca="1" si="0"/>
        <v>787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E8C0C-2946-4F09-AA6B-55FC6D3FB3F2}">
  <sheetPr codeName="Sheet3"/>
  <dimension ref="A1:Q116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758</v>
      </c>
      <c r="C2">
        <v>275</v>
      </c>
      <c r="D2">
        <v>0.303389904475587</v>
      </c>
      <c r="E2">
        <v>111.4584418557</v>
      </c>
      <c r="F2">
        <v>1.96840264716219</v>
      </c>
      <c r="G2">
        <v>-1843.4860054849148</v>
      </c>
      <c r="H2">
        <v>-1515.8402587052913</v>
      </c>
      <c r="I2">
        <v>317.750360763174</v>
      </c>
      <c r="J2">
        <v>161.68658058019301</v>
      </c>
      <c r="K2">
        <v>56.623802054110897</v>
      </c>
      <c r="L2">
        <v>0.8586168309932557</v>
      </c>
      <c r="M2">
        <v>-0.85841959713723615</v>
      </c>
      <c r="N2">
        <v>48.6085473866044</v>
      </c>
      <c r="O2">
        <v>48.608542466066098</v>
      </c>
      <c r="P2">
        <v>48.608536498776097</v>
      </c>
      <c r="Q2" t="s">
        <v>51</v>
      </c>
    </row>
    <row r="3" spans="1:17" x14ac:dyDescent="0.2">
      <c r="A3">
        <v>2</v>
      </c>
      <c r="B3">
        <v>757</v>
      </c>
      <c r="C3">
        <v>275</v>
      </c>
      <c r="D3">
        <v>0.30264573120419402</v>
      </c>
      <c r="E3">
        <v>111.458479954946</v>
      </c>
      <c r="F3">
        <v>1.96896384408095</v>
      </c>
      <c r="G3">
        <v>-1843.1689614208358</v>
      </c>
      <c r="H3">
        <v>-1516.03521691944</v>
      </c>
      <c r="I3">
        <v>317.56180069474198</v>
      </c>
      <c r="J3">
        <v>161.69204457947399</v>
      </c>
      <c r="K3">
        <v>56.607682406159697</v>
      </c>
      <c r="L3">
        <v>0.85701773917686419</v>
      </c>
      <c r="M3">
        <v>-0.85682011496520183</v>
      </c>
      <c r="N3">
        <v>48.504166593335597</v>
      </c>
      <c r="O3">
        <v>48.5041616071966</v>
      </c>
      <c r="P3">
        <v>48.504155630578403</v>
      </c>
      <c r="Q3" t="s">
        <v>51</v>
      </c>
    </row>
    <row r="4" spans="1:17" x14ac:dyDescent="0.2">
      <c r="A4">
        <v>3</v>
      </c>
      <c r="B4">
        <v>756</v>
      </c>
      <c r="C4">
        <v>275</v>
      </c>
      <c r="D4">
        <v>0.30190011174270298</v>
      </c>
      <c r="E4">
        <v>111.458518817431</v>
      </c>
      <c r="F4">
        <v>1.9695264144247999</v>
      </c>
      <c r="G4">
        <v>-1842.8521212284434</v>
      </c>
      <c r="H4">
        <v>-1516.2332091804642</v>
      </c>
      <c r="I4">
        <v>317.37012470883798</v>
      </c>
      <c r="J4">
        <v>161.69846618659</v>
      </c>
      <c r="K4">
        <v>56.591532868566603</v>
      </c>
      <c r="L4">
        <v>0.85526261919866509</v>
      </c>
      <c r="M4">
        <v>-0.85506456339187709</v>
      </c>
      <c r="N4">
        <v>48.39097992032</v>
      </c>
      <c r="O4">
        <v>48.390974867154902</v>
      </c>
      <c r="P4">
        <v>48.390968880011101</v>
      </c>
      <c r="Q4" t="s">
        <v>51</v>
      </c>
    </row>
    <row r="5" spans="1:17" x14ac:dyDescent="0.2">
      <c r="A5">
        <v>4</v>
      </c>
      <c r="B5">
        <v>755</v>
      </c>
      <c r="C5">
        <v>275</v>
      </c>
      <c r="D5">
        <v>0.30115304187132302</v>
      </c>
      <c r="E5">
        <v>111.458557831801</v>
      </c>
      <c r="F5">
        <v>1.9700903617608301</v>
      </c>
      <c r="G5">
        <v>-1842.5354751104308</v>
      </c>
      <c r="H5">
        <v>-1516.4310315920934</v>
      </c>
      <c r="I5">
        <v>317.17842978741697</v>
      </c>
      <c r="J5">
        <v>161.70483573644901</v>
      </c>
      <c r="K5">
        <v>56.575353087957701</v>
      </c>
      <c r="L5">
        <v>0.85351687984650826</v>
      </c>
      <c r="M5">
        <v>-0.85331839716337876</v>
      </c>
      <c r="N5">
        <v>48.278355072911701</v>
      </c>
      <c r="O5">
        <v>48.278349952441602</v>
      </c>
      <c r="P5">
        <v>48.278343954960597</v>
      </c>
      <c r="Q5" t="s">
        <v>51</v>
      </c>
    </row>
    <row r="6" spans="1:17" x14ac:dyDescent="0.2">
      <c r="A6">
        <v>5</v>
      </c>
      <c r="B6">
        <v>754</v>
      </c>
      <c r="C6">
        <v>275</v>
      </c>
      <c r="D6">
        <v>0.30040451735384299</v>
      </c>
      <c r="E6">
        <v>111.458596998755</v>
      </c>
      <c r="F6">
        <v>1.9706556730278899</v>
      </c>
      <c r="G6">
        <v>-1842.2190230973797</v>
      </c>
      <c r="H6">
        <v>-1516.6286855601961</v>
      </c>
      <c r="I6">
        <v>316.98671453656698</v>
      </c>
      <c r="J6">
        <v>161.71115305971401</v>
      </c>
      <c r="K6">
        <v>56.559143499432302</v>
      </c>
      <c r="L6">
        <v>0.85178043910316426</v>
      </c>
      <c r="M6">
        <v>-0.85158153423873406</v>
      </c>
      <c r="N6">
        <v>48.1662874848396</v>
      </c>
      <c r="O6">
        <v>48.166282296789099</v>
      </c>
      <c r="P6">
        <v>48.166276289158702</v>
      </c>
      <c r="Q6" t="s">
        <v>51</v>
      </c>
    </row>
    <row r="7" spans="1:17" x14ac:dyDescent="0.2">
      <c r="A7">
        <v>6</v>
      </c>
      <c r="B7">
        <v>753</v>
      </c>
      <c r="C7">
        <v>275</v>
      </c>
      <c r="D7">
        <v>0.29965453393753799</v>
      </c>
      <c r="E7">
        <v>111.458636319031</v>
      </c>
      <c r="F7">
        <v>1.9712223352584199</v>
      </c>
      <c r="G7">
        <v>-1841.902765221942</v>
      </c>
      <c r="H7">
        <v>-1516.8261724752003</v>
      </c>
      <c r="I7">
        <v>316.79497757400799</v>
      </c>
      <c r="J7">
        <v>161.717417983377</v>
      </c>
      <c r="K7">
        <v>56.542904534621698</v>
      </c>
      <c r="L7">
        <v>0.8500532158772014</v>
      </c>
      <c r="M7">
        <v>-0.8498538935030211</v>
      </c>
      <c r="N7">
        <v>48.054772639862499</v>
      </c>
      <c r="O7">
        <v>48.0547673839597</v>
      </c>
      <c r="P7">
        <v>48.054761366367401</v>
      </c>
      <c r="Q7" t="s">
        <v>51</v>
      </c>
    </row>
    <row r="8" spans="1:17" x14ac:dyDescent="0.2">
      <c r="A8">
        <v>7</v>
      </c>
      <c r="B8">
        <v>752</v>
      </c>
      <c r="C8">
        <v>275</v>
      </c>
      <c r="D8">
        <v>0.29890308735307097</v>
      </c>
      <c r="E8">
        <v>111.458675793376</v>
      </c>
      <c r="F8">
        <v>1.9717903355745301</v>
      </c>
      <c r="G8">
        <v>-1841.5867015182487</v>
      </c>
      <c r="H8">
        <v>-1517.0234937118839</v>
      </c>
      <c r="I8">
        <v>316.60321752876803</v>
      </c>
      <c r="J8">
        <v>161.723630330925</v>
      </c>
      <c r="K8">
        <v>56.526636621788498</v>
      </c>
      <c r="L8">
        <v>0.84833512998329053</v>
      </c>
      <c r="M8">
        <v>-0.84813539474766553</v>
      </c>
      <c r="N8">
        <v>47.943806070758697</v>
      </c>
      <c r="O8">
        <v>47.943800746735398</v>
      </c>
      <c r="P8">
        <v>47.943794719367901</v>
      </c>
      <c r="Q8" t="s">
        <v>51</v>
      </c>
    </row>
    <row r="9" spans="1:17" x14ac:dyDescent="0.2">
      <c r="A9">
        <v>8</v>
      </c>
      <c r="B9">
        <v>751</v>
      </c>
      <c r="C9">
        <v>275</v>
      </c>
      <c r="D9">
        <v>0.29815017331445698</v>
      </c>
      <c r="E9">
        <v>111.458715422498</v>
      </c>
      <c r="F9">
        <v>1.9723596611876599</v>
      </c>
      <c r="G9">
        <v>-1841.2708320211621</v>
      </c>
      <c r="H9">
        <v>-1517.2206506291495</v>
      </c>
      <c r="I9">
        <v>316.41143304073501</v>
      </c>
      <c r="J9">
        <v>161.72978992234101</v>
      </c>
      <c r="K9">
        <v>56.510340185817498</v>
      </c>
      <c r="L9">
        <v>0.84662610211988787</v>
      </c>
      <c r="M9">
        <v>-0.84642595864811554</v>
      </c>
      <c r="N9">
        <v>47.833383358074698</v>
      </c>
      <c r="O9">
        <v>47.833377965666301</v>
      </c>
      <c r="P9">
        <v>47.833371928709802</v>
      </c>
      <c r="Q9" t="s">
        <v>51</v>
      </c>
    </row>
    <row r="10" spans="1:17" x14ac:dyDescent="0.2">
      <c r="A10">
        <v>9</v>
      </c>
      <c r="B10">
        <v>750</v>
      </c>
      <c r="C10">
        <v>275</v>
      </c>
      <c r="D10">
        <v>0.29739578751893703</v>
      </c>
      <c r="E10">
        <v>111.458755207133</v>
      </c>
      <c r="F10">
        <v>1.97293029939714</v>
      </c>
      <c r="G10">
        <v>-1840.9551567673473</v>
      </c>
      <c r="H10">
        <v>-1517.4176445707753</v>
      </c>
      <c r="I10">
        <v>316.219622761018</v>
      </c>
      <c r="J10">
        <v>161.735896574116</v>
      </c>
      <c r="K10">
        <v>56.494015648292603</v>
      </c>
      <c r="L10">
        <v>0.84492605387709308</v>
      </c>
      <c r="M10">
        <v>-0.84472550677170177</v>
      </c>
      <c r="N10">
        <v>47.723500130653001</v>
      </c>
      <c r="O10">
        <v>47.723494669598303</v>
      </c>
      <c r="P10">
        <v>47.723488623238602</v>
      </c>
      <c r="Q10" t="s">
        <v>51</v>
      </c>
    </row>
    <row r="11" spans="1:17" x14ac:dyDescent="0.2">
      <c r="A11">
        <v>10</v>
      </c>
      <c r="B11">
        <v>749</v>
      </c>
      <c r="C11">
        <v>275</v>
      </c>
      <c r="D11">
        <v>0.29663992564692099</v>
      </c>
      <c r="E11">
        <v>111.458795148042</v>
      </c>
      <c r="F11">
        <v>1.97350223758831</v>
      </c>
      <c r="G11">
        <v>-1840.6396757952564</v>
      </c>
      <c r="H11">
        <v>-1517.6144768658453</v>
      </c>
      <c r="I11">
        <v>316.02778535157</v>
      </c>
      <c r="J11">
        <v>161.741950099402</v>
      </c>
      <c r="K11">
        <v>56.477663427556202</v>
      </c>
      <c r="L11">
        <v>0.84323490771145715</v>
      </c>
      <c r="M11">
        <v>-0.84303396155243626</v>
      </c>
      <c r="N11">
        <v>47.614152064274798</v>
      </c>
      <c r="O11">
        <v>47.614146534316397</v>
      </c>
      <c r="P11">
        <v>47.614140478738697</v>
      </c>
      <c r="Q11" t="s">
        <v>51</v>
      </c>
    </row>
    <row r="12" spans="1:17" x14ac:dyDescent="0.2">
      <c r="A12">
        <v>11</v>
      </c>
      <c r="B12">
        <v>748</v>
      </c>
      <c r="C12">
        <v>275</v>
      </c>
      <c r="D12">
        <v>0.29588258336189799</v>
      </c>
      <c r="E12">
        <v>111.458835245947</v>
      </c>
      <c r="F12">
        <v>1.9740754632319</v>
      </c>
      <c r="G12">
        <v>-1840.3243891439922</v>
      </c>
      <c r="H12">
        <v>-1517.811148828082</v>
      </c>
      <c r="I12">
        <v>315.83591948478102</v>
      </c>
      <c r="J12">
        <v>161.74795030798501</v>
      </c>
      <c r="K12">
        <v>56.461283938694599</v>
      </c>
      <c r="L12">
        <v>0.8415525869292152</v>
      </c>
      <c r="M12">
        <v>-0.84135124627424007</v>
      </c>
      <c r="N12">
        <v>47.505334880716603</v>
      </c>
      <c r="O12">
        <v>47.505329281600702</v>
      </c>
      <c r="P12">
        <v>47.505323216989702</v>
      </c>
      <c r="Q12" t="s">
        <v>51</v>
      </c>
    </row>
    <row r="13" spans="1:17" x14ac:dyDescent="0.2">
      <c r="A13">
        <v>12</v>
      </c>
      <c r="B13">
        <v>747</v>
      </c>
      <c r="C13">
        <v>275</v>
      </c>
      <c r="D13">
        <v>0.29512375631034898</v>
      </c>
      <c r="E13">
        <v>111.458875501619</v>
      </c>
      <c r="F13">
        <v>1.97464996388152</v>
      </c>
      <c r="G13">
        <v>-1840.0092968548099</v>
      </c>
      <c r="H13">
        <v>-1518.0076617571281</v>
      </c>
      <c r="I13">
        <v>315.64402384373898</v>
      </c>
      <c r="J13">
        <v>161.75389700642</v>
      </c>
      <c r="K13">
        <v>56.444877593660699</v>
      </c>
      <c r="L13">
        <v>0.83987901568459333</v>
      </c>
      <c r="M13">
        <v>-0.83967728506924655</v>
      </c>
      <c r="N13">
        <v>47.397044347773203</v>
      </c>
      <c r="O13">
        <v>47.397038679249697</v>
      </c>
      <c r="P13">
        <v>47.397032605789498</v>
      </c>
      <c r="Q13" t="s">
        <v>51</v>
      </c>
    </row>
    <row r="14" spans="1:17" x14ac:dyDescent="0.2">
      <c r="A14">
        <v>13</v>
      </c>
      <c r="B14">
        <v>746</v>
      </c>
      <c r="C14">
        <v>275</v>
      </c>
      <c r="D14">
        <v>0.29436344012167098</v>
      </c>
      <c r="E14">
        <v>111.458915915769</v>
      </c>
      <c r="F14">
        <v>1.97522572717272</v>
      </c>
      <c r="G14">
        <v>-1839.6943989692688</v>
      </c>
      <c r="H14">
        <v>-1518.2040169371348</v>
      </c>
      <c r="I14">
        <v>315.45209712186403</v>
      </c>
      <c r="J14">
        <v>161.759789997941</v>
      </c>
      <c r="K14">
        <v>56.428444801247402</v>
      </c>
      <c r="L14">
        <v>0.83821411896898645</v>
      </c>
      <c r="M14">
        <v>-0.83801200290697631</v>
      </c>
      <c r="N14">
        <v>47.289276278638802</v>
      </c>
      <c r="O14">
        <v>47.289270540461303</v>
      </c>
      <c r="P14">
        <v>47.289264458335602</v>
      </c>
      <c r="Q14" t="s">
        <v>51</v>
      </c>
    </row>
    <row r="15" spans="1:17" x14ac:dyDescent="0.2">
      <c r="A15">
        <v>14</v>
      </c>
      <c r="B15">
        <v>745</v>
      </c>
      <c r="C15">
        <v>275</v>
      </c>
      <c r="D15">
        <v>0.29360163040809401</v>
      </c>
      <c r="E15">
        <v>111.45895648916201</v>
      </c>
      <c r="F15">
        <v>1.9758027408229799</v>
      </c>
      <c r="G15">
        <v>-1839.3796955311134</v>
      </c>
      <c r="H15">
        <v>-1518.4002156387326</v>
      </c>
      <c r="I15">
        <v>315.260138022864</v>
      </c>
      <c r="J15">
        <v>161.76562908262301</v>
      </c>
      <c r="K15">
        <v>56.411985967150002</v>
      </c>
      <c r="L15">
        <v>0.83655782259355904</v>
      </c>
      <c r="M15">
        <v>-0.83635532557693337</v>
      </c>
      <c r="N15">
        <v>47.182026530990299</v>
      </c>
      <c r="O15">
        <v>47.182020722916199</v>
      </c>
      <c r="P15">
        <v>47.182014632307997</v>
      </c>
      <c r="Q15" t="s">
        <v>51</v>
      </c>
    </row>
    <row r="16" spans="1:17" x14ac:dyDescent="0.2">
      <c r="A16">
        <v>15</v>
      </c>
      <c r="B16">
        <v>744</v>
      </c>
      <c r="C16">
        <v>275</v>
      </c>
      <c r="D16">
        <v>0.29283832276459099</v>
      </c>
      <c r="E16">
        <v>111.45899722254499</v>
      </c>
      <c r="F16">
        <v>1.97638099262808</v>
      </c>
      <c r="G16">
        <v>-1839.0651865850957</v>
      </c>
      <c r="H16">
        <v>-1518.5962591183099</v>
      </c>
      <c r="I16">
        <v>315.06814526033997</v>
      </c>
      <c r="J16">
        <v>161.77141405751101</v>
      </c>
      <c r="K16">
        <v>56.3955014940382</v>
      </c>
      <c r="L16">
        <v>0.83491005316974609</v>
      </c>
      <c r="M16">
        <v>-0.83470717966909547</v>
      </c>
      <c r="N16">
        <v>47.075291005960601</v>
      </c>
      <c r="O16">
        <v>47.075285127750902</v>
      </c>
      <c r="P16">
        <v>47.0752790288428</v>
      </c>
      <c r="Q16" t="s">
        <v>51</v>
      </c>
    </row>
    <row r="17" spans="1:17" x14ac:dyDescent="0.2">
      <c r="A17">
        <v>16</v>
      </c>
      <c r="B17">
        <v>743</v>
      </c>
      <c r="C17">
        <v>275</v>
      </c>
      <c r="D17">
        <v>0.29207351276878402</v>
      </c>
      <c r="E17">
        <v>111.45903811669901</v>
      </c>
      <c r="F17">
        <v>1.97696047046346</v>
      </c>
      <c r="G17">
        <v>-1838.7508721778001</v>
      </c>
      <c r="H17">
        <v>-1518.7921486185314</v>
      </c>
      <c r="I17">
        <v>314.87611755812998</v>
      </c>
      <c r="J17">
        <v>161.777144716468</v>
      </c>
      <c r="K17">
        <v>56.378991781545302</v>
      </c>
      <c r="L17">
        <v>0.83327073812096752</v>
      </c>
      <c r="M17">
        <v>-0.83306749258563551</v>
      </c>
      <c r="N17">
        <v>46.969065648802797</v>
      </c>
      <c r="O17">
        <v>46.969059700222203</v>
      </c>
      <c r="P17">
        <v>46.969053593196499</v>
      </c>
      <c r="Q17" t="s">
        <v>51</v>
      </c>
    </row>
    <row r="18" spans="1:17" x14ac:dyDescent="0.2">
      <c r="A18">
        <v>17</v>
      </c>
      <c r="B18">
        <v>742</v>
      </c>
      <c r="C18">
        <v>275</v>
      </c>
      <c r="D18">
        <v>0.291307195980888</v>
      </c>
      <c r="E18">
        <v>111.459079172378</v>
      </c>
      <c r="F18">
        <v>1.97754116227876</v>
      </c>
      <c r="G18">
        <v>-1838.4367523566289</v>
      </c>
      <c r="H18">
        <v>-1518.9878853680398</v>
      </c>
      <c r="I18">
        <v>314.68405364966497</v>
      </c>
      <c r="J18">
        <v>161.782820850495</v>
      </c>
      <c r="K18">
        <v>56.362457226398099</v>
      </c>
      <c r="L18">
        <v>0.83163980564736639</v>
      </c>
      <c r="M18">
        <v>-0.83143619250564216</v>
      </c>
      <c r="N18">
        <v>46.863346447020398</v>
      </c>
      <c r="O18">
        <v>46.863340427837599</v>
      </c>
      <c r="P18">
        <v>46.863334312875701</v>
      </c>
      <c r="Q18" t="s">
        <v>51</v>
      </c>
    </row>
    <row r="19" spans="1:17" x14ac:dyDescent="0.2">
      <c r="A19">
        <v>18</v>
      </c>
      <c r="B19">
        <v>741</v>
      </c>
      <c r="C19">
        <v>275</v>
      </c>
      <c r="D19">
        <v>0.29053936794360102</v>
      </c>
      <c r="E19">
        <v>111.459115833225</v>
      </c>
      <c r="F19">
        <v>1.9775047218576001</v>
      </c>
      <c r="G19">
        <v>-1838.1227716826199</v>
      </c>
      <c r="H19">
        <v>-1519.3424091673064</v>
      </c>
      <c r="I19">
        <v>314.335207117202</v>
      </c>
      <c r="J19">
        <v>161.780289149852</v>
      </c>
      <c r="K19">
        <v>56.363514383178703</v>
      </c>
      <c r="L19">
        <v>0.82168525534710091</v>
      </c>
      <c r="M19">
        <v>-0.82147883073988082</v>
      </c>
      <c r="N19">
        <v>46.303011487379102</v>
      </c>
      <c r="O19">
        <v>46.303005331670001</v>
      </c>
      <c r="P19">
        <v>46.3029991376034</v>
      </c>
      <c r="Q19" t="s">
        <v>51</v>
      </c>
    </row>
    <row r="20" spans="1:17" x14ac:dyDescent="0.2">
      <c r="A20">
        <v>19</v>
      </c>
      <c r="B20">
        <v>740</v>
      </c>
      <c r="C20">
        <v>275</v>
      </c>
      <c r="D20">
        <v>0.28977002418201098</v>
      </c>
      <c r="E20">
        <v>111.459109051242</v>
      </c>
      <c r="F20">
        <v>1.9640702077632901</v>
      </c>
      <c r="G20">
        <v>-1837.809489123496</v>
      </c>
      <c r="H20">
        <v>-1522.3711626766401</v>
      </c>
      <c r="I20">
        <v>311.34740828216701</v>
      </c>
      <c r="J20">
        <v>161.78658453216801</v>
      </c>
      <c r="K20">
        <v>56.749045227957197</v>
      </c>
      <c r="L20">
        <v>0.67604612207421921</v>
      </c>
      <c r="M20">
        <v>-0.67579233718655263</v>
      </c>
      <c r="N20">
        <v>38.352510620799798</v>
      </c>
      <c r="O20">
        <v>38.352503136000699</v>
      </c>
      <c r="P20">
        <v>38.352495540693802</v>
      </c>
      <c r="Q20" t="s">
        <v>51</v>
      </c>
    </row>
    <row r="21" spans="1:17" x14ac:dyDescent="0.2">
      <c r="A21">
        <v>20</v>
      </c>
      <c r="B21">
        <v>739</v>
      </c>
      <c r="C21">
        <v>275</v>
      </c>
      <c r="D21">
        <v>0.28899916020352701</v>
      </c>
      <c r="E21">
        <v>111.46663916711501</v>
      </c>
      <c r="F21">
        <v>1.9169180220148001</v>
      </c>
      <c r="G21">
        <v>-1837.6245696359476</v>
      </c>
      <c r="H21">
        <v>-1532.5354535503923</v>
      </c>
      <c r="I21">
        <v>301.43212256592102</v>
      </c>
      <c r="J21">
        <v>161.72994560100801</v>
      </c>
      <c r="K21">
        <v>58.148881635510499</v>
      </c>
      <c r="L21">
        <v>0.19952486585262311</v>
      </c>
      <c r="M21">
        <v>-0.19911325765615026</v>
      </c>
      <c r="N21">
        <v>11.5814088454293</v>
      </c>
      <c r="O21">
        <v>11.581396903156699</v>
      </c>
      <c r="P21">
        <v>11.5813844773391</v>
      </c>
      <c r="Q21" t="s">
        <v>51</v>
      </c>
    </row>
    <row r="22" spans="1:17" x14ac:dyDescent="0.2">
      <c r="A22">
        <v>21</v>
      </c>
      <c r="B22">
        <v>738</v>
      </c>
      <c r="C22">
        <v>275</v>
      </c>
      <c r="D22">
        <v>0.28822677149780002</v>
      </c>
      <c r="E22">
        <v>111.467491785752</v>
      </c>
      <c r="F22">
        <v>1.90522541413417</v>
      </c>
      <c r="G22">
        <v>-1837.3387444260354</v>
      </c>
      <c r="H22">
        <v>-1535.3847664180735</v>
      </c>
      <c r="I22">
        <v>298.630224896904</v>
      </c>
      <c r="J22">
        <v>161.74077238226801</v>
      </c>
      <c r="K22">
        <v>58.506196148138798</v>
      </c>
      <c r="L22">
        <v>7.5192309222974998E-2</v>
      </c>
      <c r="M22">
        <v>-7.4739730585817649E-2</v>
      </c>
      <c r="N22">
        <v>4.3762615366153499</v>
      </c>
      <c r="O22">
        <v>4.3762483166539203</v>
      </c>
      <c r="P22">
        <v>4.3762346057078299</v>
      </c>
      <c r="Q22" t="s">
        <v>51</v>
      </c>
    </row>
    <row r="23" spans="1:17" x14ac:dyDescent="0.2">
      <c r="A23">
        <v>22</v>
      </c>
      <c r="B23">
        <v>759</v>
      </c>
      <c r="C23">
        <v>250</v>
      </c>
      <c r="D23">
        <v>0.33077604999273502</v>
      </c>
      <c r="E23">
        <v>111.45865490538699</v>
      </c>
      <c r="F23">
        <v>1.9339299922216699</v>
      </c>
      <c r="G23">
        <v>-1845.2353478746418</v>
      </c>
      <c r="H23">
        <v>-1516.669106947711</v>
      </c>
      <c r="I23">
        <v>318.33454769126303</v>
      </c>
      <c r="J23">
        <v>162.50095967608701</v>
      </c>
      <c r="K23">
        <v>57.633241820374998</v>
      </c>
      <c r="L23">
        <v>0.8404024457825453</v>
      </c>
      <c r="M23">
        <v>-0.8401590498992737</v>
      </c>
      <c r="N23">
        <v>48.423213191224299</v>
      </c>
      <c r="O23">
        <v>48.423208014535298</v>
      </c>
      <c r="P23">
        <v>48.423199528544302</v>
      </c>
      <c r="Q23" t="s">
        <v>51</v>
      </c>
    </row>
    <row r="24" spans="1:17" x14ac:dyDescent="0.2">
      <c r="A24">
        <v>23</v>
      </c>
      <c r="B24">
        <v>758</v>
      </c>
      <c r="C24">
        <v>250</v>
      </c>
      <c r="D24">
        <v>0.330059157251614</v>
      </c>
      <c r="E24">
        <v>111.45868700194799</v>
      </c>
      <c r="F24">
        <v>1.93453722580881</v>
      </c>
      <c r="G24">
        <v>-1844.9176082369534</v>
      </c>
      <c r="H24">
        <v>-1516.8322345140541</v>
      </c>
      <c r="I24">
        <v>318.17692572516103</v>
      </c>
      <c r="J24">
        <v>162.498394540384</v>
      </c>
      <c r="K24">
        <v>57.615167862871402</v>
      </c>
      <c r="L24">
        <v>0.84051472191043408</v>
      </c>
      <c r="M24">
        <v>-0.84027141995748578</v>
      </c>
      <c r="N24">
        <v>48.414496545833401</v>
      </c>
      <c r="O24">
        <v>48.414491291616201</v>
      </c>
      <c r="P24">
        <v>48.414482811053503</v>
      </c>
      <c r="Q24" t="s">
        <v>51</v>
      </c>
    </row>
    <row r="25" spans="1:17" x14ac:dyDescent="0.2">
      <c r="A25">
        <v>24</v>
      </c>
      <c r="B25">
        <v>757</v>
      </c>
      <c r="C25">
        <v>250</v>
      </c>
      <c r="D25">
        <v>0.32934087268844398</v>
      </c>
      <c r="E25">
        <v>111.458726069009</v>
      </c>
      <c r="F25">
        <v>1.9351363736057099</v>
      </c>
      <c r="G25">
        <v>-1844.6001562182867</v>
      </c>
      <c r="H25">
        <v>-1517.0295242039094</v>
      </c>
      <c r="I25">
        <v>317.98612060258</v>
      </c>
      <c r="J25">
        <v>162.506355710186</v>
      </c>
      <c r="K25">
        <v>57.597349514613001</v>
      </c>
      <c r="L25">
        <v>0.83885866654909547</v>
      </c>
      <c r="M25">
        <v>-0.83861492074892641</v>
      </c>
      <c r="N25">
        <v>48.3041132414088</v>
      </c>
      <c r="O25">
        <v>48.304107897663499</v>
      </c>
      <c r="P25">
        <v>48.304099403858501</v>
      </c>
      <c r="Q25" t="s">
        <v>51</v>
      </c>
    </row>
    <row r="26" spans="1:17" x14ac:dyDescent="0.2">
      <c r="A26">
        <v>25</v>
      </c>
      <c r="B26">
        <v>756</v>
      </c>
      <c r="C26">
        <v>250</v>
      </c>
      <c r="D26">
        <v>0.32862119224602798</v>
      </c>
      <c r="E26">
        <v>111.458765296945</v>
      </c>
      <c r="F26">
        <v>1.93573702474929</v>
      </c>
      <c r="G26">
        <v>-1844.2828975978532</v>
      </c>
      <c r="H26">
        <v>-1517.2266978167281</v>
      </c>
      <c r="I26">
        <v>317.795245360911</v>
      </c>
      <c r="J26">
        <v>162.51428887724799</v>
      </c>
      <c r="K26">
        <v>57.579497561855398</v>
      </c>
      <c r="L26">
        <v>0.83720918920948117</v>
      </c>
      <c r="M26">
        <v>-0.83696500400656781</v>
      </c>
      <c r="N26">
        <v>48.194139806193299</v>
      </c>
      <c r="O26">
        <v>48.194134372445099</v>
      </c>
      <c r="P26">
        <v>48.1941258656136</v>
      </c>
      <c r="Q26" t="s">
        <v>51</v>
      </c>
    </row>
    <row r="27" spans="1:17" x14ac:dyDescent="0.2">
      <c r="A27">
        <v>26</v>
      </c>
      <c r="B27">
        <v>755</v>
      </c>
      <c r="C27">
        <v>250</v>
      </c>
      <c r="D27">
        <v>0.32790011185138401</v>
      </c>
      <c r="E27">
        <v>111.458804678105</v>
      </c>
      <c r="F27">
        <v>1.9363391754008901</v>
      </c>
      <c r="G27">
        <v>-1843.965832280644</v>
      </c>
      <c r="H27">
        <v>-1517.4237143956907</v>
      </c>
      <c r="I27">
        <v>317.60433953154001</v>
      </c>
      <c r="J27">
        <v>162.522180713144</v>
      </c>
      <c r="K27">
        <v>57.561612187611203</v>
      </c>
      <c r="L27">
        <v>0.83556840165907575</v>
      </c>
      <c r="M27">
        <v>-0.83532378214430847</v>
      </c>
      <c r="N27">
        <v>48.0846977954713</v>
      </c>
      <c r="O27">
        <v>48.084692271264601</v>
      </c>
      <c r="P27">
        <v>48.0846837516455</v>
      </c>
      <c r="Q27" t="s">
        <v>51</v>
      </c>
    </row>
    <row r="28" spans="1:17" x14ac:dyDescent="0.2">
      <c r="A28">
        <v>27</v>
      </c>
      <c r="B28">
        <v>754</v>
      </c>
      <c r="C28">
        <v>250</v>
      </c>
      <c r="D28">
        <v>0.32717762741566497</v>
      </c>
      <c r="E28">
        <v>111.45884421317901</v>
      </c>
      <c r="F28">
        <v>1.93694281131636</v>
      </c>
      <c r="G28">
        <v>-1843.6489603087198</v>
      </c>
      <c r="H28">
        <v>-1517.6205752338487</v>
      </c>
      <c r="I28">
        <v>317.41340180750399</v>
      </c>
      <c r="J28">
        <v>162.53003090168201</v>
      </c>
      <c r="K28">
        <v>57.543693888118</v>
      </c>
      <c r="L28">
        <v>0.8339362287280766</v>
      </c>
      <c r="M28">
        <v>-0.83369117997196185</v>
      </c>
      <c r="N28">
        <v>47.975782994828599</v>
      </c>
      <c r="O28">
        <v>47.975777379712802</v>
      </c>
      <c r="P28">
        <v>47.975768847544899</v>
      </c>
      <c r="Q28" t="s">
        <v>51</v>
      </c>
    </row>
    <row r="29" spans="1:17" x14ac:dyDescent="0.2">
      <c r="A29">
        <v>28</v>
      </c>
      <c r="B29">
        <v>753</v>
      </c>
      <c r="C29">
        <v>250</v>
      </c>
      <c r="D29">
        <v>0.32645373483409301</v>
      </c>
      <c r="E29">
        <v>111.458883902905</v>
      </c>
      <c r="F29">
        <v>1.9375479183339199</v>
      </c>
      <c r="G29">
        <v>-1843.3322817262408</v>
      </c>
      <c r="H29">
        <v>-1517.8172816105816</v>
      </c>
      <c r="I29">
        <v>317.22243089211099</v>
      </c>
      <c r="J29">
        <v>162.53783912327401</v>
      </c>
      <c r="K29">
        <v>57.525743156198899</v>
      </c>
      <c r="L29">
        <v>0.83231259606501573</v>
      </c>
      <c r="M29">
        <v>-0.83206712311788167</v>
      </c>
      <c r="N29">
        <v>47.867391234525201</v>
      </c>
      <c r="O29">
        <v>47.867385528054598</v>
      </c>
      <c r="P29">
        <v>47.8673769835763</v>
      </c>
      <c r="Q29" t="s">
        <v>51</v>
      </c>
    </row>
    <row r="30" spans="1:17" x14ac:dyDescent="0.2">
      <c r="A30">
        <v>29</v>
      </c>
      <c r="B30">
        <v>752</v>
      </c>
      <c r="C30">
        <v>250</v>
      </c>
      <c r="D30">
        <v>0.32572842998585799</v>
      </c>
      <c r="E30">
        <v>111.45892374804799</v>
      </c>
      <c r="F30">
        <v>1.9381544823719401</v>
      </c>
      <c r="G30">
        <v>-1843.0157965791025</v>
      </c>
      <c r="H30">
        <v>-1518.0138347915145</v>
      </c>
      <c r="I30">
        <v>317.03142549871598</v>
      </c>
      <c r="J30">
        <v>162.54560505502801</v>
      </c>
      <c r="K30">
        <v>57.507760481323203</v>
      </c>
      <c r="L30">
        <v>0.83069743012286601</v>
      </c>
      <c r="M30">
        <v>-0.830451538015063</v>
      </c>
      <c r="N30">
        <v>47.759518388767603</v>
      </c>
      <c r="O30">
        <v>47.759512590501402</v>
      </c>
      <c r="P30">
        <v>47.759504033950897</v>
      </c>
      <c r="Q30" t="s">
        <v>51</v>
      </c>
    </row>
    <row r="31" spans="1:17" x14ac:dyDescent="0.2">
      <c r="A31">
        <v>30</v>
      </c>
      <c r="B31">
        <v>751</v>
      </c>
      <c r="C31">
        <v>250</v>
      </c>
      <c r="D31">
        <v>0.32500170873407402</v>
      </c>
      <c r="E31">
        <v>111.45896374929001</v>
      </c>
      <c r="F31">
        <v>1.9387624894300199</v>
      </c>
      <c r="G31">
        <v>-1842.6995049131076</v>
      </c>
      <c r="H31">
        <v>-1518.2102360267679</v>
      </c>
      <c r="I31">
        <v>316.840384350698</v>
      </c>
      <c r="J31">
        <v>162.553328370423</v>
      </c>
      <c r="K31">
        <v>57.489746349517297</v>
      </c>
      <c r="L31">
        <v>0.8290906581684836</v>
      </c>
      <c r="M31">
        <v>-0.82884435191058847</v>
      </c>
      <c r="N31">
        <v>47.652160376198097</v>
      </c>
      <c r="O31">
        <v>47.652154485700699</v>
      </c>
      <c r="P31">
        <v>47.652145917316098</v>
      </c>
      <c r="Q31" t="s">
        <v>51</v>
      </c>
    </row>
    <row r="32" spans="1:17" x14ac:dyDescent="0.2">
      <c r="A32">
        <v>31</v>
      </c>
      <c r="B32">
        <v>750</v>
      </c>
      <c r="C32">
        <v>250</v>
      </c>
      <c r="D32">
        <v>0.324273566925672</v>
      </c>
      <c r="E32">
        <v>111.459003907382</v>
      </c>
      <c r="F32">
        <v>1.9393719255831801</v>
      </c>
      <c r="G32">
        <v>-1842.3834067764626</v>
      </c>
      <c r="H32">
        <v>-1518.4064865537521</v>
      </c>
      <c r="I32">
        <v>316.649306181209</v>
      </c>
      <c r="J32">
        <v>162.56100873992301</v>
      </c>
      <c r="K32">
        <v>57.471701243620899</v>
      </c>
      <c r="L32">
        <v>0.82749220824468472</v>
      </c>
      <c r="M32">
        <v>-0.82724549282768634</v>
      </c>
      <c r="N32">
        <v>47.545313157945401</v>
      </c>
      <c r="O32">
        <v>47.545307174786103</v>
      </c>
      <c r="P32">
        <v>47.545298594805303</v>
      </c>
      <c r="Q32" t="s">
        <v>51</v>
      </c>
    </row>
    <row r="33" spans="1:17" x14ac:dyDescent="0.2">
      <c r="A33">
        <v>32</v>
      </c>
      <c r="B33">
        <v>749</v>
      </c>
      <c r="C33">
        <v>250</v>
      </c>
      <c r="D33">
        <v>0.32354400039133302</v>
      </c>
      <c r="E33">
        <v>111.459044223078</v>
      </c>
      <c r="F33">
        <v>1.93998277698469</v>
      </c>
      <c r="G33">
        <v>-1842.0675022186813</v>
      </c>
      <c r="H33">
        <v>-1518.6025875961827</v>
      </c>
      <c r="I33">
        <v>316.458189733121</v>
      </c>
      <c r="J33">
        <v>162.568645830679</v>
      </c>
      <c r="K33">
        <v>57.453625643171101</v>
      </c>
      <c r="L33">
        <v>0.82590200917458212</v>
      </c>
      <c r="M33">
        <v>-0.82565488957007094</v>
      </c>
      <c r="N33">
        <v>47.438972737796298</v>
      </c>
      <c r="O33">
        <v>47.438966661549799</v>
      </c>
      <c r="P33">
        <v>47.438958070210298</v>
      </c>
      <c r="Q33" t="s">
        <v>51</v>
      </c>
    </row>
    <row r="34" spans="1:17" x14ac:dyDescent="0.2">
      <c r="A34">
        <v>33</v>
      </c>
      <c r="B34">
        <v>748</v>
      </c>
      <c r="C34">
        <v>250</v>
      </c>
      <c r="D34">
        <v>0.32281300494540499</v>
      </c>
      <c r="E34">
        <v>111.459084697093</v>
      </c>
      <c r="F34">
        <v>1.9405950298619601</v>
      </c>
      <c r="G34">
        <v>-1841.7517912899004</v>
      </c>
      <c r="H34">
        <v>-1518.798540363513</v>
      </c>
      <c r="I34">
        <v>316.26703375895499</v>
      </c>
      <c r="J34">
        <v>162.57623930662899</v>
      </c>
      <c r="K34">
        <v>57.435520024505898</v>
      </c>
      <c r="L34">
        <v>0.8243199905566243</v>
      </c>
      <c r="M34">
        <v>-0.8240724717169764</v>
      </c>
      <c r="N34">
        <v>47.333135162013903</v>
      </c>
      <c r="O34">
        <v>47.333128992260001</v>
      </c>
      <c r="P34">
        <v>47.333120389799099</v>
      </c>
      <c r="Q34" t="s">
        <v>51</v>
      </c>
    </row>
    <row r="35" spans="1:17" x14ac:dyDescent="0.2">
      <c r="A35">
        <v>34</v>
      </c>
      <c r="B35">
        <v>747</v>
      </c>
      <c r="C35">
        <v>250</v>
      </c>
      <c r="D35">
        <v>0.32208057638582899</v>
      </c>
      <c r="E35">
        <v>111.459125330201</v>
      </c>
      <c r="F35">
        <v>1.94120867051641</v>
      </c>
      <c r="G35">
        <v>-1841.4362740424519</v>
      </c>
      <c r="H35">
        <v>-1518.9943460526722</v>
      </c>
      <c r="I35">
        <v>316.07583702076602</v>
      </c>
      <c r="J35">
        <v>162.58378882866899</v>
      </c>
      <c r="K35">
        <v>57.417384860819702</v>
      </c>
      <c r="L35">
        <v>0.82274608274500138</v>
      </c>
      <c r="M35">
        <v>-0.82249816960355537</v>
      </c>
      <c r="N35">
        <v>47.227796518273401</v>
      </c>
      <c r="O35">
        <v>47.227790254597103</v>
      </c>
      <c r="P35">
        <v>47.227781641252101</v>
      </c>
      <c r="Q35" t="s">
        <v>51</v>
      </c>
    </row>
    <row r="36" spans="1:17" x14ac:dyDescent="0.2">
      <c r="A36">
        <v>35</v>
      </c>
      <c r="B36">
        <v>746</v>
      </c>
      <c r="C36">
        <v>250</v>
      </c>
      <c r="D36">
        <v>0.32134671049404001</v>
      </c>
      <c r="E36">
        <v>111.459166123141</v>
      </c>
      <c r="F36">
        <v>1.94182368532185</v>
      </c>
      <c r="G36">
        <v>-1841.1209505293316</v>
      </c>
      <c r="H36">
        <v>-1519.1900058471635</v>
      </c>
      <c r="I36">
        <v>315.88459828957298</v>
      </c>
      <c r="J36">
        <v>162.591294054706</v>
      </c>
      <c r="K36">
        <v>57.399220622168301</v>
      </c>
      <c r="L36">
        <v>0.82118021682610221</v>
      </c>
      <c r="M36">
        <v>-0.8209319142973277</v>
      </c>
      <c r="N36">
        <v>47.1229529343303</v>
      </c>
      <c r="O36">
        <v>47.1229465763221</v>
      </c>
      <c r="P36">
        <v>47.122937952329998</v>
      </c>
      <c r="Q36" t="s">
        <v>51</v>
      </c>
    </row>
    <row r="37" spans="1:17" x14ac:dyDescent="0.2">
      <c r="A37">
        <v>36</v>
      </c>
      <c r="B37">
        <v>745</v>
      </c>
      <c r="C37">
        <v>250</v>
      </c>
      <c r="D37">
        <v>0.32061140303491598</v>
      </c>
      <c r="E37">
        <v>111.459207076669</v>
      </c>
      <c r="F37">
        <v>1.9424400607237</v>
      </c>
      <c r="G37">
        <v>-1840.8058208050275</v>
      </c>
      <c r="H37">
        <v>-1519.385520917225</v>
      </c>
      <c r="I37">
        <v>315.69331634606101</v>
      </c>
      <c r="J37">
        <v>162.59875463952201</v>
      </c>
      <c r="K37">
        <v>57.381027775519499</v>
      </c>
      <c r="L37">
        <v>0.8196223246469595</v>
      </c>
      <c r="M37">
        <v>-0.81937363762663207</v>
      </c>
      <c r="N37">
        <v>47.018600579711098</v>
      </c>
      <c r="O37">
        <v>47.018594126966597</v>
      </c>
      <c r="P37">
        <v>47.0185854925641</v>
      </c>
      <c r="Q37" t="s">
        <v>51</v>
      </c>
    </row>
    <row r="38" spans="1:17" x14ac:dyDescent="0.2">
      <c r="A38">
        <v>37</v>
      </c>
      <c r="B38">
        <v>744</v>
      </c>
      <c r="C38">
        <v>250</v>
      </c>
      <c r="D38">
        <v>0.31987464975667701</v>
      </c>
      <c r="E38">
        <v>111.459220024098</v>
      </c>
      <c r="F38">
        <v>1.93206789532209</v>
      </c>
      <c r="G38">
        <v>-1840.4909932176745</v>
      </c>
      <c r="H38">
        <v>-1521.67707095068</v>
      </c>
      <c r="I38">
        <v>313.44168729322701</v>
      </c>
      <c r="J38">
        <v>162.56847648505899</v>
      </c>
      <c r="K38">
        <v>57.689080334061998</v>
      </c>
      <c r="L38">
        <v>0.71261889549424196</v>
      </c>
      <c r="M38">
        <v>-0.71233196543995081</v>
      </c>
      <c r="N38">
        <v>41.096198711197999</v>
      </c>
      <c r="O38">
        <v>41.096191267405999</v>
      </c>
      <c r="P38">
        <v>41.096181311722098</v>
      </c>
      <c r="Q38" t="s">
        <v>51</v>
      </c>
    </row>
    <row r="39" spans="1:17" x14ac:dyDescent="0.2">
      <c r="A39">
        <v>38</v>
      </c>
      <c r="B39">
        <v>743</v>
      </c>
      <c r="C39">
        <v>250</v>
      </c>
      <c r="D39">
        <v>0.31913644639078897</v>
      </c>
      <c r="E39">
        <v>111.459195894514</v>
      </c>
      <c r="F39">
        <v>1.9176299970924899</v>
      </c>
      <c r="G39">
        <v>-1840.1788315095539</v>
      </c>
      <c r="H39">
        <v>-1524.866842288237</v>
      </c>
      <c r="I39">
        <v>310.30448075217203</v>
      </c>
      <c r="J39">
        <v>162.511954614443</v>
      </c>
      <c r="K39">
        <v>58.123410701495402</v>
      </c>
      <c r="L39">
        <v>0.56198811787583769</v>
      </c>
      <c r="M39">
        <v>-0.56164800086357269</v>
      </c>
      <c r="N39">
        <v>32.647776002627502</v>
      </c>
      <c r="O39">
        <v>32.647767171677401</v>
      </c>
      <c r="P39">
        <v>32.6477553564199</v>
      </c>
      <c r="Q39" t="s">
        <v>51</v>
      </c>
    </row>
    <row r="40" spans="1:17" x14ac:dyDescent="0.2">
      <c r="A40">
        <v>39</v>
      </c>
      <c r="B40">
        <v>742</v>
      </c>
      <c r="C40">
        <v>250</v>
      </c>
      <c r="D40">
        <v>0.318396788651924</v>
      </c>
      <c r="E40">
        <v>111.46813988750201</v>
      </c>
      <c r="F40">
        <v>1.8712319504819399</v>
      </c>
      <c r="G40">
        <v>-1840.0228295399727</v>
      </c>
      <c r="H40">
        <v>-1535.0429202142616</v>
      </c>
      <c r="I40">
        <v>300.43422313228598</v>
      </c>
      <c r="J40">
        <v>162.120423444549</v>
      </c>
      <c r="K40">
        <v>59.569386819626402</v>
      </c>
      <c r="L40">
        <v>9.7877961597312491E-2</v>
      </c>
      <c r="M40">
        <v>-9.7372677439112709E-2</v>
      </c>
      <c r="N40">
        <v>5.8047803159510201</v>
      </c>
      <c r="O40">
        <v>5.8047671775319003</v>
      </c>
      <c r="P40">
        <v>5.80474938799758</v>
      </c>
      <c r="Q40" t="s">
        <v>51</v>
      </c>
    </row>
    <row r="41" spans="1:17" x14ac:dyDescent="0.2">
      <c r="A41">
        <v>40</v>
      </c>
      <c r="B41">
        <v>741</v>
      </c>
      <c r="C41">
        <v>250</v>
      </c>
      <c r="D41">
        <v>0.31765567223783697</v>
      </c>
      <c r="E41">
        <v>111.468224494354</v>
      </c>
      <c r="F41">
        <v>1.8675850162768799</v>
      </c>
      <c r="G41">
        <v>-1839.7244385629376</v>
      </c>
      <c r="H41">
        <v>-1536.1956993408553</v>
      </c>
      <c r="I41">
        <v>299.299736786837</v>
      </c>
      <c r="J41">
        <v>162.111365096502</v>
      </c>
      <c r="K41">
        <v>59.685756483831</v>
      </c>
      <c r="L41">
        <v>5.2839071454255697E-2</v>
      </c>
      <c r="M41">
        <v>-5.2318116470960463E-2</v>
      </c>
      <c r="N41">
        <v>3.12712852156965</v>
      </c>
      <c r="O41">
        <v>3.1271148200302799</v>
      </c>
      <c r="P41">
        <v>3.1270964578308398</v>
      </c>
      <c r="Q41" t="s">
        <v>51</v>
      </c>
    </row>
    <row r="42" spans="1:17" x14ac:dyDescent="0.2">
      <c r="A42">
        <v>41</v>
      </c>
      <c r="B42">
        <v>759</v>
      </c>
      <c r="C42">
        <v>225</v>
      </c>
      <c r="D42">
        <v>0.35741946422516302</v>
      </c>
      <c r="E42">
        <v>111.458902456454</v>
      </c>
      <c r="F42">
        <v>1.8948113550180801</v>
      </c>
      <c r="G42">
        <v>-1846.6945461693495</v>
      </c>
      <c r="H42">
        <v>-1517.6284160279106</v>
      </c>
      <c r="I42">
        <v>318.819081016496</v>
      </c>
      <c r="J42">
        <v>163.32669083869899</v>
      </c>
      <c r="K42">
        <v>58.823218554857398</v>
      </c>
      <c r="L42">
        <v>0.82010764257096591</v>
      </c>
      <c r="M42">
        <v>-0.81980485224194188</v>
      </c>
      <c r="N42">
        <v>48.226499133746699</v>
      </c>
      <c r="O42">
        <v>48.226494594098902</v>
      </c>
      <c r="P42">
        <v>48.226482305418301</v>
      </c>
      <c r="Q42" t="s">
        <v>51</v>
      </c>
    </row>
    <row r="43" spans="1:17" x14ac:dyDescent="0.2">
      <c r="A43">
        <v>42</v>
      </c>
      <c r="B43">
        <v>758</v>
      </c>
      <c r="C43">
        <v>225</v>
      </c>
      <c r="D43">
        <v>0.356728410027642</v>
      </c>
      <c r="E43">
        <v>111.45893724350999</v>
      </c>
      <c r="F43">
        <v>1.8954734043797601</v>
      </c>
      <c r="G43">
        <v>-1846.376368368456</v>
      </c>
      <c r="H43">
        <v>-1517.8034283594982</v>
      </c>
      <c r="I43">
        <v>318.64998010063198</v>
      </c>
      <c r="J43">
        <v>163.33033035729301</v>
      </c>
      <c r="K43">
        <v>58.802691183093401</v>
      </c>
      <c r="L43">
        <v>0.8196802144402241</v>
      </c>
      <c r="M43">
        <v>-0.81937733699866866</v>
      </c>
      <c r="N43">
        <v>48.184525210819203</v>
      </c>
      <c r="O43">
        <v>48.184520555913998</v>
      </c>
      <c r="P43">
        <v>48.184508264301599</v>
      </c>
      <c r="Q43" t="s">
        <v>51</v>
      </c>
    </row>
    <row r="44" spans="1:17" x14ac:dyDescent="0.2">
      <c r="A44">
        <v>43</v>
      </c>
      <c r="B44">
        <v>757</v>
      </c>
      <c r="C44">
        <v>225</v>
      </c>
      <c r="D44">
        <v>0.35603601417269398</v>
      </c>
      <c r="E44">
        <v>111.45897665624901</v>
      </c>
      <c r="F44">
        <v>1.8961228422545999</v>
      </c>
      <c r="G44">
        <v>-1846.0584488556649</v>
      </c>
      <c r="H44">
        <v>-1517.9998219607971</v>
      </c>
      <c r="I44">
        <v>318.46004972881298</v>
      </c>
      <c r="J44">
        <v>163.34040062343399</v>
      </c>
      <c r="K44">
        <v>58.782571557293103</v>
      </c>
      <c r="L44">
        <v>0.81814350168833005</v>
      </c>
      <c r="M44">
        <v>-0.81784016343371979</v>
      </c>
      <c r="N44">
        <v>48.077677880547697</v>
      </c>
      <c r="O44">
        <v>48.077673103871497</v>
      </c>
      <c r="P44">
        <v>48.0776607941865</v>
      </c>
      <c r="Q44" t="s">
        <v>51</v>
      </c>
    </row>
    <row r="45" spans="1:17" x14ac:dyDescent="0.2">
      <c r="A45">
        <v>44</v>
      </c>
      <c r="B45">
        <v>756</v>
      </c>
      <c r="C45">
        <v>225</v>
      </c>
      <c r="D45">
        <v>0.35534227274935698</v>
      </c>
      <c r="E45">
        <v>111.459016222709</v>
      </c>
      <c r="F45">
        <v>1.8967739853371799</v>
      </c>
      <c r="G45">
        <v>-1845.740721717747</v>
      </c>
      <c r="H45">
        <v>-1518.1960719393264</v>
      </c>
      <c r="I45">
        <v>318.27007670628001</v>
      </c>
      <c r="J45">
        <v>163.350443448676</v>
      </c>
      <c r="K45">
        <v>58.762412962393803</v>
      </c>
      <c r="L45">
        <v>0.81661481114748868</v>
      </c>
      <c r="M45">
        <v>-0.81631101770179515</v>
      </c>
      <c r="N45">
        <v>47.971332258471598</v>
      </c>
      <c r="O45">
        <v>47.971327359221704</v>
      </c>
      <c r="P45">
        <v>47.971315031768</v>
      </c>
      <c r="Q45" t="s">
        <v>51</v>
      </c>
    </row>
    <row r="46" spans="1:17" x14ac:dyDescent="0.2">
      <c r="A46">
        <v>45</v>
      </c>
      <c r="B46">
        <v>755</v>
      </c>
      <c r="C46">
        <v>225</v>
      </c>
      <c r="D46">
        <v>0.354647181831445</v>
      </c>
      <c r="E46">
        <v>111.459055943575</v>
      </c>
      <c r="F46">
        <v>1.8974268182735201</v>
      </c>
      <c r="G46">
        <v>-1845.4231870087701</v>
      </c>
      <c r="H46">
        <v>-1518.3921794870917</v>
      </c>
      <c r="I46">
        <v>318.08005980206599</v>
      </c>
      <c r="J46">
        <v>163.36045831665001</v>
      </c>
      <c r="K46">
        <v>58.742215968567699</v>
      </c>
      <c r="L46">
        <v>0.81509407402231226</v>
      </c>
      <c r="M46">
        <v>-0.81478983099373703</v>
      </c>
      <c r="N46">
        <v>47.865484461097601</v>
      </c>
      <c r="O46">
        <v>47.8654794384776</v>
      </c>
      <c r="P46">
        <v>47.865467093559303</v>
      </c>
      <c r="Q46" t="s">
        <v>51</v>
      </c>
    </row>
    <row r="47" spans="1:17" x14ac:dyDescent="0.2">
      <c r="A47">
        <v>46</v>
      </c>
      <c r="B47">
        <v>754</v>
      </c>
      <c r="C47">
        <v>225</v>
      </c>
      <c r="D47">
        <v>0.35395073747748601</v>
      </c>
      <c r="E47">
        <v>111.459095819616</v>
      </c>
      <c r="F47">
        <v>1.8980813257832201</v>
      </c>
      <c r="G47">
        <v>-1845.1058447853388</v>
      </c>
      <c r="H47">
        <v>-1518.5881457839494</v>
      </c>
      <c r="I47">
        <v>317.88999779471101</v>
      </c>
      <c r="J47">
        <v>163.37044470612901</v>
      </c>
      <c r="K47">
        <v>58.721981142522502</v>
      </c>
      <c r="L47">
        <v>0.8135812222616029</v>
      </c>
      <c r="M47">
        <v>-0.81327653524476229</v>
      </c>
      <c r="N47">
        <v>47.760130646063899</v>
      </c>
      <c r="O47">
        <v>47.760125499283099</v>
      </c>
      <c r="P47">
        <v>47.760113137205302</v>
      </c>
      <c r="Q47" t="s">
        <v>51</v>
      </c>
    </row>
    <row r="48" spans="1:17" x14ac:dyDescent="0.2">
      <c r="A48">
        <v>47</v>
      </c>
      <c r="B48">
        <v>753</v>
      </c>
      <c r="C48">
        <v>225</v>
      </c>
      <c r="D48">
        <v>0.35325293573064698</v>
      </c>
      <c r="E48">
        <v>111.459135851516</v>
      </c>
      <c r="F48">
        <v>1.8987374926493099</v>
      </c>
      <c r="G48">
        <v>-1844.7886951038884</v>
      </c>
      <c r="H48">
        <v>-1518.7839719958824</v>
      </c>
      <c r="I48">
        <v>317.69988947134101</v>
      </c>
      <c r="J48">
        <v>163.38040209139101</v>
      </c>
      <c r="K48">
        <v>58.7017090477298</v>
      </c>
      <c r="L48">
        <v>0.81207618851751973</v>
      </c>
      <c r="M48">
        <v>-0.81177106309360414</v>
      </c>
      <c r="N48">
        <v>47.655267009949</v>
      </c>
      <c r="O48">
        <v>47.655261738223302</v>
      </c>
      <c r="P48">
        <v>47.655249359291297</v>
      </c>
      <c r="Q48" t="s">
        <v>51</v>
      </c>
    </row>
    <row r="49" spans="1:17" x14ac:dyDescent="0.2">
      <c r="A49">
        <v>48</v>
      </c>
      <c r="B49">
        <v>752</v>
      </c>
      <c r="C49">
        <v>225</v>
      </c>
      <c r="D49">
        <v>0.35255377261864101</v>
      </c>
      <c r="E49">
        <v>111.459176040025</v>
      </c>
      <c r="F49">
        <v>1.8993953037219999</v>
      </c>
      <c r="G49">
        <v>-1844.4717380232</v>
      </c>
      <c r="H49">
        <v>-1518.979659276765</v>
      </c>
      <c r="I49">
        <v>317.50973362845201</v>
      </c>
      <c r="J49">
        <v>163.390329942102</v>
      </c>
      <c r="K49">
        <v>58.681400244389799</v>
      </c>
      <c r="L49">
        <v>0.81057890617034611</v>
      </c>
      <c r="M49">
        <v>-0.81027334790728778</v>
      </c>
      <c r="N49">
        <v>47.550889789720401</v>
      </c>
      <c r="O49">
        <v>47.550884392271598</v>
      </c>
      <c r="P49">
        <v>47.550871996791699</v>
      </c>
      <c r="Q49" t="s">
        <v>51</v>
      </c>
    </row>
    <row r="50" spans="1:17" x14ac:dyDescent="0.2">
      <c r="A50">
        <v>49</v>
      </c>
      <c r="B50">
        <v>751</v>
      </c>
      <c r="C50">
        <v>225</v>
      </c>
      <c r="D50">
        <v>0.35185324415369101</v>
      </c>
      <c r="E50">
        <v>111.459216385883</v>
      </c>
      <c r="F50">
        <v>1.90005474391416</v>
      </c>
      <c r="G50">
        <v>-1844.1549736030174</v>
      </c>
      <c r="H50">
        <v>-1519.175208767839</v>
      </c>
      <c r="I50">
        <v>317.31952907110701</v>
      </c>
      <c r="J50">
        <v>163.40022772355999</v>
      </c>
      <c r="K50">
        <v>58.661055289530097</v>
      </c>
      <c r="L50">
        <v>0.80908930928957767</v>
      </c>
      <c r="M50">
        <v>-0.80878332374220063</v>
      </c>
      <c r="N50">
        <v>47.4469952605494</v>
      </c>
      <c r="O50">
        <v>47.446989736606298</v>
      </c>
      <c r="P50">
        <v>47.446977324884998</v>
      </c>
      <c r="Q50" t="s">
        <v>51</v>
      </c>
    </row>
    <row r="51" spans="1:17" x14ac:dyDescent="0.2">
      <c r="A51">
        <v>50</v>
      </c>
      <c r="B51">
        <v>750</v>
      </c>
      <c r="C51">
        <v>225</v>
      </c>
      <c r="D51">
        <v>0.35115134633240402</v>
      </c>
      <c r="E51">
        <v>111.45925835370799</v>
      </c>
      <c r="F51">
        <v>1.8999063970855301</v>
      </c>
      <c r="G51">
        <v>-1843.8384509917366</v>
      </c>
      <c r="H51">
        <v>-1519.4843231246321</v>
      </c>
      <c r="I51">
        <v>317.01821806696199</v>
      </c>
      <c r="J51">
        <v>163.41131730355301</v>
      </c>
      <c r="K51">
        <v>58.665657700130602</v>
      </c>
      <c r="L51">
        <v>0.80220250262185422</v>
      </c>
      <c r="M51">
        <v>-0.80189362614647353</v>
      </c>
      <c r="N51">
        <v>47.046549980522101</v>
      </c>
      <c r="O51">
        <v>47.046544289339302</v>
      </c>
      <c r="P51">
        <v>47.046531759672398</v>
      </c>
      <c r="Q51" t="s">
        <v>51</v>
      </c>
    </row>
    <row r="52" spans="1:17" x14ac:dyDescent="0.2">
      <c r="A52">
        <v>51</v>
      </c>
      <c r="B52">
        <v>749</v>
      </c>
      <c r="C52">
        <v>225</v>
      </c>
      <c r="D52">
        <v>0.350448075135744</v>
      </c>
      <c r="E52">
        <v>111.45930201051399</v>
      </c>
      <c r="F52">
        <v>1.8987937915299899</v>
      </c>
      <c r="G52">
        <v>-1843.5223539737267</v>
      </c>
      <c r="H52">
        <v>-1519.9298194049802</v>
      </c>
      <c r="I52">
        <v>316.58333668199202</v>
      </c>
      <c r="J52">
        <v>163.425531993193</v>
      </c>
      <c r="K52">
        <v>58.7000560606973</v>
      </c>
      <c r="L52">
        <v>0.78882252726071966</v>
      </c>
      <c r="M52">
        <v>-0.78850780296668865</v>
      </c>
      <c r="N52">
        <v>46.288435116882297</v>
      </c>
      <c r="O52">
        <v>46.288429207286498</v>
      </c>
      <c r="P52">
        <v>46.288416437426598</v>
      </c>
      <c r="Q52" t="s">
        <v>51</v>
      </c>
    </row>
    <row r="53" spans="1:17" x14ac:dyDescent="0.2">
      <c r="A53">
        <v>52</v>
      </c>
      <c r="B53">
        <v>748</v>
      </c>
      <c r="C53">
        <v>225</v>
      </c>
      <c r="D53">
        <v>0.34974342652891699</v>
      </c>
      <c r="E53">
        <v>111.45931685075099</v>
      </c>
      <c r="F53">
        <v>1.8895820413719</v>
      </c>
      <c r="G53">
        <v>-1843.2065538169179</v>
      </c>
      <c r="H53">
        <v>-1521.9319750437576</v>
      </c>
      <c r="I53">
        <v>314.62377039068298</v>
      </c>
      <c r="J53">
        <v>163.354016102679</v>
      </c>
      <c r="K53">
        <v>58.986227859060101</v>
      </c>
      <c r="L53">
        <v>0.6972862654035632</v>
      </c>
      <c r="M53">
        <v>-0.69693576860566031</v>
      </c>
      <c r="N53">
        <v>41.112935843963697</v>
      </c>
      <c r="O53">
        <v>41.112929187818203</v>
      </c>
      <c r="P53">
        <v>41.1129149516578</v>
      </c>
      <c r="Q53" t="s">
        <v>51</v>
      </c>
    </row>
    <row r="54" spans="1:17" x14ac:dyDescent="0.2">
      <c r="A54">
        <v>53</v>
      </c>
      <c r="B54">
        <v>747</v>
      </c>
      <c r="C54">
        <v>225</v>
      </c>
      <c r="D54">
        <v>0.34903739646130499</v>
      </c>
      <c r="E54">
        <v>111.45929198426199</v>
      </c>
      <c r="F54">
        <v>1.87516776055347</v>
      </c>
      <c r="G54">
        <v>-1842.8931305128397</v>
      </c>
      <c r="H54">
        <v>-1525.0134590666066</v>
      </c>
      <c r="I54">
        <v>311.60488395955099</v>
      </c>
      <c r="J54">
        <v>163.21834981331301</v>
      </c>
      <c r="K54">
        <v>59.439637524145802</v>
      </c>
      <c r="L54">
        <v>0.5533197396643712</v>
      </c>
      <c r="M54">
        <v>-0.55291374138682303</v>
      </c>
      <c r="N54">
        <v>32.868853498677602</v>
      </c>
      <c r="O54">
        <v>32.868845706134003</v>
      </c>
      <c r="P54">
        <v>32.868829168437202</v>
      </c>
      <c r="Q54" t="s">
        <v>51</v>
      </c>
    </row>
    <row r="55" spans="1:17" x14ac:dyDescent="0.2">
      <c r="A55">
        <v>54</v>
      </c>
      <c r="B55">
        <v>746</v>
      </c>
      <c r="C55">
        <v>225</v>
      </c>
      <c r="D55">
        <v>0.34832998086640898</v>
      </c>
      <c r="E55">
        <v>111.468760426934</v>
      </c>
      <c r="F55">
        <v>1.82866930272039</v>
      </c>
      <c r="G55">
        <v>-1842.7436858610824</v>
      </c>
      <c r="H55">
        <v>-1534.9320615027225</v>
      </c>
      <c r="I55">
        <v>302.03355814540402</v>
      </c>
      <c r="J55">
        <v>162.53312325367801</v>
      </c>
      <c r="K55">
        <v>60.956215681593903</v>
      </c>
      <c r="L55">
        <v>0.10640267706451749</v>
      </c>
      <c r="M55">
        <v>-0.1058234780656659</v>
      </c>
      <c r="N55">
        <v>6.4562070187265403</v>
      </c>
      <c r="O55">
        <v>6.4561957689548004</v>
      </c>
      <c r="P55">
        <v>6.4561717987684801</v>
      </c>
      <c r="Q55" t="s">
        <v>51</v>
      </c>
    </row>
    <row r="56" spans="1:17" x14ac:dyDescent="0.2">
      <c r="A56">
        <v>55</v>
      </c>
      <c r="B56">
        <v>745</v>
      </c>
      <c r="C56">
        <v>225</v>
      </c>
      <c r="D56">
        <v>0.347621175661739</v>
      </c>
      <c r="E56">
        <v>111.468831117376</v>
      </c>
      <c r="F56">
        <v>1.82458520033281</v>
      </c>
      <c r="G56">
        <v>-1842.443503963696</v>
      </c>
      <c r="H56">
        <v>-1536.1634896022538</v>
      </c>
      <c r="I56">
        <v>300.82609814063198</v>
      </c>
      <c r="J56">
        <v>162.48423927568501</v>
      </c>
      <c r="K56">
        <v>61.092697176894397</v>
      </c>
      <c r="L56">
        <v>5.8220173738218355E-2</v>
      </c>
      <c r="M56">
        <v>-5.7622680009437335E-2</v>
      </c>
      <c r="N56">
        <v>3.52610849034884</v>
      </c>
      <c r="O56">
        <v>3.5260966621863798</v>
      </c>
      <c r="P56">
        <v>3.5260718921557199</v>
      </c>
      <c r="Q56" t="s">
        <v>51</v>
      </c>
    </row>
    <row r="57" spans="1:17" x14ac:dyDescent="0.2">
      <c r="A57">
        <v>56</v>
      </c>
      <c r="B57">
        <v>759</v>
      </c>
      <c r="C57">
        <v>200</v>
      </c>
      <c r="D57">
        <v>0.38406287845759102</v>
      </c>
      <c r="E57">
        <v>111.459154111964</v>
      </c>
      <c r="F57">
        <v>1.84801314019054</v>
      </c>
      <c r="G57">
        <v>-1848.1870342105694</v>
      </c>
      <c r="H57">
        <v>-1518.5426118712614</v>
      </c>
      <c r="I57">
        <v>319.379575632762</v>
      </c>
      <c r="J57">
        <v>164.155145301077</v>
      </c>
      <c r="K57">
        <v>60.3129662273248</v>
      </c>
      <c r="L57">
        <v>0.79632861787704945</v>
      </c>
      <c r="M57">
        <v>-0.79594690658173062</v>
      </c>
      <c r="N57">
        <v>48.010121805198096</v>
      </c>
      <c r="O57">
        <v>48.010120199859003</v>
      </c>
      <c r="P57">
        <v>48.010101987132401</v>
      </c>
      <c r="Q57" t="s">
        <v>51</v>
      </c>
    </row>
    <row r="58" spans="1:17" x14ac:dyDescent="0.2">
      <c r="A58">
        <v>57</v>
      </c>
      <c r="B58">
        <v>758</v>
      </c>
      <c r="C58">
        <v>200</v>
      </c>
      <c r="D58">
        <v>0.383397662803666</v>
      </c>
      <c r="E58">
        <v>111.459193678047</v>
      </c>
      <c r="F58">
        <v>1.84872666312397</v>
      </c>
      <c r="G58">
        <v>-1847.8683874687272</v>
      </c>
      <c r="H58">
        <v>-1518.7380313174722</v>
      </c>
      <c r="I58">
        <v>319.19077591426702</v>
      </c>
      <c r="J58">
        <v>164.168242867462</v>
      </c>
      <c r="K58">
        <v>60.2897096154298</v>
      </c>
      <c r="L58">
        <v>0.79492611570275029</v>
      </c>
      <c r="M58">
        <v>-0.79454389755750621</v>
      </c>
      <c r="N58">
        <v>47.907018525982899</v>
      </c>
      <c r="O58">
        <v>47.907016758334301</v>
      </c>
      <c r="P58">
        <v>47.906998517520002</v>
      </c>
      <c r="Q58" t="s">
        <v>51</v>
      </c>
    </row>
    <row r="59" spans="1:17" x14ac:dyDescent="0.2">
      <c r="A59">
        <v>58</v>
      </c>
      <c r="B59">
        <v>757</v>
      </c>
      <c r="C59">
        <v>200</v>
      </c>
      <c r="D59">
        <v>0.38273115565694399</v>
      </c>
      <c r="E59">
        <v>111.45923339824699</v>
      </c>
      <c r="F59">
        <v>1.8494421932910501</v>
      </c>
      <c r="G59">
        <v>-1847.5499319871428</v>
      </c>
      <c r="H59">
        <v>-1518.9333228537876</v>
      </c>
      <c r="I59">
        <v>319.00191945078899</v>
      </c>
      <c r="J59">
        <v>164.18133520599699</v>
      </c>
      <c r="K59">
        <v>60.266405623582898</v>
      </c>
      <c r="L59">
        <v>0.79353090645655233</v>
      </c>
      <c r="M59">
        <v>-0.79314818770279494</v>
      </c>
      <c r="N59">
        <v>47.804382730060098</v>
      </c>
      <c r="O59">
        <v>47.804380798633296</v>
      </c>
      <c r="P59">
        <v>47.804362530095098</v>
      </c>
      <c r="Q59" t="s">
        <v>51</v>
      </c>
    </row>
    <row r="60" spans="1:17" x14ac:dyDescent="0.2">
      <c r="A60">
        <v>59</v>
      </c>
      <c r="B60">
        <v>756</v>
      </c>
      <c r="C60">
        <v>200</v>
      </c>
      <c r="D60">
        <v>0.38206335325268598</v>
      </c>
      <c r="E60">
        <v>111.459274442827</v>
      </c>
      <c r="F60">
        <v>1.84946406208676</v>
      </c>
      <c r="G60">
        <v>-1847.2317041060012</v>
      </c>
      <c r="H60">
        <v>-1519.2215157503852</v>
      </c>
      <c r="I60">
        <v>318.72266568977801</v>
      </c>
      <c r="J60">
        <v>164.19121270929301</v>
      </c>
      <c r="K60">
        <v>60.265715202417702</v>
      </c>
      <c r="L60">
        <v>0.78778265093022382</v>
      </c>
      <c r="M60">
        <v>-0.78739724254904386</v>
      </c>
      <c r="N60">
        <v>47.457270008334199</v>
      </c>
      <c r="O60">
        <v>47.457267903499798</v>
      </c>
      <c r="P60">
        <v>47.457249499109103</v>
      </c>
      <c r="Q60" t="s">
        <v>51</v>
      </c>
    </row>
    <row r="61" spans="1:17" x14ac:dyDescent="0.2">
      <c r="A61">
        <v>60</v>
      </c>
      <c r="B61">
        <v>755</v>
      </c>
      <c r="C61">
        <v>200</v>
      </c>
      <c r="D61">
        <v>0.38139425181150599</v>
      </c>
      <c r="E61">
        <v>111.459317343371</v>
      </c>
      <c r="F61">
        <v>1.8483671065952501</v>
      </c>
      <c r="G61">
        <v>-1846.913886752119</v>
      </c>
      <c r="H61">
        <v>-1519.6602602910568</v>
      </c>
      <c r="I61">
        <v>318.29686851635199</v>
      </c>
      <c r="J61">
        <v>164.19730957591901</v>
      </c>
      <c r="K61">
        <v>60.301504471524098</v>
      </c>
      <c r="L61">
        <v>0.77497107666207121</v>
      </c>
      <c r="M61">
        <v>-0.77457943038032573</v>
      </c>
      <c r="N61">
        <v>46.712577165063202</v>
      </c>
      <c r="O61">
        <v>46.712574869186902</v>
      </c>
      <c r="P61">
        <v>46.712556153292901</v>
      </c>
      <c r="Q61" t="s">
        <v>51</v>
      </c>
    </row>
    <row r="62" spans="1:17" x14ac:dyDescent="0.2">
      <c r="A62">
        <v>61</v>
      </c>
      <c r="B62">
        <v>754</v>
      </c>
      <c r="C62">
        <v>200</v>
      </c>
      <c r="D62">
        <v>0.38072384753930699</v>
      </c>
      <c r="E62">
        <v>111.459360100277</v>
      </c>
      <c r="F62">
        <v>1.84727808325001</v>
      </c>
      <c r="G62">
        <v>-1846.5964930368232</v>
      </c>
      <c r="H62">
        <v>-1520.0993285241927</v>
      </c>
      <c r="I62">
        <v>317.87033972320899</v>
      </c>
      <c r="J62">
        <v>164.20544052417401</v>
      </c>
      <c r="K62">
        <v>60.337077081638398</v>
      </c>
      <c r="L62">
        <v>0.76212978788748453</v>
      </c>
      <c r="M62">
        <v>-0.76173190148653991</v>
      </c>
      <c r="N62">
        <v>45.965008538468197</v>
      </c>
      <c r="O62">
        <v>45.965006045763701</v>
      </c>
      <c r="P62">
        <v>45.964987017831902</v>
      </c>
      <c r="Q62" t="s">
        <v>51</v>
      </c>
    </row>
    <row r="63" spans="1:17" x14ac:dyDescent="0.2">
      <c r="A63">
        <v>62</v>
      </c>
      <c r="B63">
        <v>753</v>
      </c>
      <c r="C63">
        <v>200</v>
      </c>
      <c r="D63">
        <v>0.380052136627202</v>
      </c>
      <c r="E63">
        <v>111.45940268396301</v>
      </c>
      <c r="F63">
        <v>1.8461914816694101</v>
      </c>
      <c r="G63">
        <v>-1846.2795236216659</v>
      </c>
      <c r="H63">
        <v>-1520.5396125825339</v>
      </c>
      <c r="I63">
        <v>317.44220858996101</v>
      </c>
      <c r="J63">
        <v>164.21557446167401</v>
      </c>
      <c r="K63">
        <v>60.3726123701842</v>
      </c>
      <c r="L63">
        <v>0.74921063871000049</v>
      </c>
      <c r="M63">
        <v>-0.74880648966295416</v>
      </c>
      <c r="N63">
        <v>45.211795913991203</v>
      </c>
      <c r="O63">
        <v>45.211793218547001</v>
      </c>
      <c r="P63">
        <v>45.211773877057801</v>
      </c>
      <c r="Q63" t="s">
        <v>51</v>
      </c>
    </row>
    <row r="64" spans="1:17" x14ac:dyDescent="0.2">
      <c r="A64">
        <v>63</v>
      </c>
      <c r="B64">
        <v>752</v>
      </c>
      <c r="C64">
        <v>200</v>
      </c>
      <c r="D64">
        <v>0.37937911525142798</v>
      </c>
      <c r="E64">
        <v>111.459388352773</v>
      </c>
      <c r="F64">
        <v>1.83072721786816</v>
      </c>
      <c r="G64">
        <v>-1845.9631941793521</v>
      </c>
      <c r="H64">
        <v>-1523.5706133173273</v>
      </c>
      <c r="I64">
        <v>314.48716944210997</v>
      </c>
      <c r="J64">
        <v>163.99664165308599</v>
      </c>
      <c r="K64">
        <v>60.882575658958203</v>
      </c>
      <c r="L64">
        <v>0.60803873639611883</v>
      </c>
      <c r="M64">
        <v>-0.60757403766312224</v>
      </c>
      <c r="N64">
        <v>36.99574032668</v>
      </c>
      <c r="O64">
        <v>36.995737099811599</v>
      </c>
      <c r="P64">
        <v>36.995714763289897</v>
      </c>
      <c r="Q64" t="s">
        <v>51</v>
      </c>
    </row>
    <row r="65" spans="1:17" x14ac:dyDescent="0.2">
      <c r="A65">
        <v>64</v>
      </c>
      <c r="B65">
        <v>751</v>
      </c>
      <c r="C65">
        <v>200</v>
      </c>
      <c r="D65">
        <v>0.378704779573308</v>
      </c>
      <c r="E65">
        <v>111.468653348719</v>
      </c>
      <c r="F65">
        <v>1.7864599406096999</v>
      </c>
      <c r="G65">
        <v>-1845.8032118162714</v>
      </c>
      <c r="H65">
        <v>-1532.3197337260458</v>
      </c>
      <c r="I65">
        <v>306.09670736496901</v>
      </c>
      <c r="J65">
        <v>163.14756475992601</v>
      </c>
      <c r="K65">
        <v>62.396391217524801</v>
      </c>
      <c r="L65">
        <v>0.214737528886593</v>
      </c>
      <c r="M65">
        <v>-0.21410413835902645</v>
      </c>
      <c r="N65">
        <v>13.366356218359099</v>
      </c>
      <c r="O65">
        <v>13.3663516814202</v>
      </c>
      <c r="P65">
        <v>13.366320719064699</v>
      </c>
      <c r="Q65" t="s">
        <v>51</v>
      </c>
    </row>
    <row r="66" spans="1:17" x14ac:dyDescent="0.2">
      <c r="A66">
        <v>65</v>
      </c>
      <c r="B66">
        <v>750</v>
      </c>
      <c r="C66">
        <v>200</v>
      </c>
      <c r="D66">
        <v>0.37802912573913899</v>
      </c>
      <c r="E66">
        <v>111.46944241013</v>
      </c>
      <c r="F66">
        <v>1.7729763156096101</v>
      </c>
      <c r="G66">
        <v>-1845.5117866652085</v>
      </c>
      <c r="H66">
        <v>-1535.3611018503702</v>
      </c>
      <c r="I66">
        <v>303.13899304072299</v>
      </c>
      <c r="J66">
        <v>162.854838085301</v>
      </c>
      <c r="K66">
        <v>62.871365753018203</v>
      </c>
      <c r="L66">
        <v>8.6232774338197815E-2</v>
      </c>
      <c r="M66">
        <v>-8.5544737407274918E-2</v>
      </c>
      <c r="N66">
        <v>5.3859846567960101</v>
      </c>
      <c r="O66">
        <v>5.3859794515511599</v>
      </c>
      <c r="P66">
        <v>5.3859456051845802</v>
      </c>
      <c r="Q66" t="s">
        <v>51</v>
      </c>
    </row>
    <row r="67" spans="1:17" x14ac:dyDescent="0.2">
      <c r="A67">
        <v>66</v>
      </c>
      <c r="B67">
        <v>749</v>
      </c>
      <c r="C67">
        <v>200</v>
      </c>
      <c r="D67">
        <v>0.37735214988015597</v>
      </c>
      <c r="E67">
        <v>111.46940098050599</v>
      </c>
      <c r="F67">
        <v>1.77016344561878</v>
      </c>
      <c r="G67">
        <v>-1845.2084954315362</v>
      </c>
      <c r="H67">
        <v>-1536.30246440518</v>
      </c>
      <c r="I67">
        <v>302.21801586632398</v>
      </c>
      <c r="J67">
        <v>162.80272751603499</v>
      </c>
      <c r="K67">
        <v>62.971247799968403</v>
      </c>
      <c r="L67">
        <v>5.1757400701683685E-2</v>
      </c>
      <c r="M67">
        <v>-5.1054922480479659E-2</v>
      </c>
      <c r="N67">
        <v>3.2228162145517198</v>
      </c>
      <c r="O67">
        <v>3.2228106016530398</v>
      </c>
      <c r="P67">
        <v>3.2227759864965599</v>
      </c>
      <c r="Q67" t="s">
        <v>51</v>
      </c>
    </row>
    <row r="68" spans="1:17" x14ac:dyDescent="0.2">
      <c r="A68">
        <v>67</v>
      </c>
      <c r="B68">
        <v>765</v>
      </c>
      <c r="C68">
        <v>175</v>
      </c>
      <c r="D68">
        <v>0.41451668833983701</v>
      </c>
      <c r="E68">
        <v>111.45921221785601</v>
      </c>
      <c r="F68">
        <v>1.7845142138113601</v>
      </c>
      <c r="G68">
        <v>-1851.6423441401403</v>
      </c>
      <c r="H68">
        <v>-1518.3861599506088</v>
      </c>
      <c r="I68">
        <v>321.01296892091199</v>
      </c>
      <c r="J68">
        <v>164.87678891684499</v>
      </c>
      <c r="K68">
        <v>62.4591338949337</v>
      </c>
      <c r="L68">
        <v>0.76630901124461914</v>
      </c>
      <c r="M68">
        <v>-0.76581964449449924</v>
      </c>
      <c r="N68">
        <v>47.838806868226797</v>
      </c>
      <c r="O68">
        <v>47.838814517759801</v>
      </c>
      <c r="P68">
        <v>47.838786881569298</v>
      </c>
      <c r="Q68" t="s">
        <v>51</v>
      </c>
    </row>
    <row r="69" spans="1:17" x14ac:dyDescent="0.2">
      <c r="A69">
        <v>68</v>
      </c>
      <c r="B69">
        <v>764</v>
      </c>
      <c r="C69">
        <v>175</v>
      </c>
      <c r="D69">
        <v>0.41388468398978101</v>
      </c>
      <c r="E69">
        <v>111.45924302111401</v>
      </c>
      <c r="F69">
        <v>1.78516529740116</v>
      </c>
      <c r="G69">
        <v>-1851.3219097749791</v>
      </c>
      <c r="H69">
        <v>-1518.5704797054716</v>
      </c>
      <c r="I69">
        <v>320.83581335640002</v>
      </c>
      <c r="J69">
        <v>164.881277368659</v>
      </c>
      <c r="K69">
        <v>62.436371121137</v>
      </c>
      <c r="L69">
        <v>0.76573887578669941</v>
      </c>
      <c r="M69">
        <v>-0.7652490264435734</v>
      </c>
      <c r="N69">
        <v>47.785736982842899</v>
      </c>
      <c r="O69">
        <v>47.785744442871597</v>
      </c>
      <c r="P69">
        <v>47.785716765455199</v>
      </c>
      <c r="Q69" t="s">
        <v>51</v>
      </c>
    </row>
    <row r="70" spans="1:17" x14ac:dyDescent="0.2">
      <c r="A70">
        <v>69</v>
      </c>
      <c r="B70">
        <v>763</v>
      </c>
      <c r="C70">
        <v>175</v>
      </c>
      <c r="D70">
        <v>0.41325145973073701</v>
      </c>
      <c r="E70">
        <v>111.459270186936</v>
      </c>
      <c r="F70">
        <v>1.7853386893237499</v>
      </c>
      <c r="G70">
        <v>-1851.0016212833025</v>
      </c>
      <c r="H70">
        <v>-1518.7994333184581</v>
      </c>
      <c r="I70">
        <v>320.61538881581401</v>
      </c>
      <c r="J70">
        <v>164.87486792051399</v>
      </c>
      <c r="K70">
        <v>62.430322522811899</v>
      </c>
      <c r="L70">
        <v>0.76322893934564862</v>
      </c>
      <c r="M70">
        <v>-0.76273739417293585</v>
      </c>
      <c r="N70">
        <v>47.624312883256799</v>
      </c>
      <c r="O70">
        <v>47.624320173117397</v>
      </c>
      <c r="P70">
        <v>47.6242923808881</v>
      </c>
      <c r="Q70" t="s">
        <v>51</v>
      </c>
    </row>
    <row r="71" spans="1:17" x14ac:dyDescent="0.2">
      <c r="A71">
        <v>70</v>
      </c>
      <c r="B71">
        <v>762</v>
      </c>
      <c r="C71">
        <v>175</v>
      </c>
      <c r="D71">
        <v>0.41261701202724399</v>
      </c>
      <c r="E71">
        <v>111.45930343098701</v>
      </c>
      <c r="F71">
        <v>1.78498649057492</v>
      </c>
      <c r="G71">
        <v>-1850.6816685653041</v>
      </c>
      <c r="H71">
        <v>-1519.1109749583954</v>
      </c>
      <c r="I71">
        <v>320.315093863247</v>
      </c>
      <c r="J71">
        <v>164.87051519986201</v>
      </c>
      <c r="K71">
        <v>62.442659381185301</v>
      </c>
      <c r="L71">
        <v>0.75676848826522281</v>
      </c>
      <c r="M71">
        <v>-0.7562731830513385</v>
      </c>
      <c r="N71">
        <v>47.230114927105802</v>
      </c>
      <c r="O71">
        <v>47.230122077076999</v>
      </c>
      <c r="P71">
        <v>47.2300940472146</v>
      </c>
      <c r="Q71" t="s">
        <v>51</v>
      </c>
    </row>
    <row r="72" spans="1:17" x14ac:dyDescent="0.2">
      <c r="A72">
        <v>71</v>
      </c>
      <c r="B72">
        <v>761</v>
      </c>
      <c r="C72">
        <v>175</v>
      </c>
      <c r="D72">
        <v>0.411981337330175</v>
      </c>
      <c r="E72">
        <v>111.459345310221</v>
      </c>
      <c r="F72">
        <v>1.7838817336583299</v>
      </c>
      <c r="G72">
        <v>-1850.3622378042717</v>
      </c>
      <c r="H72">
        <v>-1519.5415106387597</v>
      </c>
      <c r="I72">
        <v>319.89967956241702</v>
      </c>
      <c r="J72">
        <v>164.86969884621001</v>
      </c>
      <c r="K72">
        <v>62.481353560162098</v>
      </c>
      <c r="L72">
        <v>0.74461411690819446</v>
      </c>
      <c r="M72">
        <v>-0.74411207916901334</v>
      </c>
      <c r="N72">
        <v>46.499611343417101</v>
      </c>
      <c r="O72">
        <v>46.499618395783997</v>
      </c>
      <c r="P72">
        <v>46.4995899509154</v>
      </c>
      <c r="Q72" t="s">
        <v>51</v>
      </c>
    </row>
    <row r="73" spans="1:17" x14ac:dyDescent="0.2">
      <c r="A73">
        <v>72</v>
      </c>
      <c r="B73">
        <v>760</v>
      </c>
      <c r="C73">
        <v>175</v>
      </c>
      <c r="D73">
        <v>0.41134443207665999</v>
      </c>
      <c r="E73">
        <v>111.459387049578</v>
      </c>
      <c r="F73">
        <v>1.78278814443113</v>
      </c>
      <c r="G73">
        <v>-1850.0432202296665</v>
      </c>
      <c r="H73">
        <v>-1519.9721022948163</v>
      </c>
      <c r="I73">
        <v>319.483806939359</v>
      </c>
      <c r="J73">
        <v>164.87072315143601</v>
      </c>
      <c r="K73">
        <v>62.519703980387099</v>
      </c>
      <c r="L73">
        <v>0.73244315994698961</v>
      </c>
      <c r="M73">
        <v>-0.73193439143064554</v>
      </c>
      <c r="N73">
        <v>45.766877820775598</v>
      </c>
      <c r="O73">
        <v>45.766884768365301</v>
      </c>
      <c r="P73">
        <v>45.766855907661999</v>
      </c>
      <c r="Q73" t="s">
        <v>51</v>
      </c>
    </row>
    <row r="74" spans="1:17" x14ac:dyDescent="0.2">
      <c r="A74">
        <v>73</v>
      </c>
      <c r="B74">
        <v>759</v>
      </c>
      <c r="C74">
        <v>175</v>
      </c>
      <c r="D74">
        <v>0.41070629269001901</v>
      </c>
      <c r="E74">
        <v>111.45942862132</v>
      </c>
      <c r="F74">
        <v>1.7817002367405801</v>
      </c>
      <c r="G74">
        <v>-1849.7246162156498</v>
      </c>
      <c r="H74">
        <v>-1520.4035502470265</v>
      </c>
      <c r="I74">
        <v>319.06669977727802</v>
      </c>
      <c r="J74">
        <v>164.87351234108101</v>
      </c>
      <c r="K74">
        <v>62.557901897809003</v>
      </c>
      <c r="L74">
        <v>0.72021284023321719</v>
      </c>
      <c r="M74">
        <v>-0.71969732252192575</v>
      </c>
      <c r="N74">
        <v>45.029385627043503</v>
      </c>
      <c r="O74">
        <v>45.029392462913201</v>
      </c>
      <c r="P74">
        <v>45.029363184355802</v>
      </c>
      <c r="Q74" t="s">
        <v>51</v>
      </c>
    </row>
    <row r="75" spans="1:17" x14ac:dyDescent="0.2">
      <c r="A75">
        <v>74</v>
      </c>
      <c r="B75">
        <v>758</v>
      </c>
      <c r="C75">
        <v>175</v>
      </c>
      <c r="D75">
        <v>0.41006691557969399</v>
      </c>
      <c r="E75">
        <v>111.459468165762</v>
      </c>
      <c r="F75">
        <v>1.78003519294753</v>
      </c>
      <c r="G75">
        <v>-1849.4063984707198</v>
      </c>
      <c r="H75">
        <v>-1520.928566176475</v>
      </c>
      <c r="I75">
        <v>318.55843265693102</v>
      </c>
      <c r="J75">
        <v>164.866234202962</v>
      </c>
      <c r="K75">
        <v>62.616440735195901</v>
      </c>
      <c r="L75">
        <v>0.70335028726239412</v>
      </c>
      <c r="M75">
        <v>-0.70282582292202433</v>
      </c>
      <c r="N75">
        <v>44.015186942268301</v>
      </c>
      <c r="O75">
        <v>44.015193690863903</v>
      </c>
      <c r="P75">
        <v>44.0151638626634</v>
      </c>
      <c r="Q75" t="s">
        <v>51</v>
      </c>
    </row>
    <row r="76" spans="1:17" x14ac:dyDescent="0.2">
      <c r="A76">
        <v>75</v>
      </c>
      <c r="B76">
        <v>757</v>
      </c>
      <c r="C76">
        <v>175</v>
      </c>
      <c r="D76">
        <v>0.40942629714119499</v>
      </c>
      <c r="E76">
        <v>111.459444614639</v>
      </c>
      <c r="F76">
        <v>1.76278786132479</v>
      </c>
      <c r="G76">
        <v>-1849.0890293897746</v>
      </c>
      <c r="H76">
        <v>-1523.9963888007987</v>
      </c>
      <c r="I76">
        <v>315.58204341540102</v>
      </c>
      <c r="J76">
        <v>164.528962098401</v>
      </c>
      <c r="K76">
        <v>63.229074274923498</v>
      </c>
      <c r="L76">
        <v>0.56265002505601325</v>
      </c>
      <c r="M76">
        <v>-0.56205787980063926</v>
      </c>
      <c r="N76">
        <v>35.546044617942499</v>
      </c>
      <c r="O76">
        <v>35.546052101831499</v>
      </c>
      <c r="P76">
        <v>35.546018183639603</v>
      </c>
      <c r="Q76" t="s">
        <v>51</v>
      </c>
    </row>
    <row r="77" spans="1:17" x14ac:dyDescent="0.2">
      <c r="A77">
        <v>76</v>
      </c>
      <c r="B77">
        <v>756</v>
      </c>
      <c r="C77">
        <v>175</v>
      </c>
      <c r="D77">
        <v>0.40878443375601398</v>
      </c>
      <c r="E77">
        <v>111.46935771867101</v>
      </c>
      <c r="F77">
        <v>1.7181437912100399</v>
      </c>
      <c r="G77">
        <v>-1848.938773465567</v>
      </c>
      <c r="H77">
        <v>-1532.0926898394139</v>
      </c>
      <c r="I77">
        <v>307.876992552155</v>
      </c>
      <c r="J77">
        <v>163.42152008161</v>
      </c>
      <c r="K77">
        <v>64.877781643739198</v>
      </c>
      <c r="L77">
        <v>0.20799016724059913</v>
      </c>
      <c r="M77">
        <v>-0.20722740691238617</v>
      </c>
      <c r="N77">
        <v>13.454498651364601</v>
      </c>
      <c r="O77">
        <v>13.4545083054605</v>
      </c>
      <c r="P77">
        <v>13.4544637079293</v>
      </c>
      <c r="Q77" t="s">
        <v>51</v>
      </c>
    </row>
    <row r="78" spans="1:17" x14ac:dyDescent="0.2">
      <c r="A78">
        <v>77</v>
      </c>
      <c r="B78">
        <v>755</v>
      </c>
      <c r="C78">
        <v>175</v>
      </c>
      <c r="D78">
        <v>0.40814132179156798</v>
      </c>
      <c r="E78">
        <v>111.47004751748899</v>
      </c>
      <c r="F78">
        <v>1.7041458627217201</v>
      </c>
      <c r="G78">
        <v>-1848.6438380763407</v>
      </c>
      <c r="H78">
        <v>-1535.0035939798734</v>
      </c>
      <c r="I78">
        <v>305.05882042120197</v>
      </c>
      <c r="J78">
        <v>163.02742930942901</v>
      </c>
      <c r="K78">
        <v>65.411095350405105</v>
      </c>
      <c r="L78">
        <v>8.8079059879461241E-2</v>
      </c>
      <c r="M78">
        <v>-8.7259030166882454E-2</v>
      </c>
      <c r="N78">
        <v>5.71856126532583</v>
      </c>
      <c r="O78">
        <v>5.7185713948894099</v>
      </c>
      <c r="P78">
        <v>5.7185230832539702</v>
      </c>
      <c r="Q78" t="s">
        <v>51</v>
      </c>
    </row>
    <row r="79" spans="1:17" x14ac:dyDescent="0.2">
      <c r="A79">
        <v>78</v>
      </c>
      <c r="B79">
        <v>754</v>
      </c>
      <c r="C79">
        <v>175</v>
      </c>
      <c r="D79">
        <v>0.40749695760112897</v>
      </c>
      <c r="E79">
        <v>111.469979264006</v>
      </c>
      <c r="F79">
        <v>1.7008963755892601</v>
      </c>
      <c r="G79">
        <v>-1848.3382069949121</v>
      </c>
      <c r="H79">
        <v>-1535.9816392081445</v>
      </c>
      <c r="I79">
        <v>304.10620229005502</v>
      </c>
      <c r="J79">
        <v>162.93903162800501</v>
      </c>
      <c r="K79">
        <v>65.536020220743296</v>
      </c>
      <c r="L79">
        <v>5.2832006167755227E-2</v>
      </c>
      <c r="M79">
        <v>-5.1995230112013652E-2</v>
      </c>
      <c r="N79">
        <v>3.41862782507163</v>
      </c>
      <c r="O79">
        <v>3.4186378198212499</v>
      </c>
      <c r="P79">
        <v>3.4185884026872899</v>
      </c>
      <c r="Q79" t="s">
        <v>51</v>
      </c>
    </row>
    <row r="80" spans="1:17" x14ac:dyDescent="0.2">
      <c r="A80">
        <v>79</v>
      </c>
      <c r="B80">
        <v>775</v>
      </c>
      <c r="C80">
        <v>150</v>
      </c>
      <c r="D80">
        <v>0.44700710776129698</v>
      </c>
      <c r="E80">
        <v>111.459150894377</v>
      </c>
      <c r="F80">
        <v>1.6977716354090699</v>
      </c>
      <c r="G80">
        <v>-1856.4622613419947</v>
      </c>
      <c r="H80">
        <v>-1517.4598020921319</v>
      </c>
      <c r="I80">
        <v>323.43283269031099</v>
      </c>
      <c r="J80">
        <v>165.297613511554</v>
      </c>
      <c r="K80">
        <v>65.650260947799197</v>
      </c>
      <c r="L80">
        <v>0.72621334100033064</v>
      </c>
      <c r="M80">
        <v>-0.72557698584209018</v>
      </c>
      <c r="N80">
        <v>47.644599076707401</v>
      </c>
      <c r="O80">
        <v>47.644627141073002</v>
      </c>
      <c r="P80">
        <v>47.644584188312599</v>
      </c>
      <c r="Q80" t="s">
        <v>51</v>
      </c>
    </row>
    <row r="81" spans="1:17" x14ac:dyDescent="0.2">
      <c r="A81">
        <v>80</v>
      </c>
      <c r="B81">
        <v>774</v>
      </c>
      <c r="C81">
        <v>150</v>
      </c>
      <c r="D81">
        <v>0.44641216635630598</v>
      </c>
      <c r="E81">
        <v>111.459177689062</v>
      </c>
      <c r="F81">
        <v>1.6981440246369199</v>
      </c>
      <c r="G81">
        <v>-1856.1393610132141</v>
      </c>
      <c r="H81">
        <v>-1517.6780297673188</v>
      </c>
      <c r="I81">
        <v>323.22494913420098</v>
      </c>
      <c r="J81">
        <v>165.29423815526101</v>
      </c>
      <c r="K81">
        <v>65.635880156215407</v>
      </c>
      <c r="L81">
        <v>0.72433760630740995</v>
      </c>
      <c r="M81">
        <v>-0.72369957080347547</v>
      </c>
      <c r="N81">
        <v>47.5109410563418</v>
      </c>
      <c r="O81">
        <v>47.510969015690101</v>
      </c>
      <c r="P81">
        <v>47.510925919765697</v>
      </c>
      <c r="Q81" t="s">
        <v>51</v>
      </c>
    </row>
    <row r="82" spans="1:17" x14ac:dyDescent="0.2">
      <c r="A82">
        <v>81</v>
      </c>
      <c r="B82">
        <v>773</v>
      </c>
      <c r="C82">
        <v>150</v>
      </c>
      <c r="D82">
        <v>0.44581608755914398</v>
      </c>
      <c r="E82">
        <v>111.459203843041</v>
      </c>
      <c r="F82">
        <v>1.6984287378519101</v>
      </c>
      <c r="G82">
        <v>-1855.8166652989592</v>
      </c>
      <c r="H82">
        <v>-1517.9042135596906</v>
      </c>
      <c r="I82">
        <v>323.00926004305097</v>
      </c>
      <c r="J82">
        <v>165.288688605571</v>
      </c>
      <c r="K82">
        <v>65.624892795920005</v>
      </c>
      <c r="L82">
        <v>0.72212494809465977</v>
      </c>
      <c r="M82">
        <v>-0.72148499924918397</v>
      </c>
      <c r="N82">
        <v>47.3576646746655</v>
      </c>
      <c r="O82">
        <v>47.3576925369969</v>
      </c>
      <c r="P82">
        <v>47.357649279949698</v>
      </c>
      <c r="Q82" t="s">
        <v>51</v>
      </c>
    </row>
    <row r="83" spans="1:17" x14ac:dyDescent="0.2">
      <c r="A83">
        <v>82</v>
      </c>
      <c r="B83">
        <v>772</v>
      </c>
      <c r="C83">
        <v>150</v>
      </c>
      <c r="D83">
        <v>0.44521886810505501</v>
      </c>
      <c r="E83">
        <v>111.459230048194</v>
      </c>
      <c r="F83">
        <v>1.69871742568295</v>
      </c>
      <c r="G83">
        <v>-1855.4941861217696</v>
      </c>
      <c r="H83">
        <v>-1518.130308367618</v>
      </c>
      <c r="I83">
        <v>322.79345054233801</v>
      </c>
      <c r="J83">
        <v>165.28377658266399</v>
      </c>
      <c r="K83">
        <v>65.613755627062503</v>
      </c>
      <c r="L83">
        <v>0.71991115543616335</v>
      </c>
      <c r="M83">
        <v>-0.71926929380378379</v>
      </c>
      <c r="N83">
        <v>47.204254620350902</v>
      </c>
      <c r="O83">
        <v>47.204282381848401</v>
      </c>
      <c r="P83">
        <v>47.204238963288603</v>
      </c>
      <c r="Q83" t="s">
        <v>51</v>
      </c>
    </row>
    <row r="84" spans="1:17" x14ac:dyDescent="0.2">
      <c r="A84">
        <v>83</v>
      </c>
      <c r="B84">
        <v>771</v>
      </c>
      <c r="C84">
        <v>150</v>
      </c>
      <c r="D84">
        <v>0.44462050471675502</v>
      </c>
      <c r="E84">
        <v>111.45925630520701</v>
      </c>
      <c r="F84">
        <v>1.69901022294241</v>
      </c>
      <c r="G84">
        <v>-1855.1719236091697</v>
      </c>
      <c r="H84">
        <v>-1518.3563058032385</v>
      </c>
      <c r="I84">
        <v>322.57752843934901</v>
      </c>
      <c r="J84">
        <v>165.27950773733099</v>
      </c>
      <c r="K84">
        <v>65.602463599175607</v>
      </c>
      <c r="L84">
        <v>0.71769659565655541</v>
      </c>
      <c r="M84">
        <v>-0.71705282219340427</v>
      </c>
      <c r="N84">
        <v>47.050732422354699</v>
      </c>
      <c r="O84">
        <v>47.050760079130796</v>
      </c>
      <c r="P84">
        <v>47.050716498696701</v>
      </c>
      <c r="Q84" t="s">
        <v>51</v>
      </c>
    </row>
    <row r="85" spans="1:17" x14ac:dyDescent="0.2">
      <c r="A85">
        <v>84</v>
      </c>
      <c r="B85">
        <v>770</v>
      </c>
      <c r="C85">
        <v>150</v>
      </c>
      <c r="D85">
        <v>0.44402099410439499</v>
      </c>
      <c r="E85">
        <v>111.45928261479</v>
      </c>
      <c r="F85">
        <v>1.69930726173756</v>
      </c>
      <c r="G85">
        <v>-1854.8498778813198</v>
      </c>
      <c r="H85">
        <v>-1518.5821976249326</v>
      </c>
      <c r="I85">
        <v>322.36150142407502</v>
      </c>
      <c r="J85">
        <v>165.27588774450001</v>
      </c>
      <c r="K85">
        <v>65.591011775481604</v>
      </c>
      <c r="L85">
        <v>0.71548162777731761</v>
      </c>
      <c r="M85">
        <v>-0.71483594383818461</v>
      </c>
      <c r="N85">
        <v>46.897119175209497</v>
      </c>
      <c r="O85">
        <v>46.897146723307102</v>
      </c>
      <c r="P85">
        <v>46.897102980665501</v>
      </c>
      <c r="Q85" t="s">
        <v>51</v>
      </c>
    </row>
    <row r="86" spans="1:17" x14ac:dyDescent="0.2">
      <c r="A86">
        <v>85</v>
      </c>
      <c r="B86">
        <v>769</v>
      </c>
      <c r="C86">
        <v>150</v>
      </c>
      <c r="D86">
        <v>0.44342033296550898</v>
      </c>
      <c r="E86">
        <v>111.45930897772</v>
      </c>
      <c r="F86">
        <v>1.6996086711896601</v>
      </c>
      <c r="G86">
        <v>-1854.5280490518603</v>
      </c>
      <c r="H86">
        <v>-1518.807975763757</v>
      </c>
      <c r="I86">
        <v>322.145377044101</v>
      </c>
      <c r="J86">
        <v>165.272922311304</v>
      </c>
      <c r="K86">
        <v>65.579395343813403</v>
      </c>
      <c r="L86">
        <v>0.71326660119035168</v>
      </c>
      <c r="M86">
        <v>-0.71261900852499171</v>
      </c>
      <c r="N86">
        <v>46.743435458452097</v>
      </c>
      <c r="O86">
        <v>46.743462893844601</v>
      </c>
      <c r="P86">
        <v>46.7434189886905</v>
      </c>
      <c r="Q86" t="s">
        <v>51</v>
      </c>
    </row>
    <row r="87" spans="1:17" x14ac:dyDescent="0.2">
      <c r="A87">
        <v>86</v>
      </c>
      <c r="B87">
        <v>768</v>
      </c>
      <c r="C87">
        <v>150</v>
      </c>
      <c r="D87">
        <v>0.442818517984921</v>
      </c>
      <c r="E87">
        <v>111.45934943312299</v>
      </c>
      <c r="F87">
        <v>1.69848785808168</v>
      </c>
      <c r="G87">
        <v>-1854.2067575017938</v>
      </c>
      <c r="H87">
        <v>-1519.2263328892852</v>
      </c>
      <c r="I87">
        <v>321.74441806557297</v>
      </c>
      <c r="J87">
        <v>165.26297965782101</v>
      </c>
      <c r="K87">
        <v>65.622694270542894</v>
      </c>
      <c r="L87">
        <v>0.70202249407162598</v>
      </c>
      <c r="M87">
        <v>-0.70136765148145574</v>
      </c>
      <c r="N87">
        <v>46.036044663409101</v>
      </c>
      <c r="O87">
        <v>46.0360722301115</v>
      </c>
      <c r="P87">
        <v>46.036027768795698</v>
      </c>
      <c r="Q87" t="s">
        <v>51</v>
      </c>
    </row>
    <row r="88" spans="1:17" x14ac:dyDescent="0.2">
      <c r="A88">
        <v>87</v>
      </c>
      <c r="B88">
        <v>767</v>
      </c>
      <c r="C88">
        <v>150</v>
      </c>
      <c r="D88">
        <v>0.44221554583473799</v>
      </c>
      <c r="E88">
        <v>111.459389891455</v>
      </c>
      <c r="F88">
        <v>1.6973649141645299</v>
      </c>
      <c r="G88">
        <v>-1853.8858688574257</v>
      </c>
      <c r="H88">
        <v>-1519.6466666623003</v>
      </c>
      <c r="I88">
        <v>321.34117554074402</v>
      </c>
      <c r="J88">
        <v>165.25461108484799</v>
      </c>
      <c r="K88">
        <v>65.666132816417303</v>
      </c>
      <c r="L88">
        <v>0.69067121490879868</v>
      </c>
      <c r="M88">
        <v>-0.69000906555064534</v>
      </c>
      <c r="N88">
        <v>45.320735067589297</v>
      </c>
      <c r="O88">
        <v>45.320762761231698</v>
      </c>
      <c r="P88">
        <v>45.3207177379482</v>
      </c>
      <c r="Q88" t="s">
        <v>51</v>
      </c>
    </row>
    <row r="89" spans="1:17" x14ac:dyDescent="0.2">
      <c r="A89">
        <v>88</v>
      </c>
      <c r="B89">
        <v>766</v>
      </c>
      <c r="C89">
        <v>150</v>
      </c>
      <c r="D89">
        <v>0.44161141317423203</v>
      </c>
      <c r="E89">
        <v>111.459430179964</v>
      </c>
      <c r="F89">
        <v>1.6962483849324399</v>
      </c>
      <c r="G89">
        <v>-1853.5653810666167</v>
      </c>
      <c r="H89">
        <v>-1520.0677879450704</v>
      </c>
      <c r="I89">
        <v>320.93678504220901</v>
      </c>
      <c r="J89">
        <v>165.24777151925599</v>
      </c>
      <c r="K89">
        <v>65.7093802830084</v>
      </c>
      <c r="L89">
        <v>0.67926415545156138</v>
      </c>
      <c r="M89">
        <v>-0.67859467529597417</v>
      </c>
      <c r="N89">
        <v>44.600642046763298</v>
      </c>
      <c r="O89">
        <v>44.600669861288303</v>
      </c>
      <c r="P89">
        <v>44.600624272636203</v>
      </c>
      <c r="Q89" t="s">
        <v>51</v>
      </c>
    </row>
    <row r="90" spans="1:17" x14ac:dyDescent="0.2">
      <c r="A90">
        <v>89</v>
      </c>
      <c r="B90">
        <v>765</v>
      </c>
      <c r="C90">
        <v>150</v>
      </c>
      <c r="D90">
        <v>0.44100611664981298</v>
      </c>
      <c r="E90">
        <v>111.45947025759</v>
      </c>
      <c r="F90">
        <v>1.6951300431360801</v>
      </c>
      <c r="G90">
        <v>-1853.2452950904885</v>
      </c>
      <c r="H90">
        <v>-1520.4907583327411</v>
      </c>
      <c r="I90">
        <v>320.53022177486099</v>
      </c>
      <c r="J90">
        <v>165.24229435421901</v>
      </c>
      <c r="K90">
        <v>65.752754904505395</v>
      </c>
      <c r="L90">
        <v>0.66774595392140212</v>
      </c>
      <c r="M90">
        <v>-0.66706908925636865</v>
      </c>
      <c r="N90">
        <v>43.872335573131302</v>
      </c>
      <c r="O90">
        <v>43.872363503681299</v>
      </c>
      <c r="P90">
        <v>43.872317344052597</v>
      </c>
      <c r="Q90" t="s">
        <v>51</v>
      </c>
    </row>
    <row r="91" spans="1:17" x14ac:dyDescent="0.2">
      <c r="A91">
        <v>90</v>
      </c>
      <c r="B91">
        <v>764</v>
      </c>
      <c r="C91">
        <v>150</v>
      </c>
      <c r="D91">
        <v>0.44039965289495597</v>
      </c>
      <c r="E91">
        <v>111.459484669104</v>
      </c>
      <c r="F91">
        <v>1.6863531193293499</v>
      </c>
      <c r="G91">
        <v>-1852.9254216626023</v>
      </c>
      <c r="H91">
        <v>-1521.9970177351954</v>
      </c>
      <c r="I91">
        <v>319.07876281868499</v>
      </c>
      <c r="J91">
        <v>165.03715047813799</v>
      </c>
      <c r="K91">
        <v>66.094985321598003</v>
      </c>
      <c r="L91">
        <v>0.60424470840338063</v>
      </c>
      <c r="M91">
        <v>-0.60353252342474828</v>
      </c>
      <c r="N91">
        <v>39.901760961666902</v>
      </c>
      <c r="O91">
        <v>39.901790265782402</v>
      </c>
      <c r="P91">
        <v>39.901741456614403</v>
      </c>
      <c r="Q91" t="s">
        <v>51</v>
      </c>
    </row>
    <row r="92" spans="1:17" x14ac:dyDescent="0.2">
      <c r="A92">
        <v>91</v>
      </c>
      <c r="B92">
        <v>763</v>
      </c>
      <c r="C92">
        <v>150</v>
      </c>
      <c r="D92">
        <v>0.43979201853014099</v>
      </c>
      <c r="E92">
        <v>111.459463137611</v>
      </c>
      <c r="F92">
        <v>1.6715006764351401</v>
      </c>
      <c r="G92">
        <v>-1852.6072164871578</v>
      </c>
      <c r="H92">
        <v>-1524.4258492481733</v>
      </c>
      <c r="I92">
        <v>316.73587007909202</v>
      </c>
      <c r="J92">
        <v>164.65576899483401</v>
      </c>
      <c r="K92">
        <v>66.682272229362397</v>
      </c>
      <c r="L92">
        <v>0.49801821565819976</v>
      </c>
      <c r="M92">
        <v>-0.49724804225675884</v>
      </c>
      <c r="N92">
        <v>33.169901511933503</v>
      </c>
      <c r="O92">
        <v>33.169933214276298</v>
      </c>
      <c r="P92">
        <v>33.169880008061099</v>
      </c>
      <c r="Q92" t="s">
        <v>51</v>
      </c>
    </row>
    <row r="93" spans="1:17" x14ac:dyDescent="0.2">
      <c r="A93">
        <v>92</v>
      </c>
      <c r="B93">
        <v>762</v>
      </c>
      <c r="C93">
        <v>150</v>
      </c>
      <c r="D93">
        <v>0.439183210162781</v>
      </c>
      <c r="E93">
        <v>111.470184782266</v>
      </c>
      <c r="F93">
        <v>1.62511357926605</v>
      </c>
      <c r="G93">
        <v>-1852.4698428079857</v>
      </c>
      <c r="H93">
        <v>-1532.0114621774019</v>
      </c>
      <c r="I93">
        <v>309.582220539731</v>
      </c>
      <c r="J93">
        <v>163.19982803151899</v>
      </c>
      <c r="K93">
        <v>68.5922425388937</v>
      </c>
      <c r="L93">
        <v>0.17928805311079032</v>
      </c>
      <c r="M93">
        <v>-0.17834440858679904</v>
      </c>
      <c r="N93">
        <v>12.248430945480299</v>
      </c>
      <c r="O93">
        <v>12.2484705215437</v>
      </c>
      <c r="P93">
        <v>12.248403684321399</v>
      </c>
      <c r="Q93" t="s">
        <v>51</v>
      </c>
    </row>
    <row r="94" spans="1:17" x14ac:dyDescent="0.2">
      <c r="A94">
        <v>93</v>
      </c>
      <c r="B94">
        <v>761</v>
      </c>
      <c r="C94">
        <v>150</v>
      </c>
      <c r="D94">
        <v>0.43857322438717999</v>
      </c>
      <c r="E94">
        <v>111.470637168121</v>
      </c>
      <c r="F94">
        <v>1.61247286706436</v>
      </c>
      <c r="G94">
        <v>-1852.1690082640682</v>
      </c>
      <c r="H94">
        <v>-1534.4368412204319</v>
      </c>
      <c r="I94">
        <v>307.24573291108999</v>
      </c>
      <c r="J94">
        <v>162.753964687045</v>
      </c>
      <c r="K94">
        <v>69.130240542318703</v>
      </c>
      <c r="L94">
        <v>8.4169115692742325E-2</v>
      </c>
      <c r="M94">
        <v>-8.3173848079251947E-2</v>
      </c>
      <c r="N94">
        <v>5.7661379678125897</v>
      </c>
      <c r="O94">
        <v>5.7661796837052997</v>
      </c>
      <c r="P94">
        <v>5.7661086323080202</v>
      </c>
      <c r="Q94" t="s">
        <v>51</v>
      </c>
    </row>
    <row r="95" spans="1:17" x14ac:dyDescent="0.2">
      <c r="A95">
        <v>94</v>
      </c>
      <c r="B95">
        <v>760</v>
      </c>
      <c r="C95">
        <v>150</v>
      </c>
      <c r="D95">
        <v>0.43796205778444602</v>
      </c>
      <c r="E95">
        <v>111.470540248993</v>
      </c>
      <c r="F95">
        <v>1.6090355815140001</v>
      </c>
      <c r="G95">
        <v>-1851.8606957456498</v>
      </c>
      <c r="H95">
        <v>-1535.3794915974256</v>
      </c>
      <c r="I95">
        <v>306.33241354331</v>
      </c>
      <c r="J95">
        <v>162.630333812581</v>
      </c>
      <c r="K95">
        <v>69.277859066426998</v>
      </c>
      <c r="L95">
        <v>5.1681333040915572E-2</v>
      </c>
      <c r="M95">
        <v>-5.0668255231921554E-2</v>
      </c>
      <c r="N95">
        <v>3.5267846976065602</v>
      </c>
      <c r="O95">
        <v>3.5268268992763301</v>
      </c>
      <c r="P95">
        <v>3.52675436702099</v>
      </c>
      <c r="Q95" t="s">
        <v>51</v>
      </c>
    </row>
    <row r="96" spans="1:17" x14ac:dyDescent="0.2">
      <c r="A96">
        <v>95</v>
      </c>
      <c r="B96">
        <v>788</v>
      </c>
      <c r="C96">
        <v>125</v>
      </c>
      <c r="D96">
        <v>0.48055458700466802</v>
      </c>
      <c r="E96">
        <v>111.45901271518299</v>
      </c>
      <c r="F96">
        <v>1.5773426566713999</v>
      </c>
      <c r="G96">
        <v>-1862.3836680748993</v>
      </c>
      <c r="H96">
        <v>-1515.8916970222219</v>
      </c>
      <c r="I96">
        <v>326.52866397395701</v>
      </c>
      <c r="J96">
        <v>165.175655171367</v>
      </c>
      <c r="K96">
        <v>70.662523608149201</v>
      </c>
      <c r="L96">
        <v>0.67142636160840419</v>
      </c>
      <c r="M96">
        <v>-0.67059113613449306</v>
      </c>
      <c r="N96">
        <v>47.403352917410999</v>
      </c>
      <c r="O96">
        <v>47.403418215351998</v>
      </c>
      <c r="P96">
        <v>47.403348441904498</v>
      </c>
      <c r="Q96" t="s">
        <v>51</v>
      </c>
    </row>
    <row r="97" spans="1:17" x14ac:dyDescent="0.2">
      <c r="A97">
        <v>96</v>
      </c>
      <c r="B97">
        <v>787</v>
      </c>
      <c r="C97">
        <v>125</v>
      </c>
      <c r="D97">
        <v>0.479998585105882</v>
      </c>
      <c r="E97">
        <v>111.45903937652101</v>
      </c>
      <c r="F97">
        <v>1.57796884247953</v>
      </c>
      <c r="G97">
        <v>-1862.0576589923762</v>
      </c>
      <c r="H97">
        <v>-1516.094160517976</v>
      </c>
      <c r="I97">
        <v>326.338183480721</v>
      </c>
      <c r="J97">
        <v>165.176855937938</v>
      </c>
      <c r="K97">
        <v>70.634499475529196</v>
      </c>
      <c r="L97">
        <v>0.67035218833660792</v>
      </c>
      <c r="M97">
        <v>-0.66951538058557347</v>
      </c>
      <c r="N97">
        <v>47.3085662312102</v>
      </c>
      <c r="O97">
        <v>47.308631568071199</v>
      </c>
      <c r="P97">
        <v>47.308561644917603</v>
      </c>
      <c r="Q97" t="s">
        <v>51</v>
      </c>
    </row>
    <row r="98" spans="1:17" x14ac:dyDescent="0.2">
      <c r="A98">
        <v>97</v>
      </c>
      <c r="B98">
        <v>786</v>
      </c>
      <c r="C98">
        <v>125</v>
      </c>
      <c r="D98">
        <v>0.47944153330501299</v>
      </c>
      <c r="E98">
        <v>111.459064233072</v>
      </c>
      <c r="F98">
        <v>1.57834965036924</v>
      </c>
      <c r="G98">
        <v>-1861.7318270052012</v>
      </c>
      <c r="H98">
        <v>-1516.3173422543553</v>
      </c>
      <c r="I98">
        <v>326.12795259334598</v>
      </c>
      <c r="J98">
        <v>165.16906072214601</v>
      </c>
      <c r="K98">
        <v>70.617473262022301</v>
      </c>
      <c r="L98">
        <v>0.6684591386363663</v>
      </c>
      <c r="M98">
        <v>-0.66762012031706675</v>
      </c>
      <c r="N98">
        <v>47.163335434705097</v>
      </c>
      <c r="O98">
        <v>47.163400866410903</v>
      </c>
      <c r="P98">
        <v>47.163330730967303</v>
      </c>
      <c r="Q98" t="s">
        <v>51</v>
      </c>
    </row>
    <row r="99" spans="1:17" x14ac:dyDescent="0.2">
      <c r="A99">
        <v>98</v>
      </c>
      <c r="B99">
        <v>785</v>
      </c>
      <c r="C99">
        <v>125</v>
      </c>
      <c r="D99">
        <v>0.47888342862543298</v>
      </c>
      <c r="E99">
        <v>111.459089142503</v>
      </c>
      <c r="F99">
        <v>1.5787347780358401</v>
      </c>
      <c r="G99">
        <v>-1861.4062061081756</v>
      </c>
      <c r="H99">
        <v>-1516.5404014231053</v>
      </c>
      <c r="I99">
        <v>325.917639677659</v>
      </c>
      <c r="J99">
        <v>165.16187402944999</v>
      </c>
      <c r="K99">
        <v>70.600262116967698</v>
      </c>
      <c r="L99">
        <v>0.66656600684534417</v>
      </c>
      <c r="M99">
        <v>-0.6657247751854275</v>
      </c>
      <c r="N99">
        <v>47.018039841354302</v>
      </c>
      <c r="O99">
        <v>47.018105365491799</v>
      </c>
      <c r="P99">
        <v>47.018035016928003</v>
      </c>
      <c r="Q99" t="s">
        <v>51</v>
      </c>
    </row>
    <row r="100" spans="1:17" x14ac:dyDescent="0.2">
      <c r="A100">
        <v>99</v>
      </c>
      <c r="B100">
        <v>784</v>
      </c>
      <c r="C100">
        <v>125</v>
      </c>
      <c r="D100">
        <v>0.47832426807926898</v>
      </c>
      <c r="E100">
        <v>111.45911410559501</v>
      </c>
      <c r="F100">
        <v>1.57912435140246</v>
      </c>
      <c r="G100">
        <v>-1861.0807963926923</v>
      </c>
      <c r="H100">
        <v>-1516.7633310821041</v>
      </c>
      <c r="I100">
        <v>325.70725115261001</v>
      </c>
      <c r="J100">
        <v>165.15530139345299</v>
      </c>
      <c r="K100">
        <v>70.582860688966903</v>
      </c>
      <c r="L100">
        <v>0.66467309205476188</v>
      </c>
      <c r="M100">
        <v>-0.66382964460568861</v>
      </c>
      <c r="N100">
        <v>46.872698079529002</v>
      </c>
      <c r="O100">
        <v>46.8727636935986</v>
      </c>
      <c r="P100">
        <v>46.872693131106502</v>
      </c>
      <c r="Q100" t="s">
        <v>51</v>
      </c>
    </row>
    <row r="101" spans="1:17" x14ac:dyDescent="0.2">
      <c r="A101">
        <v>100</v>
      </c>
      <c r="B101">
        <v>783</v>
      </c>
      <c r="C101">
        <v>125</v>
      </c>
      <c r="D101">
        <v>0.47776404866733202</v>
      </c>
      <c r="E101">
        <v>111.459139123146</v>
      </c>
      <c r="F101">
        <v>1.5795184941928999</v>
      </c>
      <c r="G101">
        <v>-1860.7555979440601</v>
      </c>
      <c r="H101">
        <v>-1516.9861244203178</v>
      </c>
      <c r="I101">
        <v>325.49679333159497</v>
      </c>
      <c r="J101">
        <v>165.14934833089501</v>
      </c>
      <c r="K101">
        <v>70.565263738870897</v>
      </c>
      <c r="L101">
        <v>0.66278068712844007</v>
      </c>
      <c r="M101">
        <v>-0.66193502176355334</v>
      </c>
      <c r="N101">
        <v>46.727328432049497</v>
      </c>
      <c r="O101">
        <v>46.727394133464301</v>
      </c>
      <c r="P101">
        <v>46.7273233562576</v>
      </c>
      <c r="Q101" t="s">
        <v>51</v>
      </c>
    </row>
    <row r="102" spans="1:17" x14ac:dyDescent="0.2">
      <c r="A102">
        <v>101</v>
      </c>
      <c r="B102">
        <v>782</v>
      </c>
      <c r="C102">
        <v>125</v>
      </c>
      <c r="D102">
        <v>0.47720276737904699</v>
      </c>
      <c r="E102">
        <v>111.45916419595</v>
      </c>
      <c r="F102">
        <v>1.57991732771257</v>
      </c>
      <c r="G102">
        <v>-1860.4306108412629</v>
      </c>
      <c r="H102">
        <v>-1517.2087747755954</v>
      </c>
      <c r="I102">
        <v>325.28627240487299</v>
      </c>
      <c r="J102">
        <v>165.14402034397901</v>
      </c>
      <c r="K102">
        <v>70.547466149587805</v>
      </c>
      <c r="L102">
        <v>0.66088907782905648</v>
      </c>
      <c r="M102">
        <v>-0.66004119274103135</v>
      </c>
      <c r="N102">
        <v>46.581948779883902</v>
      </c>
      <c r="O102">
        <v>46.582014565969203</v>
      </c>
      <c r="P102">
        <v>46.581943573283098</v>
      </c>
      <c r="Q102" t="s">
        <v>51</v>
      </c>
    </row>
    <row r="103" spans="1:17" x14ac:dyDescent="0.2">
      <c r="A103">
        <v>102</v>
      </c>
      <c r="B103">
        <v>781</v>
      </c>
      <c r="C103">
        <v>125</v>
      </c>
      <c r="D103">
        <v>0.476640421192431</v>
      </c>
      <c r="E103">
        <v>111.459189324788</v>
      </c>
      <c r="F103">
        <v>1.5803209706252299</v>
      </c>
      <c r="G103">
        <v>-1860.1058351569786</v>
      </c>
      <c r="H103">
        <v>-1517.4312756533359</v>
      </c>
      <c r="I103">
        <v>325.07569442128499</v>
      </c>
      <c r="J103">
        <v>165.13932292270701</v>
      </c>
      <c r="K103">
        <v>70.529462936058707</v>
      </c>
      <c r="L103">
        <v>0.65899854190455254</v>
      </c>
      <c r="M103">
        <v>-0.65814843560220004</v>
      </c>
      <c r="N103">
        <v>46.436576543117702</v>
      </c>
      <c r="O103">
        <v>46.436642411110299</v>
      </c>
      <c r="P103">
        <v>46.436571202201399</v>
      </c>
      <c r="Q103" t="s">
        <v>51</v>
      </c>
    </row>
    <row r="104" spans="1:17" x14ac:dyDescent="0.2">
      <c r="A104">
        <v>103</v>
      </c>
      <c r="B104">
        <v>780</v>
      </c>
      <c r="C104">
        <v>125</v>
      </c>
      <c r="D104">
        <v>0.47607700707401701</v>
      </c>
      <c r="E104">
        <v>111.459214510435</v>
      </c>
      <c r="F104">
        <v>1.5807295387445699</v>
      </c>
      <c r="G104">
        <v>-1859.7812709577777</v>
      </c>
      <c r="H104">
        <v>-1517.653620744612</v>
      </c>
      <c r="I104">
        <v>324.86506527057401</v>
      </c>
      <c r="J104">
        <v>165.13526154786899</v>
      </c>
      <c r="K104">
        <v>70.511249254541596</v>
      </c>
      <c r="L104">
        <v>0.6571093481930026</v>
      </c>
      <c r="M104">
        <v>-0.65625701949745774</v>
      </c>
      <c r="N104">
        <v>46.291228622753501</v>
      </c>
      <c r="O104">
        <v>46.291294569801302</v>
      </c>
      <c r="P104">
        <v>46.291223143946702</v>
      </c>
      <c r="Q104" t="s">
        <v>51</v>
      </c>
    </row>
    <row r="105" spans="1:17" x14ac:dyDescent="0.2">
      <c r="A105">
        <v>104</v>
      </c>
      <c r="B105">
        <v>779</v>
      </c>
      <c r="C105">
        <v>125</v>
      </c>
      <c r="D105">
        <v>0.475512521978807</v>
      </c>
      <c r="E105">
        <v>111.45923975367199</v>
      </c>
      <c r="F105">
        <v>1.58114314483711</v>
      </c>
      <c r="G105">
        <v>-1859.4569183045703</v>
      </c>
      <c r="H105">
        <v>-1517.8758039439358</v>
      </c>
      <c r="I105">
        <v>324.65439066616602</v>
      </c>
      <c r="J105">
        <v>165.13184169458401</v>
      </c>
      <c r="K105">
        <v>70.492820411370403</v>
      </c>
      <c r="L105">
        <v>0.65522175573909602</v>
      </c>
      <c r="M105">
        <v>-0.65436720377940261</v>
      </c>
      <c r="N105">
        <v>46.145921342978902</v>
      </c>
      <c r="O105">
        <v>46.145987366140403</v>
      </c>
      <c r="P105">
        <v>46.145915722637703</v>
      </c>
      <c r="Q105" t="s">
        <v>51</v>
      </c>
    </row>
    <row r="106" spans="1:17" x14ac:dyDescent="0.2">
      <c r="A106">
        <v>105</v>
      </c>
      <c r="B106">
        <v>778</v>
      </c>
      <c r="C106">
        <v>125</v>
      </c>
      <c r="D106">
        <v>0.47494696285021398</v>
      </c>
      <c r="E106">
        <v>111.459265055225</v>
      </c>
      <c r="F106">
        <v>1.58156189842274</v>
      </c>
      <c r="G106">
        <v>-1859.1327772517438</v>
      </c>
      <c r="H106">
        <v>-1518.0978193661069</v>
      </c>
      <c r="I106">
        <v>324.44367612748903</v>
      </c>
      <c r="J106">
        <v>165.12906883602599</v>
      </c>
      <c r="K106">
        <v>70.474171871731002</v>
      </c>
      <c r="L106">
        <v>0.65333601288527909</v>
      </c>
      <c r="M106">
        <v>-0.65247923709336042</v>
      </c>
      <c r="N106">
        <v>46.0006703916658</v>
      </c>
      <c r="O106">
        <v>46.000736487909599</v>
      </c>
      <c r="P106">
        <v>46.000664626076201</v>
      </c>
      <c r="Q106" t="s">
        <v>51</v>
      </c>
    </row>
    <row r="107" spans="1:17" x14ac:dyDescent="0.2">
      <c r="A107">
        <v>106</v>
      </c>
      <c r="B107">
        <v>777</v>
      </c>
      <c r="C107">
        <v>125</v>
      </c>
      <c r="D107">
        <v>0.47438032662001101</v>
      </c>
      <c r="E107">
        <v>111.45929971717101</v>
      </c>
      <c r="F107">
        <v>1.5808873433152</v>
      </c>
      <c r="G107">
        <v>-1858.8090410813459</v>
      </c>
      <c r="H107">
        <v>-1518.4472012659839</v>
      </c>
      <c r="I107">
        <v>324.111681271544</v>
      </c>
      <c r="J107">
        <v>165.111074377709</v>
      </c>
      <c r="K107">
        <v>70.504264702021601</v>
      </c>
      <c r="L107">
        <v>0.6456956985893868</v>
      </c>
      <c r="M107">
        <v>-0.64483285852965511</v>
      </c>
      <c r="N107">
        <v>45.481298568496499</v>
      </c>
      <c r="O107">
        <v>45.481365074180196</v>
      </c>
      <c r="P107">
        <v>45.481292625840403</v>
      </c>
      <c r="Q107" t="s">
        <v>51</v>
      </c>
    </row>
    <row r="108" spans="1:17" x14ac:dyDescent="0.2">
      <c r="A108">
        <v>107</v>
      </c>
      <c r="B108">
        <v>776</v>
      </c>
      <c r="C108">
        <v>125</v>
      </c>
      <c r="D108">
        <v>0.47381261020826598</v>
      </c>
      <c r="E108">
        <v>111.459338569851</v>
      </c>
      <c r="F108">
        <v>1.5797150801200199</v>
      </c>
      <c r="G108">
        <v>-1858.4857525579478</v>
      </c>
      <c r="H108">
        <v>-1518.8556421548187</v>
      </c>
      <c r="I108">
        <v>323.72319710361</v>
      </c>
      <c r="J108">
        <v>165.087006939617</v>
      </c>
      <c r="K108">
        <v>70.556608576138302</v>
      </c>
      <c r="L108">
        <v>0.6353756550166243</v>
      </c>
      <c r="M108">
        <v>-0.63450496280769708</v>
      </c>
      <c r="N108">
        <v>44.786487533556901</v>
      </c>
      <c r="O108">
        <v>44.7865546030825</v>
      </c>
      <c r="P108">
        <v>44.7864813953069</v>
      </c>
      <c r="Q108" t="s">
        <v>51</v>
      </c>
    </row>
    <row r="109" spans="1:17" x14ac:dyDescent="0.2">
      <c r="A109">
        <v>108</v>
      </c>
      <c r="B109">
        <v>775</v>
      </c>
      <c r="C109">
        <v>125</v>
      </c>
      <c r="D109">
        <v>0.473243810523307</v>
      </c>
      <c r="E109">
        <v>111.459377249374</v>
      </c>
      <c r="F109">
        <v>1.5785482727315201</v>
      </c>
      <c r="G109">
        <v>-1858.1628500598763</v>
      </c>
      <c r="H109">
        <v>-1519.2648594343159</v>
      </c>
      <c r="I109">
        <v>323.33359942776099</v>
      </c>
      <c r="J109">
        <v>165.06414941037801</v>
      </c>
      <c r="K109">
        <v>70.608786043967299</v>
      </c>
      <c r="L109">
        <v>0.62500138369022595</v>
      </c>
      <c r="M109">
        <v>-0.62412280532678888</v>
      </c>
      <c r="N109">
        <v>44.086660170866502</v>
      </c>
      <c r="O109">
        <v>44.086727803377798</v>
      </c>
      <c r="P109">
        <v>44.086653830842899</v>
      </c>
      <c r="Q109" t="s">
        <v>51</v>
      </c>
    </row>
    <row r="110" spans="1:17" x14ac:dyDescent="0.2">
      <c r="A110">
        <v>109</v>
      </c>
      <c r="B110">
        <v>774</v>
      </c>
      <c r="C110">
        <v>125</v>
      </c>
      <c r="D110">
        <v>0.47267392446163797</v>
      </c>
      <c r="E110">
        <v>111.459415713116</v>
      </c>
      <c r="F110">
        <v>1.57737775971677</v>
      </c>
      <c r="G110">
        <v>-1857.8403344719497</v>
      </c>
      <c r="H110">
        <v>-1519.6758877035334</v>
      </c>
      <c r="I110">
        <v>322.94189804577297</v>
      </c>
      <c r="J110">
        <v>165.042242208148</v>
      </c>
      <c r="K110">
        <v>70.661206566732005</v>
      </c>
      <c r="L110">
        <v>0.61452107436722858</v>
      </c>
      <c r="M110">
        <v>-0.61363454441651566</v>
      </c>
      <c r="N110">
        <v>43.378401990068902</v>
      </c>
      <c r="O110">
        <v>43.378470187353102</v>
      </c>
      <c r="P110">
        <v>43.378395441677903</v>
      </c>
      <c r="Q110" t="s">
        <v>51</v>
      </c>
    </row>
    <row r="111" spans="1:17" x14ac:dyDescent="0.2">
      <c r="A111">
        <v>110</v>
      </c>
      <c r="B111">
        <v>773</v>
      </c>
      <c r="C111">
        <v>125</v>
      </c>
      <c r="D111">
        <v>0.472102948907902</v>
      </c>
      <c r="E111">
        <v>111.45945389789399</v>
      </c>
      <c r="F111">
        <v>1.5761905220728001</v>
      </c>
      <c r="G111">
        <v>-1857.5182075295634</v>
      </c>
      <c r="H111">
        <v>-1520.0902055785868</v>
      </c>
      <c r="I111">
        <v>322.54667542694301</v>
      </c>
      <c r="J111">
        <v>165.020922210404</v>
      </c>
      <c r="K111">
        <v>70.714455097292102</v>
      </c>
      <c r="L111">
        <v>0.60386099993829323</v>
      </c>
      <c r="M111">
        <v>-0.60296640808554491</v>
      </c>
      <c r="N111">
        <v>42.656825712589203</v>
      </c>
      <c r="O111">
        <v>42.656894480268001</v>
      </c>
      <c r="P111">
        <v>42.656818948686897</v>
      </c>
      <c r="Q111" t="s">
        <v>51</v>
      </c>
    </row>
    <row r="112" spans="1:17" x14ac:dyDescent="0.2">
      <c r="A112">
        <v>111</v>
      </c>
      <c r="B112">
        <v>772</v>
      </c>
      <c r="C112">
        <v>125</v>
      </c>
      <c r="D112">
        <v>0.47153088073482102</v>
      </c>
      <c r="E112">
        <v>111.459451364644</v>
      </c>
      <c r="F112">
        <v>1.5629806599594001</v>
      </c>
      <c r="G112">
        <v>-1857.1963478019225</v>
      </c>
      <c r="H112">
        <v>-1521.9996961930283</v>
      </c>
      <c r="I112">
        <v>320.72058528923702</v>
      </c>
      <c r="J112">
        <v>164.600987496508</v>
      </c>
      <c r="K112">
        <v>71.312111672283606</v>
      </c>
      <c r="L112">
        <v>0.52458899369940815</v>
      </c>
      <c r="M112">
        <v>-0.52364480705288985</v>
      </c>
      <c r="N112">
        <v>37.3617278218263</v>
      </c>
      <c r="O112">
        <v>37.361800845893399</v>
      </c>
      <c r="P112">
        <v>37.361720483972697</v>
      </c>
      <c r="Q112" t="s">
        <v>51</v>
      </c>
    </row>
    <row r="113" spans="1:17" x14ac:dyDescent="0.2">
      <c r="A113">
        <v>112</v>
      </c>
      <c r="B113">
        <v>771</v>
      </c>
      <c r="C113">
        <v>125</v>
      </c>
      <c r="D113">
        <v>0.47095771680314102</v>
      </c>
      <c r="E113">
        <v>111.465387538728</v>
      </c>
      <c r="F113">
        <v>1.5355643683771401</v>
      </c>
      <c r="G113">
        <v>-1856.9739094313786</v>
      </c>
      <c r="H113">
        <v>-1525.9241441836414</v>
      </c>
      <c r="I113">
        <v>317.05672477647698</v>
      </c>
      <c r="J113">
        <v>163.63442738495601</v>
      </c>
      <c r="K113">
        <v>72.589199016470005</v>
      </c>
      <c r="L113">
        <v>0.36496543307307283</v>
      </c>
      <c r="M113">
        <v>-0.36392249254807529</v>
      </c>
      <c r="N113">
        <v>26.438701838711101</v>
      </c>
      <c r="O113">
        <v>26.438783697344</v>
      </c>
      <c r="P113">
        <v>26.438693453299798</v>
      </c>
      <c r="Q113" t="s">
        <v>51</v>
      </c>
    </row>
    <row r="114" spans="1:17" x14ac:dyDescent="0.2">
      <c r="A114">
        <v>113</v>
      </c>
      <c r="B114">
        <v>770</v>
      </c>
      <c r="C114">
        <v>125</v>
      </c>
      <c r="D114">
        <v>0.47038345396155901</v>
      </c>
      <c r="E114">
        <v>111.470563244581</v>
      </c>
      <c r="F114">
        <v>1.5053574822986799</v>
      </c>
      <c r="G114">
        <v>-1856.7433237178316</v>
      </c>
      <c r="H114">
        <v>-1530.4683744602262</v>
      </c>
      <c r="I114">
        <v>312.78396397784297</v>
      </c>
      <c r="J114">
        <v>162.43893008488701</v>
      </c>
      <c r="K114">
        <v>74.049230535171702</v>
      </c>
      <c r="L114">
        <v>0.18695870999326844</v>
      </c>
      <c r="M114">
        <v>-0.18580605413398951</v>
      </c>
      <c r="N114">
        <v>13.7833560979052</v>
      </c>
      <c r="O114">
        <v>13.783448116362299</v>
      </c>
      <c r="P114">
        <v>13.7833464799133</v>
      </c>
      <c r="Q114" t="s">
        <v>51</v>
      </c>
    </row>
    <row r="115" spans="1:17" x14ac:dyDescent="0.2">
      <c r="A115">
        <v>114</v>
      </c>
      <c r="B115">
        <v>769</v>
      </c>
      <c r="C115">
        <v>125</v>
      </c>
      <c r="D115">
        <v>0.46980808904668597</v>
      </c>
      <c r="E115">
        <v>111.47119688853</v>
      </c>
      <c r="F115">
        <v>1.4900780814566701</v>
      </c>
      <c r="G115">
        <v>-1856.4422793658214</v>
      </c>
      <c r="H115">
        <v>-1533.0293053359328</v>
      </c>
      <c r="I115">
        <v>310.33820612788998</v>
      </c>
      <c r="J115">
        <v>161.77357927137001</v>
      </c>
      <c r="K115">
        <v>74.808963554150495</v>
      </c>
      <c r="L115">
        <v>9.1612895176132858E-2</v>
      </c>
      <c r="M115">
        <v>-9.040132863092562E-2</v>
      </c>
      <c r="N115">
        <v>6.7888403682481604</v>
      </c>
      <c r="O115">
        <v>6.7889378666746003</v>
      </c>
      <c r="P115">
        <v>6.7888299415482001</v>
      </c>
      <c r="Q115" t="s">
        <v>51</v>
      </c>
    </row>
    <row r="116" spans="1:17" x14ac:dyDescent="0.2">
      <c r="A116">
        <v>115</v>
      </c>
      <c r="B116">
        <v>768</v>
      </c>
      <c r="C116">
        <v>125</v>
      </c>
      <c r="D116">
        <v>0.46923161888296799</v>
      </c>
      <c r="E116">
        <v>111.471127384258</v>
      </c>
      <c r="F116">
        <v>1.4851346648608099</v>
      </c>
      <c r="G116">
        <v>-1856.1313935395983</v>
      </c>
      <c r="H116">
        <v>-1534.1178446141814</v>
      </c>
      <c r="I116">
        <v>309.29229139149601</v>
      </c>
      <c r="J116">
        <v>161.543998122837</v>
      </c>
      <c r="K116">
        <v>75.0579257367922</v>
      </c>
      <c r="L116">
        <v>5.5238152692332433E-2</v>
      </c>
      <c r="M116">
        <v>-5.4003591648961229E-2</v>
      </c>
      <c r="N116">
        <v>4.0799290055583199</v>
      </c>
      <c r="O116">
        <v>4.0800285050863101</v>
      </c>
      <c r="P116">
        <v>4.0799181044216501</v>
      </c>
      <c r="Q11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ADBE1-D76A-4740-9FC1-0A856E22A15A}">
  <sheetPr codeName="Sheet4"/>
  <dimension ref="A1:AI116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758</v>
      </c>
      <c r="C2">
        <v>275</v>
      </c>
      <c r="D2">
        <v>0.303389904475587</v>
      </c>
      <c r="E2">
        <v>107.023892727432</v>
      </c>
      <c r="F2">
        <v>2.2017507642321799</v>
      </c>
      <c r="G2">
        <v>-1747.3533397682143</v>
      </c>
      <c r="H2">
        <v>-1459.4057797744849</v>
      </c>
      <c r="I2">
        <v>279.248955044105</v>
      </c>
      <c r="J2">
        <v>144.57305393591801</v>
      </c>
      <c r="K2">
        <v>48.608541196421399</v>
      </c>
      <c r="L2">
        <v>1.557489241482379E-4</v>
      </c>
      <c r="M2">
        <v>1.7496103295444223E-5</v>
      </c>
      <c r="N2" s="1">
        <v>3.7343473922907902E-6</v>
      </c>
      <c r="O2" s="1">
        <v>1.03043736333808E-7</v>
      </c>
      <c r="P2" s="1">
        <v>-5.20401152779031E-7</v>
      </c>
      <c r="Q2">
        <v>72.329643435017701</v>
      </c>
      <c r="R2">
        <v>6.5405955825467599E-2</v>
      </c>
      <c r="S2">
        <v>11.9225713761858</v>
      </c>
      <c r="T2">
        <v>0.18799849300200999</v>
      </c>
      <c r="V2">
        <v>0.46139701856119397</v>
      </c>
      <c r="W2">
        <v>9.3437079750667094E-3</v>
      </c>
      <c r="X2">
        <v>8.4093371775602499E-2</v>
      </c>
      <c r="AA2">
        <v>0.90633967358147705</v>
      </c>
      <c r="AB2">
        <v>3.1488295875974899</v>
      </c>
      <c r="AC2">
        <v>4.6905414034834703</v>
      </c>
      <c r="AD2">
        <v>1.8687415950132999E-2</v>
      </c>
      <c r="AE2">
        <v>6.1751485610445096</v>
      </c>
    </row>
    <row r="3" spans="1:35" x14ac:dyDescent="0.2">
      <c r="A3">
        <v>2</v>
      </c>
      <c r="B3">
        <v>757</v>
      </c>
      <c r="C3">
        <v>275</v>
      </c>
      <c r="D3">
        <v>0.30264573120419402</v>
      </c>
      <c r="E3">
        <v>106.81742849117001</v>
      </c>
      <c r="F3">
        <v>2.2022322981281</v>
      </c>
      <c r="G3">
        <v>-1743.6440846157643</v>
      </c>
      <c r="H3">
        <v>-1456.6534453437484</v>
      </c>
      <c r="I3">
        <v>278.59111709170003</v>
      </c>
      <c r="J3">
        <v>144.29998590533199</v>
      </c>
      <c r="K3">
        <v>48.504160338564397</v>
      </c>
      <c r="L3">
        <v>1.557665666309573E-4</v>
      </c>
      <c r="M3">
        <v>1.7487331723265969E-5</v>
      </c>
      <c r="N3" s="1">
        <v>3.7320429870227401E-6</v>
      </c>
      <c r="O3" s="1">
        <v>1.0277500802709301E-7</v>
      </c>
      <c r="P3" s="1">
        <v>-5.1962773439567205E-7</v>
      </c>
      <c r="Q3">
        <v>72.287188270000598</v>
      </c>
      <c r="R3">
        <v>6.5532377055666099E-2</v>
      </c>
      <c r="S3">
        <v>11.945616160434</v>
      </c>
      <c r="T3">
        <v>0.188717872945704</v>
      </c>
      <c r="V3">
        <v>0.46196850352636099</v>
      </c>
      <c r="W3">
        <v>9.3617681508092396E-3</v>
      </c>
      <c r="X3">
        <v>8.4255913357287396E-2</v>
      </c>
      <c r="AA3">
        <v>0.90809151062850901</v>
      </c>
      <c r="AB3">
        <v>3.15491586682273</v>
      </c>
      <c r="AC3">
        <v>4.6996076117061998</v>
      </c>
      <c r="AD3">
        <v>1.8723536301617699E-2</v>
      </c>
      <c r="AE3">
        <v>6.17602060907035</v>
      </c>
    </row>
    <row r="4" spans="1:35" x14ac:dyDescent="0.2">
      <c r="A4">
        <v>3</v>
      </c>
      <c r="B4">
        <v>756</v>
      </c>
      <c r="C4">
        <v>275</v>
      </c>
      <c r="D4">
        <v>0.30190011174270298</v>
      </c>
      <c r="E4">
        <v>106.59196615251901</v>
      </c>
      <c r="F4">
        <v>2.2027241492427301</v>
      </c>
      <c r="G4">
        <v>-1739.6210839222649</v>
      </c>
      <c r="H4">
        <v>-1453.6337867539992</v>
      </c>
      <c r="I4">
        <v>277.88689420226899</v>
      </c>
      <c r="J4">
        <v>144.00329737917201</v>
      </c>
      <c r="K4">
        <v>48.390973599287797</v>
      </c>
      <c r="L4">
        <v>1.5579297715776741E-4</v>
      </c>
      <c r="M4">
        <v>1.7478625635810575E-5</v>
      </c>
      <c r="N4" s="1">
        <v>3.7291797003801902E-6</v>
      </c>
      <c r="O4" s="1">
        <v>1.0249146098868001E-7</v>
      </c>
      <c r="P4" s="1">
        <v>-5.1880633178107397E-7</v>
      </c>
      <c r="Q4">
        <v>72.240520833191795</v>
      </c>
      <c r="R4">
        <v>6.5670990532100806E-2</v>
      </c>
      <c r="S4">
        <v>11.9708834169962</v>
      </c>
      <c r="T4">
        <v>0.18948095030621501</v>
      </c>
      <c r="V4">
        <v>0.46261821103714801</v>
      </c>
      <c r="W4">
        <v>9.3815700760140792E-3</v>
      </c>
      <c r="X4">
        <v>8.4434130684133593E-2</v>
      </c>
      <c r="AA4">
        <v>0.91001229737338596</v>
      </c>
      <c r="AB4">
        <v>3.1615891156167799</v>
      </c>
      <c r="AC4">
        <v>4.7095481781590101</v>
      </c>
      <c r="AD4">
        <v>1.8763140152027E-2</v>
      </c>
      <c r="AE4">
        <v>6.1770971658750096</v>
      </c>
    </row>
    <row r="5" spans="1:35" x14ac:dyDescent="0.2">
      <c r="A5">
        <v>4</v>
      </c>
      <c r="B5">
        <v>755</v>
      </c>
      <c r="C5">
        <v>275</v>
      </c>
      <c r="D5">
        <v>0.30115304187132302</v>
      </c>
      <c r="E5">
        <v>106.367632956612</v>
      </c>
      <c r="F5">
        <v>2.2032160554987801</v>
      </c>
      <c r="G5">
        <v>-1735.6181016540665</v>
      </c>
      <c r="H5">
        <v>-1450.6293731044041</v>
      </c>
      <c r="I5">
        <v>277.18594421987302</v>
      </c>
      <c r="J5">
        <v>143.70808793886101</v>
      </c>
      <c r="K5">
        <v>48.278348685386803</v>
      </c>
      <c r="L5">
        <v>1.5581933748553354E-4</v>
      </c>
      <c r="M5">
        <v>1.7469911826884111E-5</v>
      </c>
      <c r="N5" s="1">
        <v>3.7263394603951E-6</v>
      </c>
      <c r="O5" s="1">
        <v>1.02209333062915E-7</v>
      </c>
      <c r="P5" s="1">
        <v>-5.1798950573227396E-7</v>
      </c>
      <c r="Q5">
        <v>72.193884294023505</v>
      </c>
      <c r="R5">
        <v>6.5809493033049102E-2</v>
      </c>
      <c r="S5">
        <v>11.9961304443129</v>
      </c>
      <c r="T5">
        <v>0.19024666821761499</v>
      </c>
      <c r="V5">
        <v>0.46326447266818999</v>
      </c>
      <c r="W5">
        <v>9.4013561475779703E-3</v>
      </c>
      <c r="X5">
        <v>8.4612205328211801E-2</v>
      </c>
      <c r="AA5">
        <v>0.91193154631509299</v>
      </c>
      <c r="AB5">
        <v>3.1682570217338299</v>
      </c>
      <c r="AC5">
        <v>4.7194807860840502</v>
      </c>
      <c r="AD5">
        <v>1.8802712295154199E-2</v>
      </c>
      <c r="AE5">
        <v>6.1781789998407</v>
      </c>
    </row>
    <row r="6" spans="1:35" x14ac:dyDescent="0.2">
      <c r="A6">
        <v>5</v>
      </c>
      <c r="B6">
        <v>754</v>
      </c>
      <c r="C6">
        <v>275</v>
      </c>
      <c r="D6">
        <v>0.30040451735384299</v>
      </c>
      <c r="E6">
        <v>106.144419723797</v>
      </c>
      <c r="F6">
        <v>2.20370801840355</v>
      </c>
      <c r="G6">
        <v>-1731.6349760695664</v>
      </c>
      <c r="H6">
        <v>-1447.6400801415946</v>
      </c>
      <c r="I6">
        <v>276.488240206368</v>
      </c>
      <c r="J6">
        <v>143.41434557723699</v>
      </c>
      <c r="K6">
        <v>48.166281030593296</v>
      </c>
      <c r="L6">
        <v>1.5584564717416197E-4</v>
      </c>
      <c r="M6">
        <v>1.7461190237763647E-5</v>
      </c>
      <c r="N6" s="1">
        <v>3.7235220712099101E-6</v>
      </c>
      <c r="O6" s="1">
        <v>1.01928612398073E-7</v>
      </c>
      <c r="P6" s="1">
        <v>-5.1717721716090401E-7</v>
      </c>
      <c r="Q6">
        <v>72.147278485042307</v>
      </c>
      <c r="R6">
        <v>6.5947885138145798E-2</v>
      </c>
      <c r="S6">
        <v>12.0213573480424</v>
      </c>
      <c r="T6">
        <v>0.19101504230092101</v>
      </c>
      <c r="V6">
        <v>0.46390727995169201</v>
      </c>
      <c r="W6">
        <v>9.4211264483060001E-3</v>
      </c>
      <c r="X6">
        <v>8.4790138034765899E-2</v>
      </c>
      <c r="AA6">
        <v>0.91384926548571599</v>
      </c>
      <c r="AB6">
        <v>3.1749196130791799</v>
      </c>
      <c r="AC6">
        <v>4.7294054770495002</v>
      </c>
      <c r="AD6">
        <v>1.8842252896609998E-2</v>
      </c>
      <c r="AE6">
        <v>6.1792660865302897</v>
      </c>
    </row>
    <row r="7" spans="1:35" x14ac:dyDescent="0.2">
      <c r="A7">
        <v>6</v>
      </c>
      <c r="B7">
        <v>753</v>
      </c>
      <c r="C7">
        <v>275</v>
      </c>
      <c r="D7">
        <v>0.29965453393753799</v>
      </c>
      <c r="E7">
        <v>105.922317375181</v>
      </c>
      <c r="F7">
        <v>2.2042000394635202</v>
      </c>
      <c r="G7">
        <v>-1727.6715471999016</v>
      </c>
      <c r="H7">
        <v>-1444.66578497713</v>
      </c>
      <c r="I7">
        <v>275.79375551602698</v>
      </c>
      <c r="J7">
        <v>143.12205841883099</v>
      </c>
      <c r="K7">
        <v>48.054766118669299</v>
      </c>
      <c r="L7">
        <v>1.558719057802338E-4</v>
      </c>
      <c r="M7">
        <v>1.7452460809622572E-5</v>
      </c>
      <c r="N7" s="1">
        <v>3.7207273389553901E-6</v>
      </c>
      <c r="O7" s="1">
        <v>1.01649287269555E-7</v>
      </c>
      <c r="P7" s="1">
        <v>-5.1636942738569804E-7</v>
      </c>
      <c r="Q7">
        <v>72.100703239894401</v>
      </c>
      <c r="R7">
        <v>6.6086167424055306E-2</v>
      </c>
      <c r="S7">
        <v>12.046564233303</v>
      </c>
      <c r="T7">
        <v>0.19178608825322199</v>
      </c>
      <c r="V7">
        <v>0.46454662432265498</v>
      </c>
      <c r="W7">
        <v>9.4408810605786705E-3</v>
      </c>
      <c r="X7">
        <v>8.4967929545221796E-2</v>
      </c>
      <c r="AA7">
        <v>0.915765462876173</v>
      </c>
      <c r="AB7">
        <v>3.1815769174150899</v>
      </c>
      <c r="AC7">
        <v>4.7393222924103799</v>
      </c>
      <c r="AD7">
        <v>1.8881762121154999E-2</v>
      </c>
      <c r="AE7">
        <v>6.1803584013740203</v>
      </c>
    </row>
    <row r="8" spans="1:35" x14ac:dyDescent="0.2">
      <c r="A8">
        <v>7</v>
      </c>
      <c r="B8">
        <v>752</v>
      </c>
      <c r="C8">
        <v>275</v>
      </c>
      <c r="D8">
        <v>0.29890308735307097</v>
      </c>
      <c r="E8">
        <v>105.701316930654</v>
      </c>
      <c r="F8">
        <v>2.2046921201867899</v>
      </c>
      <c r="G8">
        <v>-1723.727656814315</v>
      </c>
      <c r="H8">
        <v>-1441.706366060492</v>
      </c>
      <c r="I8">
        <v>275.10246378951598</v>
      </c>
      <c r="J8">
        <v>142.83121471721401</v>
      </c>
      <c r="K8">
        <v>47.943799482396301</v>
      </c>
      <c r="L8">
        <v>1.5589811285594108E-4</v>
      </c>
      <c r="M8">
        <v>1.7443723483432416E-5</v>
      </c>
      <c r="N8" s="1">
        <v>3.7179550716585601E-6</v>
      </c>
      <c r="O8" s="1">
        <v>1.01371346076495E-7</v>
      </c>
      <c r="P8" s="1">
        <v>-5.1556609811775604E-7</v>
      </c>
      <c r="Q8">
        <v>72.054158393268395</v>
      </c>
      <c r="R8">
        <v>6.6224340464864195E-2</v>
      </c>
      <c r="S8">
        <v>12.071751204742601</v>
      </c>
      <c r="T8">
        <v>0.192559821849378</v>
      </c>
      <c r="V8">
        <v>0.46518249712124099</v>
      </c>
      <c r="W8">
        <v>9.4606200664084095E-3</v>
      </c>
      <c r="X8">
        <v>8.5145580597692005E-2</v>
      </c>
      <c r="AA8">
        <v>0.91768014644166396</v>
      </c>
      <c r="AB8">
        <v>3.18822896237972</v>
      </c>
      <c r="AC8">
        <v>4.7492312733368802</v>
      </c>
      <c r="AD8">
        <v>1.8921240132813998E-2</v>
      </c>
      <c r="AE8">
        <v>6.1814559195982399</v>
      </c>
    </row>
    <row r="9" spans="1:35" x14ac:dyDescent="0.2">
      <c r="A9">
        <v>8</v>
      </c>
      <c r="B9">
        <v>751</v>
      </c>
      <c r="C9">
        <v>275</v>
      </c>
      <c r="D9">
        <v>0.29815017331445698</v>
      </c>
      <c r="E9">
        <v>105.48140950623301</v>
      </c>
      <c r="F9">
        <v>2.2051842620826099</v>
      </c>
      <c r="G9">
        <v>-1719.8031483750003</v>
      </c>
      <c r="H9">
        <v>-1438.7617031423783</v>
      </c>
      <c r="I9">
        <v>274.41433894705</v>
      </c>
      <c r="J9">
        <v>142.54180285165501</v>
      </c>
      <c r="K9">
        <v>47.833376702323797</v>
      </c>
      <c r="L9">
        <v>1.5592426795039315E-4</v>
      </c>
      <c r="M9">
        <v>1.7434978200021767E-5</v>
      </c>
      <c r="N9" s="1">
        <v>3.7152050792016001E-6</v>
      </c>
      <c r="O9" s="1">
        <v>1.0109477733964901E-7</v>
      </c>
      <c r="P9" s="1">
        <v>-5.1476719145573498E-7</v>
      </c>
      <c r="Q9">
        <v>72.007643780565303</v>
      </c>
      <c r="R9">
        <v>6.6362404832925201E-2</v>
      </c>
      <c r="S9">
        <v>12.096918366692501</v>
      </c>
      <c r="T9">
        <v>0.19333625894519901</v>
      </c>
      <c r="V9">
        <v>0.46581488959817402</v>
      </c>
      <c r="W9">
        <v>9.4803435475598902E-3</v>
      </c>
      <c r="X9">
        <v>8.5323091928057204E-2</v>
      </c>
      <c r="AA9">
        <v>0.91959332411336303</v>
      </c>
      <c r="AB9">
        <v>3.1948757755277701</v>
      </c>
      <c r="AC9">
        <v>4.7591324608749099</v>
      </c>
      <c r="AD9">
        <v>1.8960687095116599E-2</v>
      </c>
      <c r="AE9">
        <v>6.1825586162789801</v>
      </c>
    </row>
    <row r="10" spans="1:35" x14ac:dyDescent="0.2">
      <c r="A10">
        <v>9</v>
      </c>
      <c r="B10">
        <v>750</v>
      </c>
      <c r="C10">
        <v>275</v>
      </c>
      <c r="D10">
        <v>0.29739578751893703</v>
      </c>
      <c r="E10">
        <v>105.26258631529301</v>
      </c>
      <c r="F10">
        <v>2.20567646666027</v>
      </c>
      <c r="G10">
        <v>-1715.8978670561607</v>
      </c>
      <c r="H10">
        <v>-1435.8316772927083</v>
      </c>
      <c r="I10">
        <v>273.72935519078499</v>
      </c>
      <c r="J10">
        <v>142.25381132857299</v>
      </c>
      <c r="K10">
        <v>47.723493407297497</v>
      </c>
      <c r="L10">
        <v>1.559503706083366E-4</v>
      </c>
      <c r="M10">
        <v>1.7426224900057567E-5</v>
      </c>
      <c r="N10" s="1">
        <v>3.7124771733641002E-6</v>
      </c>
      <c r="O10" s="1">
        <v>1.0081956970167201E-7</v>
      </c>
      <c r="P10" s="1">
        <v>-5.1397266988634696E-7</v>
      </c>
      <c r="Q10">
        <v>71.961159238451103</v>
      </c>
      <c r="R10">
        <v>6.6500361097276597E-2</v>
      </c>
      <c r="S10">
        <v>12.1220658228803</v>
      </c>
      <c r="T10">
        <v>0.194115415472357</v>
      </c>
      <c r="V10">
        <v>0.46644379290390098</v>
      </c>
      <c r="W10">
        <v>9.5000515853243296E-3</v>
      </c>
      <c r="X10">
        <v>8.5500464267938295E-2</v>
      </c>
      <c r="AA10">
        <v>0.92150500377651701</v>
      </c>
      <c r="AB10">
        <v>3.2015173842543998</v>
      </c>
      <c r="AC10">
        <v>4.7690258958326499</v>
      </c>
      <c r="AD10">
        <v>1.9000103170645301E-2</v>
      </c>
      <c r="AE10">
        <v>6.1836664663074599</v>
      </c>
    </row>
    <row r="11" spans="1:35" x14ac:dyDescent="0.2">
      <c r="A11">
        <v>10</v>
      </c>
      <c r="B11">
        <v>749</v>
      </c>
      <c r="C11">
        <v>275</v>
      </c>
      <c r="D11">
        <v>0.29663992564692099</v>
      </c>
      <c r="E11">
        <v>105.044838665762</v>
      </c>
      <c r="F11">
        <v>2.2061687354304702</v>
      </c>
      <c r="G11">
        <v>-1712.0116596960663</v>
      </c>
      <c r="H11">
        <v>-1432.9161708618806</v>
      </c>
      <c r="I11">
        <v>273.04748699719698</v>
      </c>
      <c r="J11">
        <v>141.96722877792899</v>
      </c>
      <c r="K11">
        <v>47.614145273101897</v>
      </c>
      <c r="L11">
        <v>1.5597642037049357E-4</v>
      </c>
      <c r="M11">
        <v>1.7417463524025613E-5</v>
      </c>
      <c r="N11" s="1">
        <v>3.7097711677409202E-6</v>
      </c>
      <c r="O11" s="1">
        <v>1.0054571192397599E-7</v>
      </c>
      <c r="P11" s="1">
        <v>-5.1318249627325902E-7</v>
      </c>
      <c r="Q11">
        <v>71.914704604547296</v>
      </c>
      <c r="R11">
        <v>6.6638209824599504E-2</v>
      </c>
      <c r="S11">
        <v>12.147193676604401</v>
      </c>
      <c r="T11">
        <v>0.19489730744192599</v>
      </c>
      <c r="V11">
        <v>0.467069198094617</v>
      </c>
      <c r="W11">
        <v>9.5197442606560698E-3</v>
      </c>
      <c r="X11">
        <v>8.5677698345926104E-2</v>
      </c>
      <c r="AA11">
        <v>0.92341519328370203</v>
      </c>
      <c r="AB11">
        <v>3.20815381584121</v>
      </c>
      <c r="AC11">
        <v>4.7789116188491603</v>
      </c>
      <c r="AD11">
        <v>1.9039488521308399E-2</v>
      </c>
      <c r="AE11">
        <v>6.1847794443851498</v>
      </c>
    </row>
    <row r="12" spans="1:35" x14ac:dyDescent="0.2">
      <c r="A12">
        <v>11</v>
      </c>
      <c r="B12">
        <v>748</v>
      </c>
      <c r="C12">
        <v>275</v>
      </c>
      <c r="D12">
        <v>0.29588258336189799</v>
      </c>
      <c r="E12">
        <v>104.828157958134</v>
      </c>
      <c r="F12">
        <v>2.2066610699047202</v>
      </c>
      <c r="G12">
        <v>-1708.1443747630099</v>
      </c>
      <c r="H12">
        <v>-1430.0150674534373</v>
      </c>
      <c r="I12">
        <v>272.36870911185599</v>
      </c>
      <c r="J12">
        <v>141.682043950722</v>
      </c>
      <c r="K12">
        <v>47.505328021516597</v>
      </c>
      <c r="L12">
        <v>1.5600241677446683E-4</v>
      </c>
      <c r="M12">
        <v>1.7408694012276908E-5</v>
      </c>
      <c r="N12" s="1">
        <v>3.7070868777151599E-6</v>
      </c>
      <c r="O12" s="1">
        <v>1.0027319288507E-7</v>
      </c>
      <c r="P12" s="1">
        <v>-5.1239663385333204E-7</v>
      </c>
      <c r="Q12">
        <v>71.8682797172373</v>
      </c>
      <c r="R12">
        <v>6.6775951579688103E-2</v>
      </c>
      <c r="S12">
        <v>12.1723020308181</v>
      </c>
      <c r="T12">
        <v>0.195681950946339</v>
      </c>
      <c r="V12">
        <v>0.467691096135255</v>
      </c>
      <c r="W12">
        <v>9.5394216542400694E-3</v>
      </c>
      <c r="X12">
        <v>8.5854794888183802E-2</v>
      </c>
      <c r="AA12">
        <v>0.92532390046135504</v>
      </c>
      <c r="AB12">
        <v>3.21478509747902</v>
      </c>
      <c r="AC12">
        <v>4.7887896704283204</v>
      </c>
      <c r="AD12">
        <v>1.90788433084761E-2</v>
      </c>
      <c r="AE12">
        <v>6.1858975250635799</v>
      </c>
    </row>
    <row r="13" spans="1:35" x14ac:dyDescent="0.2">
      <c r="A13">
        <v>12</v>
      </c>
      <c r="B13">
        <v>747</v>
      </c>
      <c r="C13">
        <v>275</v>
      </c>
      <c r="D13">
        <v>0.29512375631034898</v>
      </c>
      <c r="E13">
        <v>104.61253568566801</v>
      </c>
      <c r="F13">
        <v>2.2071534715959902</v>
      </c>
      <c r="G13">
        <v>-1704.295862357038</v>
      </c>
      <c r="H13">
        <v>-1427.1282519275721</v>
      </c>
      <c r="I13">
        <v>271.692996549003</v>
      </c>
      <c r="J13">
        <v>141.39824571908201</v>
      </c>
      <c r="K13">
        <v>47.397037420339799</v>
      </c>
      <c r="L13">
        <v>1.5602835935320703E-4</v>
      </c>
      <c r="M13">
        <v>1.7399916304957394E-5</v>
      </c>
      <c r="N13" s="1">
        <v>3.7044241204444698E-6</v>
      </c>
      <c r="O13" s="1">
        <v>1.00002001579382E-7</v>
      </c>
      <c r="P13" s="1">
        <v>-5.1161504623037099E-7</v>
      </c>
      <c r="Q13">
        <v>71.821884416027601</v>
      </c>
      <c r="R13">
        <v>6.6913586924548005E-2</v>
      </c>
      <c r="S13">
        <v>12.1973909879678</v>
      </c>
      <c r="T13">
        <v>0.19646936215657601</v>
      </c>
      <c r="V13">
        <v>0.468309477893044</v>
      </c>
      <c r="W13">
        <v>9.5590838463627606E-3</v>
      </c>
      <c r="X13">
        <v>8.6031754617291303E-2</v>
      </c>
      <c r="AA13">
        <v>0.92723113309726601</v>
      </c>
      <c r="AB13">
        <v>3.22141125622439</v>
      </c>
      <c r="AC13">
        <v>4.7986600908738799</v>
      </c>
      <c r="AD13">
        <v>1.91181676927209E-2</v>
      </c>
      <c r="AE13">
        <v>6.1870206826784004</v>
      </c>
    </row>
    <row r="14" spans="1:35" x14ac:dyDescent="0.2">
      <c r="A14">
        <v>13</v>
      </c>
      <c r="B14">
        <v>746</v>
      </c>
      <c r="C14">
        <v>275</v>
      </c>
      <c r="D14">
        <v>0.29436344012167098</v>
      </c>
      <c r="E14">
        <v>104.397963433103</v>
      </c>
      <c r="F14">
        <v>2.2076459420180399</v>
      </c>
      <c r="G14">
        <v>-1700.4659741875844</v>
      </c>
      <c r="H14">
        <v>-1424.2556103837032</v>
      </c>
      <c r="I14">
        <v>271.02032458801898</v>
      </c>
      <c r="J14">
        <v>141.11582307463999</v>
      </c>
      <c r="K14">
        <v>47.289269282768799</v>
      </c>
      <c r="L14">
        <v>1.5605424763546699E-4</v>
      </c>
      <c r="M14">
        <v>1.7391130342041746E-5</v>
      </c>
      <c r="N14" s="1">
        <v>3.7017827148494898E-6</v>
      </c>
      <c r="O14" s="1">
        <v>9.9732127116056199E-8</v>
      </c>
      <c r="P14" s="1">
        <v>-5.1083769737247204E-7</v>
      </c>
      <c r="Q14">
        <v>71.775518541512398</v>
      </c>
      <c r="R14">
        <v>6.7051116418433296E-2</v>
      </c>
      <c r="S14">
        <v>12.2224606499966</v>
      </c>
      <c r="T14">
        <v>0.197259557322669</v>
      </c>
      <c r="V14">
        <v>0.46892433413774698</v>
      </c>
      <c r="W14">
        <v>9.5787309169177194E-3</v>
      </c>
      <c r="X14">
        <v>8.6208578252287907E-2</v>
      </c>
      <c r="AA14">
        <v>0.92913689894110296</v>
      </c>
      <c r="AB14">
        <v>3.2280323190014202</v>
      </c>
      <c r="AC14">
        <v>4.8085229202924502</v>
      </c>
      <c r="AD14">
        <v>1.9157461833830498E-2</v>
      </c>
      <c r="AE14">
        <v>6.1881488913740696</v>
      </c>
    </row>
    <row r="15" spans="1:35" x14ac:dyDescent="0.2">
      <c r="A15">
        <v>14</v>
      </c>
      <c r="B15">
        <v>745</v>
      </c>
      <c r="C15">
        <v>275</v>
      </c>
      <c r="D15">
        <v>0.29360163040809401</v>
      </c>
      <c r="E15">
        <v>104.184432874736</v>
      </c>
      <c r="F15">
        <v>2.2081384826850101</v>
      </c>
      <c r="G15">
        <v>-1696.6545635404789</v>
      </c>
      <c r="H15">
        <v>-1421.3970301339975</v>
      </c>
      <c r="I15">
        <v>270.35066876833503</v>
      </c>
      <c r="J15">
        <v>140.834765126089</v>
      </c>
      <c r="K15">
        <v>47.182019466484</v>
      </c>
      <c r="L15">
        <v>1.5608008114661052E-4</v>
      </c>
      <c r="M15">
        <v>1.7382336063372677E-5</v>
      </c>
      <c r="N15" s="1">
        <v>3.6991624815847101E-6</v>
      </c>
      <c r="O15" s="1">
        <v>9.9463558717276494E-8</v>
      </c>
      <c r="P15" s="1">
        <v>-5.1006455160792703E-7</v>
      </c>
      <c r="Q15">
        <v>71.729181935183405</v>
      </c>
      <c r="R15">
        <v>6.7188540618315098E-2</v>
      </c>
      <c r="S15">
        <v>12.2475111184326</v>
      </c>
      <c r="T15">
        <v>0.19805255277547301</v>
      </c>
      <c r="V15">
        <v>0.46953565554423699</v>
      </c>
      <c r="W15">
        <v>9.5983629454721806E-3</v>
      </c>
      <c r="X15">
        <v>8.6385266509279704E-2</v>
      </c>
      <c r="AA15">
        <v>0.931041205710891</v>
      </c>
      <c r="AB15">
        <v>3.2346483126242802</v>
      </c>
      <c r="AC15">
        <v>4.8183781986267702</v>
      </c>
      <c r="AD15">
        <v>1.9196725890939102E-2</v>
      </c>
      <c r="AE15">
        <v>6.18928212513815</v>
      </c>
    </row>
    <row r="16" spans="1:35" x14ac:dyDescent="0.2">
      <c r="A16">
        <v>15</v>
      </c>
      <c r="B16">
        <v>744</v>
      </c>
      <c r="C16">
        <v>275</v>
      </c>
      <c r="D16">
        <v>0.29283832276459099</v>
      </c>
      <c r="E16">
        <v>103.971935772387</v>
      </c>
      <c r="F16">
        <v>2.2086310951139301</v>
      </c>
      <c r="G16">
        <v>-1692.8614852426294</v>
      </c>
      <c r="H16">
        <v>-1418.5523996754805</v>
      </c>
      <c r="I16">
        <v>269.68400488339802</v>
      </c>
      <c r="J16">
        <v>140.55506109647601</v>
      </c>
      <c r="K16">
        <v>47.075283872621497</v>
      </c>
      <c r="L16">
        <v>1.5610585940772616E-4</v>
      </c>
      <c r="M16">
        <v>1.7373533408568151E-5</v>
      </c>
      <c r="N16" s="1">
        <v>3.6965632429453402E-6</v>
      </c>
      <c r="O16" s="1">
        <v>9.91962857149943E-8</v>
      </c>
      <c r="P16" s="1">
        <v>-5.0929557361107495E-7</v>
      </c>
      <c r="Q16">
        <v>71.682874439312698</v>
      </c>
      <c r="R16">
        <v>6.7325860079441094E-2</v>
      </c>
      <c r="S16">
        <v>12.272542494489601</v>
      </c>
      <c r="T16">
        <v>0.19884836492901201</v>
      </c>
      <c r="V16">
        <v>0.47014343269600201</v>
      </c>
      <c r="W16">
        <v>9.6179800113472894E-3</v>
      </c>
      <c r="X16">
        <v>8.6561820102156503E-2</v>
      </c>
      <c r="AA16">
        <v>0.93294406110077799</v>
      </c>
      <c r="AB16">
        <v>3.2412592638241899</v>
      </c>
      <c r="AC16">
        <v>4.8282259656960704</v>
      </c>
      <c r="AD16">
        <v>1.92359600226891E-2</v>
      </c>
      <c r="AE16">
        <v>6.1904203577358796</v>
      </c>
    </row>
    <row r="17" spans="1:31" x14ac:dyDescent="0.2">
      <c r="A17">
        <v>16</v>
      </c>
      <c r="B17">
        <v>743</v>
      </c>
      <c r="C17">
        <v>275</v>
      </c>
      <c r="D17">
        <v>0.29207351276878402</v>
      </c>
      <c r="E17">
        <v>103.76046397679499</v>
      </c>
      <c r="F17">
        <v>2.2091237808209598</v>
      </c>
      <c r="G17">
        <v>-1689.086595684443</v>
      </c>
      <c r="H17">
        <v>-1415.7216087102004</v>
      </c>
      <c r="I17">
        <v>269.02030898414802</v>
      </c>
      <c r="J17">
        <v>140.276700324986</v>
      </c>
      <c r="K17">
        <v>46.9690584464377</v>
      </c>
      <c r="L17">
        <v>1.5613158193590089E-4</v>
      </c>
      <c r="M17">
        <v>1.7364722317123565E-5</v>
      </c>
      <c r="N17" s="1">
        <v>3.6939848229688298E-6</v>
      </c>
      <c r="O17" s="1">
        <v>9.8930297552772105E-8</v>
      </c>
      <c r="P17" s="1">
        <v>-5.0853072841237297E-7</v>
      </c>
      <c r="Q17">
        <v>71.636595897436095</v>
      </c>
      <c r="R17">
        <v>6.7463075353690102E-2</v>
      </c>
      <c r="S17">
        <v>12.2975548787675</v>
      </c>
      <c r="T17">
        <v>0.19964701027502399</v>
      </c>
      <c r="V17">
        <v>0.47074765607403002</v>
      </c>
      <c r="W17">
        <v>9.6375821933827807E-3</v>
      </c>
      <c r="X17">
        <v>8.6738239740477799E-2</v>
      </c>
      <c r="AA17">
        <v>0.93484547275822605</v>
      </c>
      <c r="AB17">
        <v>3.2478651991701599</v>
      </c>
      <c r="AC17">
        <v>4.83806626107787</v>
      </c>
      <c r="AD17">
        <v>1.9275164386759702E-2</v>
      </c>
      <c r="AE17">
        <v>6.1915635627666203</v>
      </c>
    </row>
    <row r="18" spans="1:31" x14ac:dyDescent="0.2">
      <c r="A18">
        <v>17</v>
      </c>
      <c r="B18">
        <v>742</v>
      </c>
      <c r="C18">
        <v>275</v>
      </c>
      <c r="D18">
        <v>0.291307195980888</v>
      </c>
      <c r="E18">
        <v>103.55000942385701</v>
      </c>
      <c r="F18">
        <v>2.2096165413267599</v>
      </c>
      <c r="G18">
        <v>-1685.3297527555105</v>
      </c>
      <c r="H18">
        <v>-1412.9045480930868</v>
      </c>
      <c r="I18">
        <v>268.35955736829402</v>
      </c>
      <c r="J18">
        <v>139.99967226199101</v>
      </c>
      <c r="K18">
        <v>46.863339175439599</v>
      </c>
      <c r="L18">
        <v>1.5615724824298392E-4</v>
      </c>
      <c r="M18">
        <v>1.7355902728237626E-5</v>
      </c>
      <c r="N18" s="1">
        <v>3.6914270472508301E-6</v>
      </c>
      <c r="O18" s="1">
        <v>9.8665583780150406E-8</v>
      </c>
      <c r="P18" s="1">
        <v>-5.0776998137336099E-7</v>
      </c>
      <c r="Q18">
        <v>71.590346153910602</v>
      </c>
      <c r="R18">
        <v>6.7600186991268796E-2</v>
      </c>
      <c r="S18">
        <v>12.3225483715611</v>
      </c>
      <c r="T18">
        <v>0.200448505389242</v>
      </c>
      <c r="V18">
        <v>0.471348316067696</v>
      </c>
      <c r="W18">
        <v>9.6571695701795999E-3</v>
      </c>
      <c r="X18">
        <v>8.6914526131651904E-2</v>
      </c>
      <c r="AA18">
        <v>0.93674544830752604</v>
      </c>
      <c r="AB18">
        <v>3.25446614515071</v>
      </c>
      <c r="AC18">
        <v>4.8478991242298601</v>
      </c>
      <c r="AD18">
        <v>1.9314339140352899E-2</v>
      </c>
      <c r="AE18">
        <v>6.1927117135497403</v>
      </c>
    </row>
    <row r="19" spans="1:31" x14ac:dyDescent="0.2">
      <c r="A19">
        <v>18</v>
      </c>
      <c r="B19">
        <v>741</v>
      </c>
      <c r="C19">
        <v>275</v>
      </c>
      <c r="D19">
        <v>0.29053936794360102</v>
      </c>
      <c r="E19">
        <v>102.332240174552</v>
      </c>
      <c r="F19">
        <v>2.2100561775307899</v>
      </c>
      <c r="G19">
        <v>-1665.2675741294495</v>
      </c>
      <c r="H19">
        <v>-1396.3560176306257</v>
      </c>
      <c r="I19">
        <v>265.15954888213997</v>
      </c>
      <c r="J19">
        <v>138.38385068566899</v>
      </c>
      <c r="K19">
        <v>46.303004066115697</v>
      </c>
      <c r="L19">
        <v>1.5633027530746838E-4</v>
      </c>
      <c r="M19">
        <v>1.7359048537526426E-5</v>
      </c>
      <c r="N19" s="1">
        <v>3.6577019478058698E-6</v>
      </c>
      <c r="O19" s="1">
        <v>9.7559728008521907E-8</v>
      </c>
      <c r="P19" s="1">
        <v>-5.0263748481380002E-7</v>
      </c>
      <c r="Q19">
        <v>71.528669134050901</v>
      </c>
      <c r="R19">
        <v>6.8404639515956697E-2</v>
      </c>
      <c r="S19">
        <v>12.3522657092554</v>
      </c>
      <c r="T19">
        <v>0.20319144942890399</v>
      </c>
      <c r="V19">
        <v>0.476635681763657</v>
      </c>
      <c r="W19">
        <v>9.7720913594203096E-3</v>
      </c>
      <c r="X19">
        <v>8.7948822234827501E-2</v>
      </c>
      <c r="AA19">
        <v>0.94620150107548195</v>
      </c>
      <c r="AB19">
        <v>3.2705875524833901</v>
      </c>
      <c r="AC19">
        <v>4.8347657613090798</v>
      </c>
      <c r="AD19">
        <v>1.9544182718832799E-2</v>
      </c>
      <c r="AE19">
        <v>6.2020134748039597</v>
      </c>
    </row>
    <row r="20" spans="1:31" x14ac:dyDescent="0.2">
      <c r="A20">
        <v>19</v>
      </c>
      <c r="B20">
        <v>740</v>
      </c>
      <c r="C20">
        <v>275</v>
      </c>
      <c r="D20">
        <v>0.28977002418201098</v>
      </c>
      <c r="E20">
        <v>84.836893787382806</v>
      </c>
      <c r="F20">
        <v>2.2120302529229598</v>
      </c>
      <c r="G20">
        <v>-1379.3342496311268</v>
      </c>
      <c r="H20">
        <v>-1156.5996884918418</v>
      </c>
      <c r="I20">
        <v>219.843617568262</v>
      </c>
      <c r="J20">
        <v>114.777046150915</v>
      </c>
      <c r="K20">
        <v>38.352501587751703</v>
      </c>
      <c r="L20">
        <v>1.5682209803236392E-4</v>
      </c>
      <c r="M20">
        <v>1.737738542744219E-5</v>
      </c>
      <c r="N20" s="1">
        <v>3.0443851882940399E-6</v>
      </c>
      <c r="O20" s="1">
        <v>8.1021373871096503E-8</v>
      </c>
      <c r="P20" s="1">
        <v>-4.1789695157154899E-7</v>
      </c>
      <c r="Q20">
        <v>71.3666738349486</v>
      </c>
      <c r="R20">
        <v>8.2511271776924397E-2</v>
      </c>
      <c r="S20">
        <v>12.345890076519799</v>
      </c>
      <c r="T20">
        <v>0.245014472800927</v>
      </c>
      <c r="V20">
        <v>0.57500087596248295</v>
      </c>
      <c r="W20">
        <v>1.1787324539556301E-2</v>
      </c>
      <c r="X20">
        <v>0.106085920856091</v>
      </c>
      <c r="AA20">
        <v>0.95894902445293695</v>
      </c>
      <c r="AB20">
        <v>3.2887727401357201</v>
      </c>
      <c r="AC20">
        <v>4.7762831318245196</v>
      </c>
      <c r="AD20">
        <v>2.3574649079102401E-2</v>
      </c>
      <c r="AE20">
        <v>6.2194566771032402</v>
      </c>
    </row>
    <row r="21" spans="1:31" x14ac:dyDescent="0.2">
      <c r="A21">
        <v>20</v>
      </c>
      <c r="B21">
        <v>739</v>
      </c>
      <c r="C21">
        <v>275</v>
      </c>
      <c r="D21">
        <v>0.28899916020352701</v>
      </c>
      <c r="E21">
        <v>25.642131606086998</v>
      </c>
      <c r="F21">
        <v>2.2140798226607799</v>
      </c>
      <c r="G21">
        <v>-416.70212222915296</v>
      </c>
      <c r="H21">
        <v>-349.47812073486983</v>
      </c>
      <c r="I21">
        <v>66.417034524806397</v>
      </c>
      <c r="J21">
        <v>34.719328051213999</v>
      </c>
      <c r="K21">
        <v>11.581394375958601</v>
      </c>
      <c r="L21">
        <v>1.5700876243768285E-4</v>
      </c>
      <c r="M21">
        <v>1.7373150413628667E-5</v>
      </c>
      <c r="N21" s="1">
        <v>9.2155015311154801E-7</v>
      </c>
      <c r="O21" s="1">
        <v>2.44742646283743E-8</v>
      </c>
      <c r="P21" s="1">
        <v>-1.2631829555094201E-7</v>
      </c>
      <c r="Q21">
        <v>71.154388888131294</v>
      </c>
      <c r="R21">
        <v>0.132434160721799</v>
      </c>
      <c r="S21">
        <v>12.3721646109258</v>
      </c>
      <c r="T21">
        <v>0.251518073488676</v>
      </c>
      <c r="V21">
        <v>0.58946199145094702</v>
      </c>
      <c r="W21">
        <v>3.8998317899678003E-2</v>
      </c>
      <c r="X21">
        <v>0.13757888353241801</v>
      </c>
      <c r="AA21">
        <v>0.99438395919653699</v>
      </c>
      <c r="AB21">
        <v>3.2765334579802401</v>
      </c>
      <c r="AC21">
        <v>4.7529170115591199</v>
      </c>
      <c r="AD21">
        <v>7.7996635799259903E-2</v>
      </c>
      <c r="AE21">
        <v>6.2216240093141302</v>
      </c>
    </row>
    <row r="22" spans="1:31" x14ac:dyDescent="0.2">
      <c r="A22">
        <v>21</v>
      </c>
      <c r="B22">
        <v>738</v>
      </c>
      <c r="C22">
        <v>275</v>
      </c>
      <c r="D22">
        <v>0.28822677149780002</v>
      </c>
      <c r="E22">
        <v>9.6987932905632501</v>
      </c>
      <c r="F22">
        <v>2.2162360894946498</v>
      </c>
      <c r="G22">
        <v>-157.54709087747133</v>
      </c>
      <c r="H22">
        <v>-132.16675830980404</v>
      </c>
      <c r="I22">
        <v>25.100462411776</v>
      </c>
      <c r="J22">
        <v>13.1507039905601</v>
      </c>
      <c r="K22">
        <v>4.3762455347321696</v>
      </c>
      <c r="L22">
        <v>1.5718439568667615E-4</v>
      </c>
      <c r="M22">
        <v>1.7376120515396105E-5</v>
      </c>
      <c r="N22" s="1">
        <v>3.4948839178791902E-7</v>
      </c>
      <c r="O22" s="1">
        <v>9.2606324743389297E-9</v>
      </c>
      <c r="P22" s="1">
        <v>-4.7815488244534102E-8</v>
      </c>
      <c r="Q22">
        <v>70.796526551193395</v>
      </c>
      <c r="R22">
        <v>0.14630244570855899</v>
      </c>
      <c r="S22">
        <v>12.486853692334901</v>
      </c>
      <c r="T22">
        <v>0.244720503216251</v>
      </c>
      <c r="V22">
        <v>0.57271385598354696</v>
      </c>
      <c r="W22">
        <v>0.102203065560821</v>
      </c>
      <c r="X22">
        <v>0.14089412661655901</v>
      </c>
      <c r="AA22">
        <v>1.1191606671697001</v>
      </c>
      <c r="AB22">
        <v>3.2043778048514899</v>
      </c>
      <c r="AC22">
        <v>4.74906348024638</v>
      </c>
      <c r="AD22">
        <v>0.20621122031143799</v>
      </c>
      <c r="AE22">
        <v>6.2309725868068702</v>
      </c>
    </row>
    <row r="23" spans="1:31" x14ac:dyDescent="0.2">
      <c r="A23">
        <v>22</v>
      </c>
      <c r="B23">
        <v>759</v>
      </c>
      <c r="C23">
        <v>250</v>
      </c>
      <c r="D23">
        <v>0.33077604999273502</v>
      </c>
      <c r="E23">
        <v>106.631363439144</v>
      </c>
      <c r="F23">
        <v>2.2020715300232401</v>
      </c>
      <c r="G23">
        <v>-1740.3227426947537</v>
      </c>
      <c r="H23">
        <v>-1455.3190263840133</v>
      </c>
      <c r="I23">
        <v>276.12625714357398</v>
      </c>
      <c r="J23">
        <v>143.70075007202399</v>
      </c>
      <c r="K23">
        <v>48.423206051812002</v>
      </c>
      <c r="L23">
        <v>1.517484793658575E-4</v>
      </c>
      <c r="M23">
        <v>1.7475353052504066E-5</v>
      </c>
      <c r="N23" s="1">
        <v>3.5355674760544501E-6</v>
      </c>
      <c r="O23" s="1">
        <v>9.9414405318819502E-8</v>
      </c>
      <c r="P23" s="1">
        <v>-5.0443369627217703E-7</v>
      </c>
      <c r="Q23">
        <v>72.595901902913496</v>
      </c>
      <c r="R23">
        <v>6.5646726950039994E-2</v>
      </c>
      <c r="S23">
        <v>11.9664605126077</v>
      </c>
      <c r="T23">
        <v>0.19068478266245201</v>
      </c>
      <c r="V23">
        <v>0.46130107116510599</v>
      </c>
      <c r="W23">
        <v>9.3781038500056497E-3</v>
      </c>
      <c r="X23">
        <v>8.44029346500524E-2</v>
      </c>
      <c r="AA23">
        <v>0.90967607345055301</v>
      </c>
      <c r="AB23">
        <v>3.1604209974519102</v>
      </c>
      <c r="AC23">
        <v>4.7078081327028203</v>
      </c>
      <c r="AD23">
        <v>1.8756207700011001E-2</v>
      </c>
      <c r="AE23">
        <v>5.8295625538957099</v>
      </c>
    </row>
    <row r="24" spans="1:31" x14ac:dyDescent="0.2">
      <c r="A24">
        <v>23</v>
      </c>
      <c r="B24">
        <v>758</v>
      </c>
      <c r="C24">
        <v>250</v>
      </c>
      <c r="D24">
        <v>0.330059157251614</v>
      </c>
      <c r="E24">
        <v>106.63005699622499</v>
      </c>
      <c r="F24">
        <v>2.2024410142696298</v>
      </c>
      <c r="G24">
        <v>-1740.0181231591826</v>
      </c>
      <c r="H24">
        <v>-1455.4463323540167</v>
      </c>
      <c r="I24">
        <v>275.97516443307501</v>
      </c>
      <c r="J24">
        <v>143.68364152791699</v>
      </c>
      <c r="K24">
        <v>48.414489334955398</v>
      </c>
      <c r="L24">
        <v>1.5167766956036521E-4</v>
      </c>
      <c r="M24">
        <v>1.7465938968358097E-5</v>
      </c>
      <c r="N24" s="1">
        <v>3.53892607814934E-6</v>
      </c>
      <c r="O24" s="1">
        <v>9.9315386176061499E-8</v>
      </c>
      <c r="P24" s="1">
        <v>-5.0419704223924503E-7</v>
      </c>
      <c r="Q24">
        <v>72.596791355748394</v>
      </c>
      <c r="R24">
        <v>6.56475312607947E-2</v>
      </c>
      <c r="S24">
        <v>11.9666071269691</v>
      </c>
      <c r="T24">
        <v>0.19098755929384001</v>
      </c>
      <c r="V24">
        <v>0.46103638354822601</v>
      </c>
      <c r="W24">
        <v>9.3782187515418693E-3</v>
      </c>
      <c r="X24">
        <v>8.4403968763881801E-2</v>
      </c>
      <c r="AA24">
        <v>0.90968721889957604</v>
      </c>
      <c r="AB24">
        <v>3.16045971926963</v>
      </c>
      <c r="AC24">
        <v>4.7078658132739699</v>
      </c>
      <c r="AD24">
        <v>1.8756437503082899E-2</v>
      </c>
      <c r="AE24">
        <v>5.8283786667178497</v>
      </c>
    </row>
    <row r="25" spans="1:31" x14ac:dyDescent="0.2">
      <c r="A25">
        <v>24</v>
      </c>
      <c r="B25">
        <v>757</v>
      </c>
      <c r="C25">
        <v>250</v>
      </c>
      <c r="D25">
        <v>0.32934087268844398</v>
      </c>
      <c r="E25">
        <v>106.41062316040799</v>
      </c>
      <c r="F25">
        <v>2.2029312225861202</v>
      </c>
      <c r="G25">
        <v>-1736.0969083600837</v>
      </c>
      <c r="H25">
        <v>-1452.5078829147524</v>
      </c>
      <c r="I25">
        <v>275.28906027795</v>
      </c>
      <c r="J25">
        <v>143.39497790739301</v>
      </c>
      <c r="K25">
        <v>48.304105942757403</v>
      </c>
      <c r="L25">
        <v>1.51700505341355E-4</v>
      </c>
      <c r="M25">
        <v>1.745709958886915E-5</v>
      </c>
      <c r="N25" s="1">
        <v>3.5361862664885801E-6</v>
      </c>
      <c r="O25" s="1">
        <v>9.9043785822009606E-8</v>
      </c>
      <c r="P25" s="1">
        <v>-5.0340033654176203E-7</v>
      </c>
      <c r="Q25">
        <v>72.551552999414696</v>
      </c>
      <c r="R25">
        <v>6.5782905804883607E-2</v>
      </c>
      <c r="S25">
        <v>11.991283972435401</v>
      </c>
      <c r="T25">
        <v>0.191747844798272</v>
      </c>
      <c r="V25">
        <v>0.46165737758049102</v>
      </c>
      <c r="W25">
        <v>9.3975579721258494E-3</v>
      </c>
      <c r="X25">
        <v>8.4578021749141002E-2</v>
      </c>
      <c r="AA25">
        <v>0.91156312329623101</v>
      </c>
      <c r="AB25">
        <v>3.16697703660645</v>
      </c>
      <c r="AC25">
        <v>4.7175741020070898</v>
      </c>
      <c r="AD25">
        <v>1.87951159442502E-2</v>
      </c>
      <c r="AE25">
        <v>5.82908994239087</v>
      </c>
    </row>
    <row r="26" spans="1:31" x14ac:dyDescent="0.2">
      <c r="A26">
        <v>25</v>
      </c>
      <c r="B26">
        <v>756</v>
      </c>
      <c r="C26">
        <v>250</v>
      </c>
      <c r="D26">
        <v>0.32862119224602798</v>
      </c>
      <c r="E26">
        <v>106.191996876555</v>
      </c>
      <c r="F26">
        <v>2.2034216935900401</v>
      </c>
      <c r="G26">
        <v>-1732.1903322361575</v>
      </c>
      <c r="H26">
        <v>-1449.5801934295134</v>
      </c>
      <c r="I26">
        <v>274.60539164032798</v>
      </c>
      <c r="J26">
        <v>143.107383761389</v>
      </c>
      <c r="K26">
        <v>48.1941324193537</v>
      </c>
      <c r="L26">
        <v>1.5172337029580952E-4</v>
      </c>
      <c r="M26">
        <v>1.7448250961803791E-5</v>
      </c>
      <c r="N26" s="1">
        <v>3.5334585135184802E-6</v>
      </c>
      <c r="O26" s="1">
        <v>9.8773270951033301E-8</v>
      </c>
      <c r="P26" s="1">
        <v>-5.0260703360169203E-7</v>
      </c>
      <c r="Q26">
        <v>72.506290394604505</v>
      </c>
      <c r="R26">
        <v>6.5918338536729904E-2</v>
      </c>
      <c r="S26">
        <v>12.015971424698</v>
      </c>
      <c r="T26">
        <v>0.19251132079639399</v>
      </c>
      <c r="V26">
        <v>0.46227606174302799</v>
      </c>
      <c r="W26">
        <v>9.4169055052466706E-3</v>
      </c>
      <c r="X26">
        <v>8.4752149547229899E-2</v>
      </c>
      <c r="AA26">
        <v>0.91343983400895601</v>
      </c>
      <c r="AB26">
        <v>3.1734971552681799</v>
      </c>
      <c r="AC26">
        <v>4.72728656363374</v>
      </c>
      <c r="AD26">
        <v>1.88338110104917E-2</v>
      </c>
      <c r="AE26">
        <v>5.8298060406473198</v>
      </c>
    </row>
    <row r="27" spans="1:31" x14ac:dyDescent="0.2">
      <c r="A27">
        <v>26</v>
      </c>
      <c r="B27">
        <v>755</v>
      </c>
      <c r="C27">
        <v>250</v>
      </c>
      <c r="D27">
        <v>0.32790011185138401</v>
      </c>
      <c r="E27">
        <v>105.974439505218</v>
      </c>
      <c r="F27">
        <v>2.2039122806001301</v>
      </c>
      <c r="G27">
        <v>-1728.3027198992716</v>
      </c>
      <c r="H27">
        <v>-1446.6669413624531</v>
      </c>
      <c r="I27">
        <v>273.92479554230198</v>
      </c>
      <c r="J27">
        <v>142.82118393168199</v>
      </c>
      <c r="K27">
        <v>48.0846903200528</v>
      </c>
      <c r="L27">
        <v>1.517461476443832E-4</v>
      </c>
      <c r="M27">
        <v>1.7439392271491379E-5</v>
      </c>
      <c r="N27" s="1">
        <v>3.5307501629811898E-6</v>
      </c>
      <c r="O27" s="1">
        <v>9.8504044218396097E-8</v>
      </c>
      <c r="P27" s="1">
        <v>-5.0181778866924703E-7</v>
      </c>
      <c r="Q27">
        <v>72.461060385630205</v>
      </c>
      <c r="R27">
        <v>6.6053663814427899E-2</v>
      </c>
      <c r="S27">
        <v>12.040639289604901</v>
      </c>
      <c r="T27">
        <v>0.193277440378468</v>
      </c>
      <c r="V27">
        <v>0.46289133124481202</v>
      </c>
      <c r="W27">
        <v>9.4362376877748008E-3</v>
      </c>
      <c r="X27">
        <v>8.4926139189986205E-2</v>
      </c>
      <c r="AA27">
        <v>0.91531505571419602</v>
      </c>
      <c r="AB27">
        <v>3.1800121007801798</v>
      </c>
      <c r="AC27">
        <v>4.7369913192628497</v>
      </c>
      <c r="AD27">
        <v>1.8872475375547499E-2</v>
      </c>
      <c r="AE27">
        <v>5.8305245613165004</v>
      </c>
    </row>
    <row r="28" spans="1:31" x14ac:dyDescent="0.2">
      <c r="A28">
        <v>27</v>
      </c>
      <c r="B28">
        <v>754</v>
      </c>
      <c r="C28">
        <v>250</v>
      </c>
      <c r="D28">
        <v>0.32717762741566497</v>
      </c>
      <c r="E28">
        <v>105.757942590176</v>
      </c>
      <c r="F28">
        <v>2.20440298549221</v>
      </c>
      <c r="G28">
        <v>-1724.4339221586424</v>
      </c>
      <c r="H28">
        <v>-1443.7680122400095</v>
      </c>
      <c r="I28">
        <v>273.24724715828501</v>
      </c>
      <c r="J28">
        <v>142.536367361304</v>
      </c>
      <c r="K28">
        <v>47.975775430444799</v>
      </c>
      <c r="L28">
        <v>1.5176883659604457E-4</v>
      </c>
      <c r="M28">
        <v>1.7430523438906325E-5</v>
      </c>
      <c r="N28" s="1">
        <v>3.5280610315767099E-6</v>
      </c>
      <c r="O28" s="1">
        <v>9.8236094801524094E-8</v>
      </c>
      <c r="P28" s="1">
        <v>-5.0103256516289197E-7</v>
      </c>
      <c r="Q28">
        <v>72.415862844797402</v>
      </c>
      <c r="R28">
        <v>6.6188882163923296E-2</v>
      </c>
      <c r="S28">
        <v>12.065287663027799</v>
      </c>
      <c r="T28">
        <v>0.19404621898222299</v>
      </c>
      <c r="V28">
        <v>0.46350317726539703</v>
      </c>
      <c r="W28">
        <v>9.4555545948454695E-3</v>
      </c>
      <c r="X28">
        <v>8.5099991353624199E-2</v>
      </c>
      <c r="AA28">
        <v>0.91718879570005696</v>
      </c>
      <c r="AB28">
        <v>3.1865218984630101</v>
      </c>
      <c r="AC28">
        <v>4.7466884066123098</v>
      </c>
      <c r="AD28">
        <v>1.89111091896886E-2</v>
      </c>
      <c r="AE28">
        <v>5.8312454578496302</v>
      </c>
    </row>
    <row r="29" spans="1:31" x14ac:dyDescent="0.2">
      <c r="A29">
        <v>28</v>
      </c>
      <c r="B29">
        <v>753</v>
      </c>
      <c r="C29">
        <v>250</v>
      </c>
      <c r="D29">
        <v>0.32645373483409301</v>
      </c>
      <c r="E29">
        <v>105.542497765216</v>
      </c>
      <c r="F29">
        <v>2.2048938101468001</v>
      </c>
      <c r="G29">
        <v>-1720.5837914083852</v>
      </c>
      <c r="H29">
        <v>-1440.8832928081952</v>
      </c>
      <c r="I29">
        <v>272.57272192193102</v>
      </c>
      <c r="J29">
        <v>142.25292311043199</v>
      </c>
      <c r="K29">
        <v>47.867383580794296</v>
      </c>
      <c r="L29">
        <v>1.5179143635256359E-4</v>
      </c>
      <c r="M29">
        <v>1.742164438467138E-5</v>
      </c>
      <c r="N29" s="1">
        <v>3.5253909375283501E-6</v>
      </c>
      <c r="O29" s="1">
        <v>9.7969411986793295E-8</v>
      </c>
      <c r="P29" s="1">
        <v>-5.0025132683902196E-7</v>
      </c>
      <c r="Q29">
        <v>72.370697645606</v>
      </c>
      <c r="R29">
        <v>6.6323994108723805E-2</v>
      </c>
      <c r="S29">
        <v>12.0899166403947</v>
      </c>
      <c r="T29">
        <v>0.19481767212121301</v>
      </c>
      <c r="V29">
        <v>0.464111590892477</v>
      </c>
      <c r="W29">
        <v>9.4748563012454906E-3</v>
      </c>
      <c r="X29">
        <v>8.5273706711225805E-2</v>
      </c>
      <c r="AA29">
        <v>0.91906106122086195</v>
      </c>
      <c r="AB29">
        <v>3.1930265735198202</v>
      </c>
      <c r="AC29">
        <v>4.7563778632250999</v>
      </c>
      <c r="AD29">
        <v>1.8949712602488299E-2</v>
      </c>
      <c r="AE29">
        <v>5.8319686832960196</v>
      </c>
    </row>
    <row r="30" spans="1:31" x14ac:dyDescent="0.2">
      <c r="A30">
        <v>29</v>
      </c>
      <c r="B30">
        <v>752</v>
      </c>
      <c r="C30">
        <v>250</v>
      </c>
      <c r="D30">
        <v>0.32572842998585799</v>
      </c>
      <c r="E30">
        <v>105.328096752684</v>
      </c>
      <c r="F30">
        <v>2.2053847564500302</v>
      </c>
      <c r="G30">
        <v>-1716.7521816020956</v>
      </c>
      <c r="H30">
        <v>-1438.0126710128513</v>
      </c>
      <c r="I30">
        <v>271.90119552186798</v>
      </c>
      <c r="J30">
        <v>141.97084035448901</v>
      </c>
      <c r="K30">
        <v>47.759510645312098</v>
      </c>
      <c r="L30">
        <v>1.5181394610815505E-4</v>
      </c>
      <c r="M30">
        <v>1.7412755029023402E-5</v>
      </c>
      <c r="N30" s="1">
        <v>3.5227397005363999E-6</v>
      </c>
      <c r="O30" s="1">
        <v>9.7703985167475604E-8</v>
      </c>
      <c r="P30" s="1">
        <v>-4.9947403778400702E-7</v>
      </c>
      <c r="Q30">
        <v>72.325564662717895</v>
      </c>
      <c r="R30">
        <v>6.6459000170074195E-2</v>
      </c>
      <c r="S30">
        <v>12.114526316721999</v>
      </c>
      <c r="T30">
        <v>0.195591815385743</v>
      </c>
      <c r="V30">
        <v>0.46471656312279302</v>
      </c>
      <c r="W30">
        <v>9.4941428814382198E-3</v>
      </c>
      <c r="X30">
        <v>8.5447285932964301E-2</v>
      </c>
      <c r="AA30">
        <v>0.92093185949956802</v>
      </c>
      <c r="AB30">
        <v>3.1995261510447799</v>
      </c>
      <c r="AC30">
        <v>4.7660597264818101</v>
      </c>
      <c r="AD30">
        <v>1.8988285762873001E-2</v>
      </c>
      <c r="AE30">
        <v>5.8326941902778797</v>
      </c>
    </row>
    <row r="31" spans="1:31" x14ac:dyDescent="0.2">
      <c r="A31">
        <v>30</v>
      </c>
      <c r="B31">
        <v>751</v>
      </c>
      <c r="C31">
        <v>250</v>
      </c>
      <c r="D31">
        <v>0.32500170873407402</v>
      </c>
      <c r="E31">
        <v>105.11473136449</v>
      </c>
      <c r="F31">
        <v>2.2058758262897</v>
      </c>
      <c r="G31">
        <v>-1712.9389482687382</v>
      </c>
      <c r="H31">
        <v>-1435.1560360141755</v>
      </c>
      <c r="I31">
        <v>271.23264390427403</v>
      </c>
      <c r="J31">
        <v>141.69010838543201</v>
      </c>
      <c r="K31">
        <v>47.652152542645098</v>
      </c>
      <c r="L31">
        <v>1.5183636505016748E-4</v>
      </c>
      <c r="M31">
        <v>1.7403855291936981E-5</v>
      </c>
      <c r="N31" s="1">
        <v>3.5201071418717798E-6</v>
      </c>
      <c r="O31" s="1">
        <v>9.7439803845470004E-8</v>
      </c>
      <c r="P31" s="1">
        <v>-4.9870066242451296E-7</v>
      </c>
      <c r="Q31">
        <v>72.280463772336105</v>
      </c>
      <c r="R31">
        <v>6.65939008655929E-2</v>
      </c>
      <c r="S31">
        <v>12.139116786362999</v>
      </c>
      <c r="T31">
        <v>0.19636866443852199</v>
      </c>
      <c r="V31">
        <v>0.46531808485323001</v>
      </c>
      <c r="W31">
        <v>9.5134144093693505E-3</v>
      </c>
      <c r="X31">
        <v>8.5620729684347002E-2</v>
      </c>
      <c r="AA31">
        <v>0.92280119770889502</v>
      </c>
      <c r="AB31">
        <v>3.2060206559575901</v>
      </c>
      <c r="AC31">
        <v>4.7757340335032197</v>
      </c>
      <c r="AD31">
        <v>1.9026828818734898E-2</v>
      </c>
      <c r="AE31">
        <v>5.8334219310613697</v>
      </c>
    </row>
    <row r="32" spans="1:31" x14ac:dyDescent="0.2">
      <c r="A32">
        <v>31</v>
      </c>
      <c r="B32">
        <v>750</v>
      </c>
      <c r="C32">
        <v>250</v>
      </c>
      <c r="D32">
        <v>0.324273566925672</v>
      </c>
      <c r="E32">
        <v>104.902393498208</v>
      </c>
      <c r="F32">
        <v>2.2063670215614599</v>
      </c>
      <c r="G32">
        <v>-1709.1439484460384</v>
      </c>
      <c r="H32">
        <v>-1432.3132781328304</v>
      </c>
      <c r="I32">
        <v>270.56704326169898</v>
      </c>
      <c r="J32">
        <v>141.41071660662899</v>
      </c>
      <c r="K32">
        <v>47.545305233926399</v>
      </c>
      <c r="L32">
        <v>1.5185869235739924E-4</v>
      </c>
      <c r="M32">
        <v>1.7394945092909897E-5</v>
      </c>
      <c r="N32" s="1">
        <v>3.5174930841796702E-6</v>
      </c>
      <c r="O32" s="1">
        <v>9.7176857625234202E-8</v>
      </c>
      <c r="P32" s="1">
        <v>-4.9793116549967903E-7</v>
      </c>
      <c r="Q32">
        <v>72.235394851770096</v>
      </c>
      <c r="R32">
        <v>6.6728696711003399E-2</v>
      </c>
      <c r="S32">
        <v>12.163688143326899</v>
      </c>
      <c r="T32">
        <v>0.19714823502083301</v>
      </c>
      <c r="V32">
        <v>0.46591614689150901</v>
      </c>
      <c r="W32">
        <v>9.5326709587136103E-3</v>
      </c>
      <c r="X32">
        <v>8.5794038628447297E-2</v>
      </c>
      <c r="AA32">
        <v>0.92466908299529404</v>
      </c>
      <c r="AB32">
        <v>3.2125101130866098</v>
      </c>
      <c r="AC32">
        <v>4.7854008212740196</v>
      </c>
      <c r="AD32">
        <v>1.9065341917423002E-2</v>
      </c>
      <c r="AE32">
        <v>5.8341518574189797</v>
      </c>
    </row>
    <row r="33" spans="1:31" x14ac:dyDescent="0.2">
      <c r="A33">
        <v>32</v>
      </c>
      <c r="B33">
        <v>749</v>
      </c>
      <c r="C33">
        <v>250</v>
      </c>
      <c r="D33">
        <v>0.32354400039133302</v>
      </c>
      <c r="E33">
        <v>104.691075137339</v>
      </c>
      <c r="F33">
        <v>2.206858344164</v>
      </c>
      <c r="G33">
        <v>-1705.3670406843062</v>
      </c>
      <c r="H33">
        <v>-1429.4842888538922</v>
      </c>
      <c r="I33">
        <v>269.90437003415701</v>
      </c>
      <c r="J33">
        <v>141.13265453329001</v>
      </c>
      <c r="K33">
        <v>47.438964722947702</v>
      </c>
      <c r="L33">
        <v>1.5188092720196182E-4</v>
      </c>
      <c r="M33">
        <v>1.7386024351152845E-5</v>
      </c>
      <c r="N33" s="1">
        <v>3.5148973515797401E-6</v>
      </c>
      <c r="O33" s="1">
        <v>9.6915136215666601E-8</v>
      </c>
      <c r="P33" s="1">
        <v>-4.9716551207426597E-7</v>
      </c>
      <c r="Q33">
        <v>72.190357779598997</v>
      </c>
      <c r="R33">
        <v>6.6863388219266795E-2</v>
      </c>
      <c r="S33">
        <v>12.1882404811196</v>
      </c>
      <c r="T33">
        <v>0.19793054294981299</v>
      </c>
      <c r="V33">
        <v>0.46651073995046999</v>
      </c>
      <c r="W33">
        <v>9.5519126027511295E-3</v>
      </c>
      <c r="X33">
        <v>8.59672134247874E-2</v>
      </c>
      <c r="AA33">
        <v>0.92653552246694004</v>
      </c>
      <c r="AB33">
        <v>3.2189945471272701</v>
      </c>
      <c r="AC33">
        <v>4.7950601265808297</v>
      </c>
      <c r="AD33">
        <v>1.9103825205497599E-2</v>
      </c>
      <c r="AE33">
        <v>5.83488392075368</v>
      </c>
    </row>
    <row r="34" spans="1:31" x14ac:dyDescent="0.2">
      <c r="A34">
        <v>33</v>
      </c>
      <c r="B34">
        <v>748</v>
      </c>
      <c r="C34">
        <v>250</v>
      </c>
      <c r="D34">
        <v>0.32281300494540499</v>
      </c>
      <c r="E34">
        <v>104.480768351096</v>
      </c>
      <c r="F34">
        <v>2.2073497960009401</v>
      </c>
      <c r="G34">
        <v>-1701.6080850413853</v>
      </c>
      <c r="H34">
        <v>-1426.6689608246688</v>
      </c>
      <c r="I34">
        <v>269.244600907522</v>
      </c>
      <c r="J34">
        <v>140.85591179203001</v>
      </c>
      <c r="K34">
        <v>47.333127055976597</v>
      </c>
      <c r="L34">
        <v>1.5190306874734801E-4</v>
      </c>
      <c r="M34">
        <v>1.7377092985471485E-5</v>
      </c>
      <c r="N34" s="1">
        <v>3.5123197696190501E-6</v>
      </c>
      <c r="O34" s="1">
        <v>9.6654629428151099E-8</v>
      </c>
      <c r="P34" s="1">
        <v>-4.9640366752806499E-7</v>
      </c>
      <c r="Q34">
        <v>72.145352435956099</v>
      </c>
      <c r="R34">
        <v>6.6997975900000895E-2</v>
      </c>
      <c r="S34">
        <v>12.2127738926365</v>
      </c>
      <c r="T34">
        <v>0.198715604116811</v>
      </c>
      <c r="V34">
        <v>0.46710185464406001</v>
      </c>
      <c r="W34">
        <v>9.5711394142845296E-3</v>
      </c>
      <c r="X34">
        <v>8.6140254728588897E-2</v>
      </c>
      <c r="AA34">
        <v>0.928400523185684</v>
      </c>
      <c r="AB34">
        <v>3.2254739826140302</v>
      </c>
      <c r="AC34">
        <v>4.8047119859705898</v>
      </c>
      <c r="AD34">
        <v>1.9142278828564299E-2</v>
      </c>
      <c r="AE34">
        <v>5.83561807200467</v>
      </c>
    </row>
    <row r="35" spans="1:31" x14ac:dyDescent="0.2">
      <c r="A35">
        <v>34</v>
      </c>
      <c r="B35">
        <v>747</v>
      </c>
      <c r="C35">
        <v>250</v>
      </c>
      <c r="D35">
        <v>0.32208057638582899</v>
      </c>
      <c r="E35">
        <v>104.27146529216699</v>
      </c>
      <c r="F35">
        <v>2.2078413789806999</v>
      </c>
      <c r="G35">
        <v>-1697.8669430444531</v>
      </c>
      <c r="H35">
        <v>-1423.8671878236617</v>
      </c>
      <c r="I35">
        <v>268.58771280771498</v>
      </c>
      <c r="J35">
        <v>140.58047811804201</v>
      </c>
      <c r="K35">
        <v>47.227788320693101</v>
      </c>
      <c r="L35">
        <v>1.5192511614936852E-4</v>
      </c>
      <c r="M35">
        <v>1.7368150914304732E-5</v>
      </c>
      <c r="N35" s="1">
        <v>3.5097601652330599E-6</v>
      </c>
      <c r="O35" s="1">
        <v>9.6395327174705104E-8</v>
      </c>
      <c r="P35" s="1">
        <v>-4.9564559755114802E-7</v>
      </c>
      <c r="Q35">
        <v>72.100378702255298</v>
      </c>
      <c r="R35">
        <v>6.71324602602104E-2</v>
      </c>
      <c r="S35">
        <v>12.237288470297999</v>
      </c>
      <c r="T35">
        <v>0.199503434490062</v>
      </c>
      <c r="V35">
        <v>0.46768948149169398</v>
      </c>
      <c r="W35">
        <v>9.5903514657429707E-3</v>
      </c>
      <c r="X35">
        <v>8.6313163191716294E-2</v>
      </c>
      <c r="AA35">
        <v>0.930264092177156</v>
      </c>
      <c r="AB35">
        <v>3.2319484439555302</v>
      </c>
      <c r="AC35">
        <v>4.8143564358027202</v>
      </c>
      <c r="AD35">
        <v>1.9180702931481001E-2</v>
      </c>
      <c r="AE35">
        <v>5.8363542616803299</v>
      </c>
    </row>
    <row r="36" spans="1:31" x14ac:dyDescent="0.2">
      <c r="A36">
        <v>35</v>
      </c>
      <c r="B36">
        <v>746</v>
      </c>
      <c r="C36">
        <v>250</v>
      </c>
      <c r="D36">
        <v>0.32134671049404001</v>
      </c>
      <c r="E36">
        <v>104.06315819392201</v>
      </c>
      <c r="F36">
        <v>2.2083330950176099</v>
      </c>
      <c r="G36">
        <v>-1694.1434776426906</v>
      </c>
      <c r="H36">
        <v>-1421.0788647218872</v>
      </c>
      <c r="I36">
        <v>267.93368289339401</v>
      </c>
      <c r="J36">
        <v>140.30634335156401</v>
      </c>
      <c r="K36">
        <v>47.122944644857597</v>
      </c>
      <c r="L36">
        <v>1.5194706855687116E-4</v>
      </c>
      <c r="M36">
        <v>1.7359198055726781E-5</v>
      </c>
      <c r="N36" s="1">
        <v>3.50721836667489E-6</v>
      </c>
      <c r="O36" s="1">
        <v>9.6137219465299705E-8</v>
      </c>
      <c r="P36" s="1">
        <v>-4.9489126813506502E-7</v>
      </c>
      <c r="Q36">
        <v>72.055436460816196</v>
      </c>
      <c r="R36">
        <v>6.7266841805395203E-2</v>
      </c>
      <c r="S36">
        <v>12.261784306249099</v>
      </c>
      <c r="T36">
        <v>0.20029405011889201</v>
      </c>
      <c r="V36">
        <v>0.46827361092542003</v>
      </c>
      <c r="W36">
        <v>9.6095488293407305E-3</v>
      </c>
      <c r="X36">
        <v>8.6485939464097397E-2</v>
      </c>
      <c r="AA36">
        <v>0.93212623644614401</v>
      </c>
      <c r="AB36">
        <v>3.2384179554879902</v>
      </c>
      <c r="AC36">
        <v>4.8239935123287898</v>
      </c>
      <c r="AD36">
        <v>1.9219097658676298E-2</v>
      </c>
      <c r="AE36">
        <v>5.8370924398698198</v>
      </c>
    </row>
    <row r="37" spans="1:31" x14ac:dyDescent="0.2">
      <c r="A37">
        <v>36</v>
      </c>
      <c r="B37">
        <v>745</v>
      </c>
      <c r="C37">
        <v>250</v>
      </c>
      <c r="D37">
        <v>0.32061140303491598</v>
      </c>
      <c r="E37">
        <v>103.855839374101</v>
      </c>
      <c r="F37">
        <v>2.2088249460288298</v>
      </c>
      <c r="G37">
        <v>-1690.4375532673064</v>
      </c>
      <c r="H37">
        <v>-1418.3038875353393</v>
      </c>
      <c r="I37">
        <v>267.28248856452097</v>
      </c>
      <c r="J37">
        <v>140.03349744240501</v>
      </c>
      <c r="K37">
        <v>47.018592198001201</v>
      </c>
      <c r="L37">
        <v>1.5196892510973406E-4</v>
      </c>
      <c r="M37">
        <v>1.7350234327448089E-5</v>
      </c>
      <c r="N37" s="1">
        <v>3.50469420363308E-6</v>
      </c>
      <c r="O37" s="1">
        <v>9.5880296410411495E-8</v>
      </c>
      <c r="P37" s="1">
        <v>-4.9414064558156002E-7</v>
      </c>
      <c r="Q37">
        <v>72.010525595905705</v>
      </c>
      <c r="R37">
        <v>6.74011210364929E-2</v>
      </c>
      <c r="S37">
        <v>12.286261491803799</v>
      </c>
      <c r="T37">
        <v>0.20108746712334699</v>
      </c>
      <c r="V37">
        <v>0.46885423326962999</v>
      </c>
      <c r="W37">
        <v>9.6287315766403394E-3</v>
      </c>
      <c r="X37">
        <v>8.6658584189794996E-2</v>
      </c>
      <c r="AA37">
        <v>0.93398696293421002</v>
      </c>
      <c r="AB37">
        <v>3.24488254132797</v>
      </c>
      <c r="AC37">
        <v>4.8336232514731901</v>
      </c>
      <c r="AD37">
        <v>1.9257463153275398E-2</v>
      </c>
      <c r="AE37">
        <v>5.8378325562058304</v>
      </c>
    </row>
    <row r="38" spans="1:31" x14ac:dyDescent="0.2">
      <c r="A38">
        <v>37</v>
      </c>
      <c r="B38">
        <v>744</v>
      </c>
      <c r="C38">
        <v>250</v>
      </c>
      <c r="D38">
        <v>0.31987464975667701</v>
      </c>
      <c r="E38">
        <v>90.854211398019004</v>
      </c>
      <c r="F38">
        <v>2.2107697453480002</v>
      </c>
      <c r="G38">
        <v>-1477.4559019848559</v>
      </c>
      <c r="H38">
        <v>-1239.8244817694724</v>
      </c>
      <c r="I38">
        <v>233.624755655885</v>
      </c>
      <c r="J38">
        <v>122.488987666692</v>
      </c>
      <c r="K38">
        <v>41.096189048722998</v>
      </c>
      <c r="L38">
        <v>1.5192140759674895E-4</v>
      </c>
      <c r="M38">
        <v>1.7326772209521814E-5</v>
      </c>
      <c r="N38" s="1">
        <v>3.06393952464301E-6</v>
      </c>
      <c r="O38" s="1">
        <v>8.3670233865427094E-8</v>
      </c>
      <c r="P38" s="1">
        <v>-4.3174391969303998E-7</v>
      </c>
      <c r="Q38">
        <v>71.913392891637599</v>
      </c>
      <c r="R38">
        <v>7.7046511023408995E-2</v>
      </c>
      <c r="S38">
        <v>12.273254553607</v>
      </c>
      <c r="T38">
        <v>0.23000618443694801</v>
      </c>
      <c r="V38">
        <v>0.53582130203164002</v>
      </c>
      <c r="W38">
        <v>1.10066444319127E-2</v>
      </c>
      <c r="X38">
        <v>9.9059799887272301E-2</v>
      </c>
      <c r="AA38">
        <v>0.92871275594399005</v>
      </c>
      <c r="AB38">
        <v>3.2267550059602899</v>
      </c>
      <c r="AC38">
        <v>4.8555988367143703</v>
      </c>
      <c r="AD38">
        <v>2.2013288863817499E-2</v>
      </c>
      <c r="AE38">
        <v>5.8273322254615998</v>
      </c>
    </row>
    <row r="39" spans="1:31" x14ac:dyDescent="0.2">
      <c r="A39">
        <v>38</v>
      </c>
      <c r="B39">
        <v>743</v>
      </c>
      <c r="C39">
        <v>250</v>
      </c>
      <c r="D39">
        <v>0.31913644639078897</v>
      </c>
      <c r="E39">
        <v>72.277233893878403</v>
      </c>
      <c r="F39">
        <v>2.2138493982996401</v>
      </c>
      <c r="G39">
        <v>-1173.7100564635921</v>
      </c>
      <c r="H39">
        <v>-984.94245217673893</v>
      </c>
      <c r="I39">
        <v>185.76745981090701</v>
      </c>
      <c r="J39">
        <v>97.464790116690807</v>
      </c>
      <c r="K39">
        <v>32.647764545045902</v>
      </c>
      <c r="L39">
        <v>1.5221433549864982E-4</v>
      </c>
      <c r="M39">
        <v>1.7324443151294098E-5</v>
      </c>
      <c r="N39" s="1">
        <v>2.44081981639569E-6</v>
      </c>
      <c r="O39" s="1">
        <v>6.6520407962268905E-8</v>
      </c>
      <c r="P39" s="1">
        <v>-3.4361520711148201E-7</v>
      </c>
      <c r="Q39">
        <v>71.728866563407905</v>
      </c>
      <c r="R39">
        <v>9.6849306799405802E-2</v>
      </c>
      <c r="S39">
        <v>12.241230116457301</v>
      </c>
      <c r="T39">
        <v>0.288790055800909</v>
      </c>
      <c r="V39">
        <v>0.67384002341772198</v>
      </c>
      <c r="W39">
        <v>1.3835615257053201E-2</v>
      </c>
      <c r="X39">
        <v>0.12452053731356499</v>
      </c>
      <c r="AA39">
        <v>0.93798980771193896</v>
      </c>
      <c r="AB39">
        <v>3.2161911879885801</v>
      </c>
      <c r="AC39">
        <v>4.8215162872909696</v>
      </c>
      <c r="AD39">
        <v>2.7671230514098599E-2</v>
      </c>
      <c r="AE39">
        <v>5.8286992680403902</v>
      </c>
    </row>
    <row r="40" spans="1:31" x14ac:dyDescent="0.2">
      <c r="A40">
        <v>39</v>
      </c>
      <c r="B40">
        <v>742</v>
      </c>
      <c r="C40">
        <v>250</v>
      </c>
      <c r="D40">
        <v>0.318396788651924</v>
      </c>
      <c r="E40">
        <v>12.863405389415099</v>
      </c>
      <c r="F40">
        <v>2.21600862507918</v>
      </c>
      <c r="G40">
        <v>-208.93446017424631</v>
      </c>
      <c r="H40">
        <v>-175.42773363763357</v>
      </c>
      <c r="I40">
        <v>33.0066754042385</v>
      </c>
      <c r="J40">
        <v>17.3683223787583</v>
      </c>
      <c r="K40">
        <v>5.8047632323432401</v>
      </c>
      <c r="L40">
        <v>1.5179723039178056E-4</v>
      </c>
      <c r="M40">
        <v>1.7282906361856934E-5</v>
      </c>
      <c r="N40" s="1">
        <v>4.33255124913112E-7</v>
      </c>
      <c r="O40" s="1">
        <v>1.1785337453778201E-8</v>
      </c>
      <c r="P40" s="1">
        <v>-6.0838164499466706E-8</v>
      </c>
      <c r="Q40">
        <v>71.439005681822707</v>
      </c>
      <c r="R40">
        <v>0.15925604504170901</v>
      </c>
      <c r="S40">
        <v>12.370032495965701</v>
      </c>
      <c r="T40">
        <v>0.240023315711337</v>
      </c>
      <c r="V40">
        <v>0.55818096847976795</v>
      </c>
      <c r="W40">
        <v>7.7739911767260805E-2</v>
      </c>
      <c r="X40">
        <v>0.15081249293410501</v>
      </c>
      <c r="AA40">
        <v>1.0741056784313301</v>
      </c>
      <c r="AB40">
        <v>3.1067611787293701</v>
      </c>
      <c r="AC40">
        <v>4.8619133518426203</v>
      </c>
      <c r="AD40">
        <v>0.15547982353436801</v>
      </c>
      <c r="AE40">
        <v>5.80668905573968</v>
      </c>
    </row>
    <row r="41" spans="1:31" x14ac:dyDescent="0.2">
      <c r="A41">
        <v>40</v>
      </c>
      <c r="B41">
        <v>741</v>
      </c>
      <c r="C41">
        <v>250</v>
      </c>
      <c r="D41">
        <v>0.31765567223783697</v>
      </c>
      <c r="E41">
        <v>6.9368312129068501</v>
      </c>
      <c r="F41">
        <v>2.21828766221063</v>
      </c>
      <c r="G41">
        <v>-112.61352789250338</v>
      </c>
      <c r="H41">
        <v>-94.578926728951004</v>
      </c>
      <c r="I41">
        <v>17.782972108220999</v>
      </c>
      <c r="J41">
        <v>9.3796814354414604</v>
      </c>
      <c r="K41">
        <v>3.1271107580312298</v>
      </c>
      <c r="L41">
        <v>1.5196395449829924E-4</v>
      </c>
      <c r="M41">
        <v>1.72867986667551E-5</v>
      </c>
      <c r="N41" s="1">
        <v>2.3429707225895501E-7</v>
      </c>
      <c r="O41" s="1">
        <v>6.3588792361912698E-9</v>
      </c>
      <c r="P41" s="1">
        <v>-3.2838147299333003E-8</v>
      </c>
      <c r="Q41">
        <v>71.067490087544201</v>
      </c>
      <c r="R41">
        <v>0.15708243425775101</v>
      </c>
      <c r="S41">
        <v>12.4902034632971</v>
      </c>
      <c r="T41">
        <v>0.238627505546436</v>
      </c>
      <c r="V41">
        <v>0.55435993929411598</v>
      </c>
      <c r="W41">
        <v>0.14226297143248801</v>
      </c>
      <c r="X41">
        <v>0.15055696551268299</v>
      </c>
      <c r="AA41">
        <v>1.2090611281472501</v>
      </c>
      <c r="AB41">
        <v>3.02699989484982</v>
      </c>
      <c r="AC41">
        <v>4.8586901315239501</v>
      </c>
      <c r="AD41">
        <v>0.28831608246080898</v>
      </c>
      <c r="AE41">
        <v>5.8163493961333197</v>
      </c>
    </row>
    <row r="42" spans="1:31" x14ac:dyDescent="0.2">
      <c r="A42">
        <v>41</v>
      </c>
      <c r="B42">
        <v>759</v>
      </c>
      <c r="C42">
        <v>225</v>
      </c>
      <c r="D42">
        <v>0.35741946422516302</v>
      </c>
      <c r="E42">
        <v>106.24392604753599</v>
      </c>
      <c r="F42">
        <v>2.20302001677757</v>
      </c>
      <c r="G42">
        <v>-1733.0998019643978</v>
      </c>
      <c r="H42">
        <v>-1451.4516090363443</v>
      </c>
      <c r="I42">
        <v>272.875253527155</v>
      </c>
      <c r="J42">
        <v>142.81645960369099</v>
      </c>
      <c r="K42">
        <v>48.226491470078599</v>
      </c>
      <c r="L42">
        <v>1.474914034634331E-4</v>
      </c>
      <c r="M42">
        <v>1.740595851858112E-5</v>
      </c>
      <c r="N42" s="1">
        <v>3.3406228090533202E-6</v>
      </c>
      <c r="O42" s="1">
        <v>9.5519631128856802E-8</v>
      </c>
      <c r="P42" s="1">
        <v>-4.8634836825508198E-7</v>
      </c>
      <c r="Q42">
        <v>72.860635783908805</v>
      </c>
      <c r="R42">
        <v>6.5886119427364206E-2</v>
      </c>
      <c r="S42">
        <v>12.0100983413314</v>
      </c>
      <c r="T42">
        <v>0.19370577908704301</v>
      </c>
      <c r="V42">
        <v>0.46089065979279098</v>
      </c>
      <c r="W42">
        <v>9.4123027753376699E-3</v>
      </c>
      <c r="X42">
        <v>8.4710724978040594E-2</v>
      </c>
      <c r="AA42">
        <v>0.91299336920775798</v>
      </c>
      <c r="AB42">
        <v>3.1719460352888</v>
      </c>
      <c r="AC42">
        <v>4.7249759932194904</v>
      </c>
      <c r="AD42">
        <v>1.8824605550675E-2</v>
      </c>
      <c r="AE42">
        <v>5.4859202854324201</v>
      </c>
    </row>
    <row r="43" spans="1:31" x14ac:dyDescent="0.2">
      <c r="A43">
        <v>42</v>
      </c>
      <c r="B43">
        <v>758</v>
      </c>
      <c r="C43">
        <v>225</v>
      </c>
      <c r="D43">
        <v>0.356728410027642</v>
      </c>
      <c r="E43">
        <v>106.170819124264</v>
      </c>
      <c r="F43">
        <v>2.2034218617713002</v>
      </c>
      <c r="G43">
        <v>-1731.6081512768037</v>
      </c>
      <c r="H43">
        <v>-1450.5678238922617</v>
      </c>
      <c r="I43">
        <v>272.55038295547803</v>
      </c>
      <c r="J43">
        <v>142.71037108013201</v>
      </c>
      <c r="K43">
        <v>48.184517439123297</v>
      </c>
      <c r="L43">
        <v>1.474539495825592E-4</v>
      </c>
      <c r="M43">
        <v>1.7396923629952178E-5</v>
      </c>
      <c r="N43" s="1">
        <v>3.3418373484867698E-6</v>
      </c>
      <c r="O43" s="1">
        <v>9.5370758321874594E-8</v>
      </c>
      <c r="P43" s="1">
        <v>-4.8594274356529297E-7</v>
      </c>
      <c r="Q43">
        <v>72.8462639970693</v>
      </c>
      <c r="R43">
        <v>6.5931487180173998E-2</v>
      </c>
      <c r="S43">
        <v>12.018368234558301</v>
      </c>
      <c r="T43">
        <v>0.19416619418943401</v>
      </c>
      <c r="V43">
        <v>0.46091375075639401</v>
      </c>
      <c r="W43">
        <v>9.4187838828818701E-3</v>
      </c>
      <c r="X43">
        <v>8.4769054945939906E-2</v>
      </c>
      <c r="AA43">
        <v>0.913622036639549</v>
      </c>
      <c r="AB43">
        <v>3.1741301685312</v>
      </c>
      <c r="AC43">
        <v>4.7282295092066597</v>
      </c>
      <c r="AD43">
        <v>1.8837567765763199E-2</v>
      </c>
      <c r="AE43">
        <v>5.4853492152743204</v>
      </c>
    </row>
    <row r="44" spans="1:31" x14ac:dyDescent="0.2">
      <c r="A44">
        <v>43</v>
      </c>
      <c r="B44">
        <v>757</v>
      </c>
      <c r="C44">
        <v>225</v>
      </c>
      <c r="D44">
        <v>0.35603601417269398</v>
      </c>
      <c r="E44">
        <v>105.95868866187701</v>
      </c>
      <c r="F44">
        <v>2.20390648471234</v>
      </c>
      <c r="G44">
        <v>-1727.8119492964925</v>
      </c>
      <c r="H44">
        <v>-1447.7278140340236</v>
      </c>
      <c r="I44">
        <v>271.886749757286</v>
      </c>
      <c r="J44">
        <v>142.431546120457</v>
      </c>
      <c r="K44">
        <v>48.077669990479201</v>
      </c>
      <c r="L44">
        <v>1.4747528727492639E-4</v>
      </c>
      <c r="M44">
        <v>1.7388121599841399E-5</v>
      </c>
      <c r="N44" s="1">
        <v>3.3393119391294802E-6</v>
      </c>
      <c r="O44" s="1">
        <v>9.5114562899143302E-8</v>
      </c>
      <c r="P44" s="1">
        <v>-4.8519018517293501E-7</v>
      </c>
      <c r="Q44">
        <v>72.802355935840694</v>
      </c>
      <c r="R44">
        <v>6.6063482744087396E-2</v>
      </c>
      <c r="S44">
        <v>12.0424291402094</v>
      </c>
      <c r="T44">
        <v>0.19492617837052001</v>
      </c>
      <c r="V44">
        <v>0.46150244014031999</v>
      </c>
      <c r="W44">
        <v>9.4376403920122393E-3</v>
      </c>
      <c r="X44">
        <v>8.4938763528115593E-2</v>
      </c>
      <c r="AA44">
        <v>0.91545111802520196</v>
      </c>
      <c r="AB44">
        <v>3.1804848121081499</v>
      </c>
      <c r="AC44">
        <v>4.7376954767900896</v>
      </c>
      <c r="AD44">
        <v>1.88752807840234E-2</v>
      </c>
      <c r="AE44">
        <v>5.4858397310671903</v>
      </c>
    </row>
    <row r="45" spans="1:31" x14ac:dyDescent="0.2">
      <c r="A45">
        <v>44</v>
      </c>
      <c r="B45">
        <v>756</v>
      </c>
      <c r="C45">
        <v>225</v>
      </c>
      <c r="D45">
        <v>0.35534227274935698</v>
      </c>
      <c r="E45">
        <v>105.74756822206299</v>
      </c>
      <c r="F45">
        <v>2.2043912665920802</v>
      </c>
      <c r="G45">
        <v>-1724.0336852191595</v>
      </c>
      <c r="H45">
        <v>-1444.9014487834361</v>
      </c>
      <c r="I45">
        <v>271.22599857719803</v>
      </c>
      <c r="J45">
        <v>142.154033455936</v>
      </c>
      <c r="K45">
        <v>47.9713242493224</v>
      </c>
      <c r="L45">
        <v>1.4749651496834685E-4</v>
      </c>
      <c r="M45">
        <v>1.7379307961253454E-5</v>
      </c>
      <c r="N45" s="1">
        <v>3.3368028288135701E-6</v>
      </c>
      <c r="O45" s="1">
        <v>9.4859532458605105E-8</v>
      </c>
      <c r="P45" s="1">
        <v>-4.8444120229066003E-7</v>
      </c>
      <c r="Q45">
        <v>72.758480728974604</v>
      </c>
      <c r="R45">
        <v>6.6195375626043301E-2</v>
      </c>
      <c r="S45">
        <v>12.0664713284069</v>
      </c>
      <c r="T45">
        <v>0.19568879334715</v>
      </c>
      <c r="V45">
        <v>0.46208777237799198</v>
      </c>
      <c r="W45">
        <v>9.4564822322915007E-3</v>
      </c>
      <c r="X45">
        <v>8.5108340090632395E-2</v>
      </c>
      <c r="AA45">
        <v>0.91727877653230006</v>
      </c>
      <c r="AB45">
        <v>3.1868345122822701</v>
      </c>
      <c r="AC45">
        <v>4.7471540806102404</v>
      </c>
      <c r="AD45">
        <v>1.8912964464581399E-2</v>
      </c>
      <c r="AE45">
        <v>5.4863308450548001</v>
      </c>
    </row>
    <row r="46" spans="1:31" x14ac:dyDescent="0.2">
      <c r="A46">
        <v>45</v>
      </c>
      <c r="B46">
        <v>755</v>
      </c>
      <c r="C46">
        <v>225</v>
      </c>
      <c r="D46">
        <v>0.354647181831445</v>
      </c>
      <c r="E46">
        <v>105.537450021911</v>
      </c>
      <c r="F46">
        <v>2.2048762095153598</v>
      </c>
      <c r="G46">
        <v>-1720.2732215559772</v>
      </c>
      <c r="H46">
        <v>-1442.0886227727276</v>
      </c>
      <c r="I46">
        <v>270.56810658294</v>
      </c>
      <c r="J46">
        <v>141.87782292080499</v>
      </c>
      <c r="K46">
        <v>47.865476332165002</v>
      </c>
      <c r="L46">
        <v>1.475176316575529E-4</v>
      </c>
      <c r="M46">
        <v>1.7370482621435212E-5</v>
      </c>
      <c r="N46" s="1">
        <v>3.3343098495596199E-6</v>
      </c>
      <c r="O46" s="1">
        <v>9.4605657199238104E-8</v>
      </c>
      <c r="P46" s="1">
        <v>-4.8369576125929002E-7</v>
      </c>
      <c r="Q46">
        <v>72.714638273505003</v>
      </c>
      <c r="R46">
        <v>6.6327166314392005E-2</v>
      </c>
      <c r="S46">
        <v>12.0904948881693</v>
      </c>
      <c r="T46">
        <v>0.19645405433172899</v>
      </c>
      <c r="V46">
        <v>0.46266973848926601</v>
      </c>
      <c r="W46">
        <v>9.4753094734840795E-3</v>
      </c>
      <c r="X46">
        <v>8.5277785261367506E-2</v>
      </c>
      <c r="AA46">
        <v>0.91910501892798702</v>
      </c>
      <c r="AB46">
        <v>3.1931792925641802</v>
      </c>
      <c r="AC46">
        <v>4.7566053556889001</v>
      </c>
      <c r="AD46">
        <v>1.8950618946966199E-2</v>
      </c>
      <c r="AE46">
        <v>5.4868224983272302</v>
      </c>
    </row>
    <row r="47" spans="1:31" x14ac:dyDescent="0.2">
      <c r="A47">
        <v>46</v>
      </c>
      <c r="B47">
        <v>754</v>
      </c>
      <c r="C47">
        <v>225</v>
      </c>
      <c r="D47">
        <v>0.35395073747748601</v>
      </c>
      <c r="E47">
        <v>105.32832636134199</v>
      </c>
      <c r="F47">
        <v>2.2053613155884402</v>
      </c>
      <c r="G47">
        <v>-1716.5304222765058</v>
      </c>
      <c r="H47">
        <v>-1439.2892317576079</v>
      </c>
      <c r="I47">
        <v>269.91305117937702</v>
      </c>
      <c r="J47">
        <v>141.60290445680499</v>
      </c>
      <c r="K47">
        <v>47.760122396650502</v>
      </c>
      <c r="L47">
        <v>1.4753863633000253E-4</v>
      </c>
      <c r="M47">
        <v>1.7361645487374311E-5</v>
      </c>
      <c r="N47" s="1">
        <v>3.3318328347195002E-6</v>
      </c>
      <c r="O47" s="1">
        <v>9.4352927417847703E-8</v>
      </c>
      <c r="P47" s="1">
        <v>-4.8295382872292799E-7</v>
      </c>
      <c r="Q47">
        <v>72.670828468016595</v>
      </c>
      <c r="R47">
        <v>6.6458855293929101E-2</v>
      </c>
      <c r="S47">
        <v>12.114499907868799</v>
      </c>
      <c r="T47">
        <v>0.197221976606338</v>
      </c>
      <c r="V47">
        <v>0.46324832939681598</v>
      </c>
      <c r="W47">
        <v>9.4941221848463403E-3</v>
      </c>
      <c r="X47">
        <v>8.5447099663631496E-2</v>
      </c>
      <c r="AA47">
        <v>0.92092985193013799</v>
      </c>
      <c r="AB47">
        <v>3.1995191762932902</v>
      </c>
      <c r="AC47">
        <v>4.7660493367927304</v>
      </c>
      <c r="AD47">
        <v>1.89882443696902E-2</v>
      </c>
      <c r="AE47">
        <v>5.4873146315831001</v>
      </c>
    </row>
    <row r="48" spans="1:31" x14ac:dyDescent="0.2">
      <c r="A48">
        <v>47</v>
      </c>
      <c r="B48">
        <v>753</v>
      </c>
      <c r="C48">
        <v>225</v>
      </c>
      <c r="D48">
        <v>0.35325293573064698</v>
      </c>
      <c r="E48">
        <v>105.120189618795</v>
      </c>
      <c r="F48">
        <v>2.2058465869276702</v>
      </c>
      <c r="G48">
        <v>-1712.8051527347925</v>
      </c>
      <c r="H48">
        <v>-1436.5031725574574</v>
      </c>
      <c r="I48">
        <v>269.26080999594097</v>
      </c>
      <c r="J48">
        <v>141.329268107437</v>
      </c>
      <c r="K48">
        <v>47.655258639363304</v>
      </c>
      <c r="L48">
        <v>1.4755952796309554E-4</v>
      </c>
      <c r="M48">
        <v>1.7352796465474698E-5</v>
      </c>
      <c r="N48" s="1">
        <v>3.32937161873226E-6</v>
      </c>
      <c r="O48" s="1">
        <v>9.4101333501698402E-8</v>
      </c>
      <c r="P48" s="1">
        <v>-4.8221537159319303E-7</v>
      </c>
      <c r="Q48">
        <v>72.627051212173001</v>
      </c>
      <c r="R48">
        <v>6.6590443047950906E-2</v>
      </c>
      <c r="S48">
        <v>12.1384864756024</v>
      </c>
      <c r="T48">
        <v>0.19799257553039201</v>
      </c>
      <c r="V48">
        <v>0.46382353593951797</v>
      </c>
      <c r="W48">
        <v>9.5129204354208099E-3</v>
      </c>
      <c r="X48">
        <v>8.5616283918803396E-2</v>
      </c>
      <c r="AA48">
        <v>0.92275328223586695</v>
      </c>
      <c r="AB48">
        <v>3.2058541867368899</v>
      </c>
      <c r="AC48">
        <v>4.7754860585811096</v>
      </c>
      <c r="AD48">
        <v>1.90258408708389E-2</v>
      </c>
      <c r="AE48">
        <v>5.4878071849277701</v>
      </c>
    </row>
    <row r="49" spans="1:31" x14ac:dyDescent="0.2">
      <c r="A49">
        <v>48</v>
      </c>
      <c r="B49">
        <v>752</v>
      </c>
      <c r="C49">
        <v>225</v>
      </c>
      <c r="D49">
        <v>0.35255377261864101</v>
      </c>
      <c r="E49">
        <v>104.913032254226</v>
      </c>
      <c r="F49">
        <v>2.20633202565344</v>
      </c>
      <c r="G49">
        <v>-1709.0972797186951</v>
      </c>
      <c r="H49">
        <v>-1433.7303430978859</v>
      </c>
      <c r="I49">
        <v>268.61136089431602</v>
      </c>
      <c r="J49">
        <v>141.056904021799</v>
      </c>
      <c r="K49">
        <v>47.550881297276398</v>
      </c>
      <c r="L49">
        <v>1.4758030552466719E-4</v>
      </c>
      <c r="M49">
        <v>1.7343935461729045E-5</v>
      </c>
      <c r="N49" s="1">
        <v>3.3269260372865502E-6</v>
      </c>
      <c r="O49" s="1">
        <v>9.38508659323528E-8</v>
      </c>
      <c r="P49" s="1">
        <v>-4.8148035706805197E-7</v>
      </c>
      <c r="Q49">
        <v>72.583306407459801</v>
      </c>
      <c r="R49">
        <v>6.6721930055722106E-2</v>
      </c>
      <c r="S49">
        <v>12.162454678733599</v>
      </c>
      <c r="T49">
        <v>0.19876586653192299</v>
      </c>
      <c r="V49">
        <v>0.46439534885545403</v>
      </c>
      <c r="W49">
        <v>9.5317042936737695E-3</v>
      </c>
      <c r="X49">
        <v>8.5785338643081396E-2</v>
      </c>
      <c r="AA49">
        <v>0.924575316486409</v>
      </c>
      <c r="AB49">
        <v>3.2121843469681499</v>
      </c>
      <c r="AC49">
        <v>4.7849155554240799</v>
      </c>
      <c r="AD49">
        <v>1.90634085873446E-2</v>
      </c>
      <c r="AE49">
        <v>5.4883000979606402</v>
      </c>
    </row>
    <row r="50" spans="1:31" x14ac:dyDescent="0.2">
      <c r="A50">
        <v>49</v>
      </c>
      <c r="B50">
        <v>751</v>
      </c>
      <c r="C50">
        <v>225</v>
      </c>
      <c r="D50">
        <v>0.35185324415369101</v>
      </c>
      <c r="E50">
        <v>104.706846804593</v>
      </c>
      <c r="F50">
        <v>2.2068176338944698</v>
      </c>
      <c r="G50">
        <v>-1705.406671373571</v>
      </c>
      <c r="H50">
        <v>-1430.9706423478492</v>
      </c>
      <c r="I50">
        <v>267.96468195647299</v>
      </c>
      <c r="J50">
        <v>140.78580244881101</v>
      </c>
      <c r="K50">
        <v>47.4469866455672</v>
      </c>
      <c r="L50">
        <v>1.4760096797307592E-4</v>
      </c>
      <c r="M50">
        <v>1.7335062381614671E-5</v>
      </c>
      <c r="N50" s="1">
        <v>3.32449592716159E-6</v>
      </c>
      <c r="O50" s="1">
        <v>9.3601515280578798E-8</v>
      </c>
      <c r="P50" s="1">
        <v>-4.8074875261137201E-7</v>
      </c>
      <c r="Q50">
        <v>72.539593956509705</v>
      </c>
      <c r="R50">
        <v>6.6853316794686798E-2</v>
      </c>
      <c r="S50">
        <v>12.1864046042938</v>
      </c>
      <c r="T50">
        <v>0.19954186511562</v>
      </c>
      <c r="V50">
        <v>0.46496375879622798</v>
      </c>
      <c r="W50">
        <v>9.5504738278115297E-3</v>
      </c>
      <c r="X50">
        <v>8.5954264450322504E-2</v>
      </c>
      <c r="AA50">
        <v>0.92639596129777402</v>
      </c>
      <c r="AB50">
        <v>3.2185096799725801</v>
      </c>
      <c r="AC50">
        <v>4.7943378615612202</v>
      </c>
      <c r="AD50">
        <v>1.9100947655619802E-2</v>
      </c>
      <c r="AE50">
        <v>5.4887933097244499</v>
      </c>
    </row>
    <row r="51" spans="1:31" x14ac:dyDescent="0.2">
      <c r="A51">
        <v>50</v>
      </c>
      <c r="B51">
        <v>750</v>
      </c>
      <c r="C51">
        <v>225</v>
      </c>
      <c r="D51">
        <v>0.35115134633240402</v>
      </c>
      <c r="E51">
        <v>103.85471472301801</v>
      </c>
      <c r="F51">
        <v>2.2074888424271002</v>
      </c>
      <c r="G51">
        <v>-1690.9811031698964</v>
      </c>
      <c r="H51">
        <v>-1419.2391918000426</v>
      </c>
      <c r="I51">
        <v>265.59342361320802</v>
      </c>
      <c r="J51">
        <v>139.62196862544599</v>
      </c>
      <c r="K51">
        <v>47.046541177001401</v>
      </c>
      <c r="L51">
        <v>1.4749053403226065E-4</v>
      </c>
      <c r="M51">
        <v>1.7313595159354076E-5</v>
      </c>
      <c r="N51" s="1">
        <v>3.29684796501532E-6</v>
      </c>
      <c r="O51" s="1">
        <v>9.2655614605566097E-8</v>
      </c>
      <c r="P51" s="1">
        <v>-4.7649021358636198E-7</v>
      </c>
      <c r="Q51">
        <v>72.503626873054998</v>
      </c>
      <c r="R51">
        <v>6.7401850928668502E-2</v>
      </c>
      <c r="S51">
        <v>12.2013314687473</v>
      </c>
      <c r="T51">
        <v>0.20158245286235801</v>
      </c>
      <c r="V51">
        <v>0.468415876333514</v>
      </c>
      <c r="W51">
        <v>9.6288358469516794E-3</v>
      </c>
      <c r="X51">
        <v>8.6659522622585999E-2</v>
      </c>
      <c r="AA51">
        <v>0.91943982902967503</v>
      </c>
      <c r="AB51">
        <v>3.2128473019663599</v>
      </c>
      <c r="AC51">
        <v>4.8282828611090203</v>
      </c>
      <c r="AD51">
        <v>1.9257671693899699E-2</v>
      </c>
      <c r="AE51">
        <v>5.4815254558045199</v>
      </c>
    </row>
    <row r="52" spans="1:31" x14ac:dyDescent="0.2">
      <c r="A52">
        <v>51</v>
      </c>
      <c r="B52">
        <v>749</v>
      </c>
      <c r="C52">
        <v>225</v>
      </c>
      <c r="D52">
        <v>0.350448075135744</v>
      </c>
      <c r="E52">
        <v>102.22339228176899</v>
      </c>
      <c r="F52">
        <v>2.20840069579604</v>
      </c>
      <c r="G52">
        <v>-1663.6176307538358</v>
      </c>
      <c r="H52">
        <v>-1396.6887530876932</v>
      </c>
      <c r="I52">
        <v>261.14452640624398</v>
      </c>
      <c r="J52">
        <v>137.38207088988099</v>
      </c>
      <c r="K52">
        <v>46.288426043499904</v>
      </c>
      <c r="L52">
        <v>1.4721701472839E-4</v>
      </c>
      <c r="M52">
        <v>1.7276517591516771E-5</v>
      </c>
      <c r="N52" s="1">
        <v>3.23874612254421E-6</v>
      </c>
      <c r="O52" s="1">
        <v>9.0872486334140003E-8</v>
      </c>
      <c r="P52" s="1">
        <v>-4.6797282800824202E-7</v>
      </c>
      <c r="Q52">
        <v>72.476654160619901</v>
      </c>
      <c r="R52">
        <v>6.8477477060294195E-2</v>
      </c>
      <c r="S52">
        <v>12.2055499916006</v>
      </c>
      <c r="T52">
        <v>0.20522565424080699</v>
      </c>
      <c r="V52">
        <v>0.47550748782947</v>
      </c>
      <c r="W52">
        <v>9.78249672289817E-3</v>
      </c>
      <c r="X52">
        <v>8.8042470506106404E-2</v>
      </c>
      <c r="AA52">
        <v>0.90260672237940598</v>
      </c>
      <c r="AB52">
        <v>3.1917818018000701</v>
      </c>
      <c r="AC52">
        <v>4.8922052306507799</v>
      </c>
      <c r="AD52">
        <v>1.95649934457921E-2</v>
      </c>
      <c r="AE52">
        <v>5.4646015131438102</v>
      </c>
    </row>
    <row r="53" spans="1:31" x14ac:dyDescent="0.2">
      <c r="A53">
        <v>52</v>
      </c>
      <c r="B53">
        <v>748</v>
      </c>
      <c r="C53">
        <v>225</v>
      </c>
      <c r="D53">
        <v>0.34974342652891699</v>
      </c>
      <c r="E53">
        <v>90.871355261936799</v>
      </c>
      <c r="F53">
        <v>2.2102867597335001</v>
      </c>
      <c r="G53">
        <v>-1477.5878234190577</v>
      </c>
      <c r="H53">
        <v>-1240.7531418444353</v>
      </c>
      <c r="I53">
        <v>231.92937528729601</v>
      </c>
      <c r="J53">
        <v>122.10791720780099</v>
      </c>
      <c r="K53">
        <v>41.112925669831803</v>
      </c>
      <c r="L53">
        <v>1.4712094211599832E-4</v>
      </c>
      <c r="M53">
        <v>1.7249657821962362E-5</v>
      </c>
      <c r="N53" s="1">
        <v>2.8759385936486798E-6</v>
      </c>
      <c r="O53" s="1">
        <v>8.0551584454241699E-8</v>
      </c>
      <c r="P53" s="1">
        <v>-4.1530654313285599E-7</v>
      </c>
      <c r="Q53">
        <v>72.386842552554995</v>
      </c>
      <c r="R53">
        <v>7.7031975365870198E-2</v>
      </c>
      <c r="S53">
        <v>12.196316267707401</v>
      </c>
      <c r="T53">
        <v>0.231026315546455</v>
      </c>
      <c r="V53">
        <v>0.53476324270452602</v>
      </c>
      <c r="W53">
        <v>1.1004567909406999E-2</v>
      </c>
      <c r="X53">
        <v>9.9041111184729899E-2</v>
      </c>
      <c r="AA53">
        <v>0.90144059875720695</v>
      </c>
      <c r="AB53">
        <v>3.1670685764326101</v>
      </c>
      <c r="AC53">
        <v>4.9210494826668896</v>
      </c>
      <c r="AD53">
        <v>2.2009135818804499E-2</v>
      </c>
      <c r="AE53">
        <v>5.4524061733509903</v>
      </c>
    </row>
    <row r="54" spans="1:31" x14ac:dyDescent="0.2">
      <c r="A54">
        <v>53</v>
      </c>
      <c r="B54">
        <v>747</v>
      </c>
      <c r="C54">
        <v>225</v>
      </c>
      <c r="D54">
        <v>0.34903739646130499</v>
      </c>
      <c r="E54">
        <v>72.753715857424993</v>
      </c>
      <c r="F54">
        <v>2.21345542616266</v>
      </c>
      <c r="G54">
        <v>-1181.336817394631</v>
      </c>
      <c r="H54">
        <v>-992.0283410996168</v>
      </c>
      <c r="I54">
        <v>185.569255790829</v>
      </c>
      <c r="J54">
        <v>97.778085218209995</v>
      </c>
      <c r="K54">
        <v>32.868841629918798</v>
      </c>
      <c r="L54">
        <v>1.4732301384942908E-4</v>
      </c>
      <c r="M54">
        <v>1.7240991233065532E-5</v>
      </c>
      <c r="N54" s="1">
        <v>2.3038964971258699E-6</v>
      </c>
      <c r="O54" s="1">
        <v>6.4405074492715602E-8</v>
      </c>
      <c r="P54" s="1">
        <v>-3.32363846674847E-7</v>
      </c>
      <c r="Q54">
        <v>72.208036306298098</v>
      </c>
      <c r="R54">
        <v>9.6215016889569502E-2</v>
      </c>
      <c r="S54">
        <v>12.1668948340896</v>
      </c>
      <c r="T54">
        <v>0.28821695684806498</v>
      </c>
      <c r="V54">
        <v>0.66824069636948202</v>
      </c>
      <c r="W54">
        <v>1.3745002412789999E-2</v>
      </c>
      <c r="X54">
        <v>0.123705021715232</v>
      </c>
      <c r="AA54">
        <v>0.91743225510589199</v>
      </c>
      <c r="AB54">
        <v>3.1451878003374198</v>
      </c>
      <c r="AC54">
        <v>4.8954489363838398</v>
      </c>
      <c r="AD54">
        <v>2.7490004825564601E-2</v>
      </c>
      <c r="AE54">
        <v>5.4493871687242796</v>
      </c>
    </row>
    <row r="55" spans="1:31" x14ac:dyDescent="0.2">
      <c r="A55">
        <v>54</v>
      </c>
      <c r="B55">
        <v>746</v>
      </c>
      <c r="C55">
        <v>225</v>
      </c>
      <c r="D55">
        <v>0.34832998086640898</v>
      </c>
      <c r="E55">
        <v>14.3071548492942</v>
      </c>
      <c r="F55">
        <v>2.2160368769211001</v>
      </c>
      <c r="G55">
        <v>-232.34802194969595</v>
      </c>
      <c r="H55">
        <v>-195.23566707930456</v>
      </c>
      <c r="I55">
        <v>36.415007477202899</v>
      </c>
      <c r="J55">
        <v>19.2484053681424</v>
      </c>
      <c r="K55">
        <v>6.4561898758526901</v>
      </c>
      <c r="L55">
        <v>1.4666684701788988E-4</v>
      </c>
      <c r="M55">
        <v>1.7177844451259307E-5</v>
      </c>
      <c r="N55" s="1">
        <v>4.5067524364616502E-7</v>
      </c>
      <c r="O55" s="1">
        <v>1.25776510972385E-8</v>
      </c>
      <c r="P55" s="1">
        <v>-6.4841738420715106E-8</v>
      </c>
      <c r="Q55">
        <v>71.948857503141895</v>
      </c>
      <c r="R55">
        <v>0.15961930814466699</v>
      </c>
      <c r="S55">
        <v>12.2876309263293</v>
      </c>
      <c r="T55">
        <v>0.239608212032316</v>
      </c>
      <c r="V55">
        <v>0.55388485363403905</v>
      </c>
      <c r="W55">
        <v>6.9895098678463802E-2</v>
      </c>
      <c r="X55">
        <v>0.15844654011747999</v>
      </c>
      <c r="AA55">
        <v>1.0631935049779699</v>
      </c>
      <c r="AB55">
        <v>3.0033069920259798</v>
      </c>
      <c r="AC55">
        <v>4.9613068288631403</v>
      </c>
      <c r="AD55">
        <v>0.13979019735676701</v>
      </c>
      <c r="AE55">
        <v>5.4144600346979201</v>
      </c>
    </row>
    <row r="56" spans="1:31" x14ac:dyDescent="0.2">
      <c r="A56">
        <v>55</v>
      </c>
      <c r="B56">
        <v>745</v>
      </c>
      <c r="C56">
        <v>225</v>
      </c>
      <c r="D56">
        <v>0.347621175661739</v>
      </c>
      <c r="E56">
        <v>7.8224024162930004</v>
      </c>
      <c r="F56">
        <v>2.21843489847529</v>
      </c>
      <c r="G56">
        <v>-126.98047639028314</v>
      </c>
      <c r="H56">
        <v>-106.73313581842932</v>
      </c>
      <c r="I56">
        <v>19.886402368858999</v>
      </c>
      <c r="J56">
        <v>10.536504085451</v>
      </c>
      <c r="K56">
        <v>3.5260905883103599</v>
      </c>
      <c r="L56">
        <v>1.4664211498626993E-4</v>
      </c>
      <c r="M56">
        <v>1.7165984313320253E-5</v>
      </c>
      <c r="N56" s="1">
        <v>2.4657876354691201E-7</v>
      </c>
      <c r="O56" s="1">
        <v>6.8673434775169703E-9</v>
      </c>
      <c r="P56" s="1">
        <v>-3.5403616041495E-8</v>
      </c>
      <c r="Q56">
        <v>71.621813475463</v>
      </c>
      <c r="R56">
        <v>0.17943220011553301</v>
      </c>
      <c r="S56">
        <v>12.400009037347299</v>
      </c>
      <c r="T56">
        <v>0.23172850369828299</v>
      </c>
      <c r="V56">
        <v>0.53501473097531105</v>
      </c>
      <c r="W56">
        <v>0.127837964193277</v>
      </c>
      <c r="X56">
        <v>0.16258806150336899</v>
      </c>
      <c r="AA56">
        <v>1.1835178364830099</v>
      </c>
      <c r="AB56">
        <v>2.91916252980216</v>
      </c>
      <c r="AC56">
        <v>4.9711216804883298</v>
      </c>
      <c r="AD56">
        <v>0.25567592838625602</v>
      </c>
      <c r="AE56">
        <v>5.4120980515440502</v>
      </c>
    </row>
    <row r="57" spans="1:31" x14ac:dyDescent="0.2">
      <c r="A57">
        <v>56</v>
      </c>
      <c r="B57">
        <v>759</v>
      </c>
      <c r="C57">
        <v>200</v>
      </c>
      <c r="D57">
        <v>0.38406287845759102</v>
      </c>
      <c r="E57">
        <v>105.83560708158799</v>
      </c>
      <c r="F57">
        <v>2.2044439392612598</v>
      </c>
      <c r="G57">
        <v>-1725.5064323332563</v>
      </c>
      <c r="H57">
        <v>-1447.3006928728075</v>
      </c>
      <c r="I57">
        <v>269.54002757394602</v>
      </c>
      <c r="J57">
        <v>141.89563153043801</v>
      </c>
      <c r="K57">
        <v>48.010115021140201</v>
      </c>
      <c r="L57">
        <v>1.4294255764544627E-4</v>
      </c>
      <c r="M57">
        <v>1.7287897678381243E-5</v>
      </c>
      <c r="N57" s="1">
        <v>3.1418104407811201E-6</v>
      </c>
      <c r="O57" s="1">
        <v>9.1355257978829202E-8</v>
      </c>
      <c r="P57" s="1">
        <v>-4.6576318053570398E-7</v>
      </c>
      <c r="Q57">
        <v>73.122766372208801</v>
      </c>
      <c r="R57">
        <v>6.6140311309441702E-2</v>
      </c>
      <c r="S57">
        <v>12.056433890121999</v>
      </c>
      <c r="T57">
        <v>0.19682641622626201</v>
      </c>
      <c r="V57">
        <v>0.46053326744102702</v>
      </c>
      <c r="W57">
        <v>9.4486159013486698E-3</v>
      </c>
      <c r="X57">
        <v>8.50375431121414E-2</v>
      </c>
      <c r="AA57">
        <v>0.91651574243083</v>
      </c>
      <c r="AB57">
        <v>3.1841835587545102</v>
      </c>
      <c r="AC57">
        <v>4.7432051824769896</v>
      </c>
      <c r="AD57">
        <v>1.8897231802696701E-2</v>
      </c>
      <c r="AE57">
        <v>5.1400118682137697</v>
      </c>
    </row>
    <row r="58" spans="1:31" x14ac:dyDescent="0.2">
      <c r="A58">
        <v>57</v>
      </c>
      <c r="B58">
        <v>758</v>
      </c>
      <c r="C58">
        <v>200</v>
      </c>
      <c r="D58">
        <v>0.383397662803666</v>
      </c>
      <c r="E58">
        <v>105.631038434527</v>
      </c>
      <c r="F58">
        <v>2.2049181307499701</v>
      </c>
      <c r="G58">
        <v>-1721.8392783828683</v>
      </c>
      <c r="H58">
        <v>-1444.5631901337149</v>
      </c>
      <c r="I58">
        <v>268.899857682348</v>
      </c>
      <c r="J58">
        <v>141.627071837751</v>
      </c>
      <c r="K58">
        <v>47.9070115853226</v>
      </c>
      <c r="L58">
        <v>1.42964209664279E-4</v>
      </c>
      <c r="M58">
        <v>1.7279336993764499E-5</v>
      </c>
      <c r="N58" s="1">
        <v>3.1395739476829301E-6</v>
      </c>
      <c r="O58" s="1">
        <v>9.1116351447996701E-8</v>
      </c>
      <c r="P58" s="1">
        <v>-4.6506951865328599E-7</v>
      </c>
      <c r="Q58">
        <v>73.080243860392898</v>
      </c>
      <c r="R58">
        <v>6.6268400876687797E-2</v>
      </c>
      <c r="S58">
        <v>12.0797827883802</v>
      </c>
      <c r="T58">
        <v>0.19758145898898599</v>
      </c>
      <c r="V58">
        <v>0.46108874656979598</v>
      </c>
      <c r="W58">
        <v>9.4669144109551795E-3</v>
      </c>
      <c r="X58">
        <v>8.5202229698601001E-2</v>
      </c>
      <c r="AA58">
        <v>0.91829069786266704</v>
      </c>
      <c r="AB58">
        <v>3.1903501564919199</v>
      </c>
      <c r="AC58">
        <v>4.7523910342994702</v>
      </c>
      <c r="AD58">
        <v>1.8933828821909599E-2</v>
      </c>
      <c r="AE58">
        <v>5.1403998832057196</v>
      </c>
    </row>
    <row r="59" spans="1:31" x14ac:dyDescent="0.2">
      <c r="A59">
        <v>58</v>
      </c>
      <c r="B59">
        <v>757</v>
      </c>
      <c r="C59">
        <v>200</v>
      </c>
      <c r="D59">
        <v>0.38273115565694399</v>
      </c>
      <c r="E59">
        <v>105.427411967219</v>
      </c>
      <c r="F59">
        <v>2.2053925100909102</v>
      </c>
      <c r="G59">
        <v>-1718.1888830658138</v>
      </c>
      <c r="H59">
        <v>-1441.8384144532261</v>
      </c>
      <c r="I59">
        <v>268.26235850370102</v>
      </c>
      <c r="J59">
        <v>141.359731600755</v>
      </c>
      <c r="K59">
        <v>47.804375631471203</v>
      </c>
      <c r="L59">
        <v>1.429857419859021E-4</v>
      </c>
      <c r="M59">
        <v>1.7270763847964754E-5</v>
      </c>
      <c r="N59" s="1">
        <v>3.1373509253920001E-6</v>
      </c>
      <c r="O59" s="1">
        <v>9.0878481024694094E-8</v>
      </c>
      <c r="P59" s="1">
        <v>-4.6437893955027299E-7</v>
      </c>
      <c r="Q59">
        <v>73.0377531127385</v>
      </c>
      <c r="R59">
        <v>6.6396394157684405E-2</v>
      </c>
      <c r="S59">
        <v>12.1031141350309</v>
      </c>
      <c r="T59">
        <v>0.19833911838380699</v>
      </c>
      <c r="V59">
        <v>0.46164094295594299</v>
      </c>
      <c r="W59">
        <v>9.4851991653831895E-3</v>
      </c>
      <c r="X59">
        <v>8.5366792488454801E-2</v>
      </c>
      <c r="AA59">
        <v>0.92006431904218899</v>
      </c>
      <c r="AB59">
        <v>3.1965121187341698</v>
      </c>
      <c r="AC59">
        <v>4.76156998102232</v>
      </c>
      <c r="AD59">
        <v>1.8970398330765401E-2</v>
      </c>
      <c r="AE59">
        <v>5.14078748794969</v>
      </c>
    </row>
    <row r="60" spans="1:31" x14ac:dyDescent="0.2">
      <c r="A60">
        <v>59</v>
      </c>
      <c r="B60">
        <v>756</v>
      </c>
      <c r="C60">
        <v>200</v>
      </c>
      <c r="D60">
        <v>0.38206335325268598</v>
      </c>
      <c r="E60">
        <v>104.69108027443799</v>
      </c>
      <c r="F60">
        <v>2.2060075590619199</v>
      </c>
      <c r="G60">
        <v>-1705.683899784023</v>
      </c>
      <c r="H60">
        <v>-1431.7092625743833</v>
      </c>
      <c r="I60">
        <v>266.21448497268602</v>
      </c>
      <c r="J60">
        <v>140.35904698176401</v>
      </c>
      <c r="K60">
        <v>47.457262711718499</v>
      </c>
      <c r="L60">
        <v>1.4290967946936284E-4</v>
      </c>
      <c r="M60">
        <v>1.72523538998926E-5</v>
      </c>
      <c r="N60" s="1">
        <v>3.1157779860572301E-6</v>
      </c>
      <c r="O60" s="1">
        <v>9.0090926928870894E-8</v>
      </c>
      <c r="P60" s="1">
        <v>-4.6092647024090199E-7</v>
      </c>
      <c r="Q60">
        <v>73.000800991592797</v>
      </c>
      <c r="R60">
        <v>6.68633849383371E-2</v>
      </c>
      <c r="S60">
        <v>12.119184353840801</v>
      </c>
      <c r="T60">
        <v>0.200125425782436</v>
      </c>
      <c r="V60">
        <v>0.46453572857895897</v>
      </c>
      <c r="W60">
        <v>9.5519121340476108E-3</v>
      </c>
      <c r="X60">
        <v>8.5967209206440603E-2</v>
      </c>
      <c r="AA60">
        <v>0.91474113178303496</v>
      </c>
      <c r="AB60">
        <v>3.1928468573673601</v>
      </c>
      <c r="AC60">
        <v>4.7908132686198197</v>
      </c>
      <c r="AD60">
        <v>1.9103824268093199E-2</v>
      </c>
      <c r="AE60">
        <v>5.13546591188768</v>
      </c>
    </row>
    <row r="61" spans="1:31" x14ac:dyDescent="0.2">
      <c r="A61">
        <v>60</v>
      </c>
      <c r="B61">
        <v>755</v>
      </c>
      <c r="C61">
        <v>200</v>
      </c>
      <c r="D61">
        <v>0.38139425181150599</v>
      </c>
      <c r="E61">
        <v>103.088374003742</v>
      </c>
      <c r="F61">
        <v>2.2068658367251399</v>
      </c>
      <c r="G61">
        <v>-1678.7875792473565</v>
      </c>
      <c r="H61">
        <v>-1409.5407535347879</v>
      </c>
      <c r="I61">
        <v>261.87504324521501</v>
      </c>
      <c r="J61">
        <v>138.166373157794</v>
      </c>
      <c r="K61">
        <v>46.712569603559999</v>
      </c>
      <c r="L61">
        <v>1.4267063678957212E-4</v>
      </c>
      <c r="M61">
        <v>1.7217570148193226E-5</v>
      </c>
      <c r="N61" s="1">
        <v>3.0627026698024199E-6</v>
      </c>
      <c r="O61" s="1">
        <v>8.8411687325667797E-8</v>
      </c>
      <c r="P61" s="1">
        <v>-4.5297744444582199E-7</v>
      </c>
      <c r="Q61">
        <v>72.972531922482901</v>
      </c>
      <c r="R61">
        <v>6.7902904354142701E-2</v>
      </c>
      <c r="S61">
        <v>12.123587793643001</v>
      </c>
      <c r="T61">
        <v>0.20365212660895499</v>
      </c>
      <c r="V61">
        <v>0.47138407402333898</v>
      </c>
      <c r="W61">
        <v>9.7004149077339792E-3</v>
      </c>
      <c r="X61">
        <v>8.7303734169621006E-2</v>
      </c>
      <c r="AA61">
        <v>0.89847193155027505</v>
      </c>
      <c r="AB61">
        <v>3.1723488386482099</v>
      </c>
      <c r="AC61">
        <v>4.8531057500367902</v>
      </c>
      <c r="AD61">
        <v>1.9400829815465401E-2</v>
      </c>
      <c r="AE61">
        <v>5.1206096797594398</v>
      </c>
    </row>
    <row r="62" spans="1:31" x14ac:dyDescent="0.2">
      <c r="A62">
        <v>61</v>
      </c>
      <c r="B62">
        <v>754</v>
      </c>
      <c r="C62">
        <v>200</v>
      </c>
      <c r="D62">
        <v>0.38072384753930699</v>
      </c>
      <c r="E62">
        <v>101.479124184326</v>
      </c>
      <c r="F62">
        <v>2.2077476911633198</v>
      </c>
      <c r="G62">
        <v>-1651.7993639155775</v>
      </c>
      <c r="H62">
        <v>-1387.2853523690821</v>
      </c>
      <c r="I62">
        <v>257.52228160102698</v>
      </c>
      <c r="J62">
        <v>135.96570274129101</v>
      </c>
      <c r="K62">
        <v>45.9650007066043</v>
      </c>
      <c r="L62">
        <v>1.4242417704883272E-4</v>
      </c>
      <c r="M62">
        <v>1.7182113917861441E-5</v>
      </c>
      <c r="N62" s="1">
        <v>3.0093304122730198E-6</v>
      </c>
      <c r="O62" s="1">
        <v>8.6729864492025894E-8</v>
      </c>
      <c r="P62" s="1">
        <v>-4.4498761475596101E-7</v>
      </c>
      <c r="Q62">
        <v>72.943864307157398</v>
      </c>
      <c r="R62">
        <v>6.8979704508342302E-2</v>
      </c>
      <c r="S62">
        <v>12.128098766904101</v>
      </c>
      <c r="T62">
        <v>0.207302171713416</v>
      </c>
      <c r="V62">
        <v>0.47848084587550199</v>
      </c>
      <c r="W62">
        <v>9.8542435011910196E-3</v>
      </c>
      <c r="X62">
        <v>8.8688191510735703E-2</v>
      </c>
      <c r="AA62">
        <v>0.88302540146498099</v>
      </c>
      <c r="AB62">
        <v>3.1504822854198702</v>
      </c>
      <c r="AC62">
        <v>4.9161863637391701</v>
      </c>
      <c r="AD62">
        <v>1.9708487002379E-2</v>
      </c>
      <c r="AE62">
        <v>5.10532923120277</v>
      </c>
    </row>
    <row r="63" spans="1:31" x14ac:dyDescent="0.2">
      <c r="A63">
        <v>62</v>
      </c>
      <c r="B63">
        <v>753</v>
      </c>
      <c r="C63">
        <v>200</v>
      </c>
      <c r="D63">
        <v>0.380052136627202</v>
      </c>
      <c r="E63">
        <v>99.857237471820497</v>
      </c>
      <c r="F63">
        <v>2.2086549176187198</v>
      </c>
      <c r="G63">
        <v>-1624.6197669466401</v>
      </c>
      <c r="H63">
        <v>-1364.8593337040809</v>
      </c>
      <c r="I63">
        <v>253.14080128885499</v>
      </c>
      <c r="J63">
        <v>133.748886236571</v>
      </c>
      <c r="K63">
        <v>45.211787805893202</v>
      </c>
      <c r="L63">
        <v>1.4216998773216861E-4</v>
      </c>
      <c r="M63">
        <v>1.7145951862631121E-5</v>
      </c>
      <c r="N63" s="1">
        <v>2.95548146460894E-6</v>
      </c>
      <c r="O63" s="1">
        <v>8.5040310269458305E-8</v>
      </c>
      <c r="P63" s="1">
        <v>-4.3693050224800702E-7</v>
      </c>
      <c r="Q63">
        <v>72.914740200527007</v>
      </c>
      <c r="R63">
        <v>7.0100076641672199E-2</v>
      </c>
      <c r="S63">
        <v>12.132712056357599</v>
      </c>
      <c r="T63">
        <v>0.21109482557713299</v>
      </c>
      <c r="V63">
        <v>0.485869361797301</v>
      </c>
      <c r="W63">
        <v>1.0014296663095E-2</v>
      </c>
      <c r="X63">
        <v>9.0128669967877301E-2</v>
      </c>
      <c r="AA63">
        <v>0.86844197532121703</v>
      </c>
      <c r="AB63">
        <v>3.1271724031369299</v>
      </c>
      <c r="AC63">
        <v>4.9800944719822997</v>
      </c>
      <c r="AD63">
        <v>2.00285933261862E-2</v>
      </c>
      <c r="AE63">
        <v>5.0896030687015701</v>
      </c>
    </row>
    <row r="64" spans="1:31" x14ac:dyDescent="0.2">
      <c r="A64">
        <v>63</v>
      </c>
      <c r="B64">
        <v>752</v>
      </c>
      <c r="C64">
        <v>200</v>
      </c>
      <c r="D64">
        <v>0.37937911525142798</v>
      </c>
      <c r="E64">
        <v>81.816775319460106</v>
      </c>
      <c r="F64">
        <v>2.21151936737327</v>
      </c>
      <c r="G64">
        <v>-1329.4720940950583</v>
      </c>
      <c r="H64">
        <v>-1117.031460638824</v>
      </c>
      <c r="I64">
        <v>207.228828421435</v>
      </c>
      <c r="J64">
        <v>109.588566696198</v>
      </c>
      <c r="K64">
        <v>36.995730865625603</v>
      </c>
      <c r="L64">
        <v>1.4221233238238086E-4</v>
      </c>
      <c r="M64">
        <v>1.7126611260315159E-5</v>
      </c>
      <c r="N64" s="1">
        <v>2.42008276752767E-6</v>
      </c>
      <c r="O64" s="1">
        <v>6.9509624512848305E-8</v>
      </c>
      <c r="P64" s="1">
        <v>-3.5744036227402701E-7</v>
      </c>
      <c r="Q64">
        <v>72.765673000759705</v>
      </c>
      <c r="R64">
        <v>8.5557026327041305E-2</v>
      </c>
      <c r="S64">
        <v>12.112374568396</v>
      </c>
      <c r="T64">
        <v>0.25746604623629099</v>
      </c>
      <c r="V64">
        <v>0.59316006247837905</v>
      </c>
      <c r="W64">
        <v>1.22224323324314E-2</v>
      </c>
      <c r="X64">
        <v>0.110001890991949</v>
      </c>
      <c r="AA64">
        <v>0.88731157146928796</v>
      </c>
      <c r="AB64">
        <v>3.0922999023227198</v>
      </c>
      <c r="AC64">
        <v>4.97873336078632</v>
      </c>
      <c r="AD64">
        <v>2.4444864664851899E-2</v>
      </c>
      <c r="AE64">
        <v>5.0807552732349501</v>
      </c>
    </row>
    <row r="65" spans="1:31" x14ac:dyDescent="0.2">
      <c r="A65">
        <v>64</v>
      </c>
      <c r="B65">
        <v>751</v>
      </c>
      <c r="C65">
        <v>200</v>
      </c>
      <c r="D65">
        <v>0.378704779573308</v>
      </c>
      <c r="E65">
        <v>29.600381899943802</v>
      </c>
      <c r="F65">
        <v>2.2145460251352298</v>
      </c>
      <c r="G65">
        <v>-480.77395400469021</v>
      </c>
      <c r="H65">
        <v>-404.13476389011885</v>
      </c>
      <c r="I65">
        <v>74.831997377895107</v>
      </c>
      <c r="J65">
        <v>39.6657279210269</v>
      </c>
      <c r="K65">
        <v>13.366343062631101</v>
      </c>
      <c r="L65">
        <v>1.4168371475857059E-4</v>
      </c>
      <c r="M65">
        <v>1.7064207855543546E-5</v>
      </c>
      <c r="N65" s="1">
        <v>8.70786849603943E-7</v>
      </c>
      <c r="O65" s="1">
        <v>2.4972607894065602E-8</v>
      </c>
      <c r="P65" s="1">
        <v>-1.2835815721885E-7</v>
      </c>
      <c r="Q65">
        <v>72.598254797230993</v>
      </c>
      <c r="R65">
        <v>0.13091009557330299</v>
      </c>
      <c r="S65">
        <v>12.1505705129145</v>
      </c>
      <c r="T65">
        <v>0.25010847060429697</v>
      </c>
      <c r="V65">
        <v>0.57567160292360098</v>
      </c>
      <c r="W65">
        <v>3.3783347910165303E-2</v>
      </c>
      <c r="X65">
        <v>0.16066043122294599</v>
      </c>
      <c r="AA65">
        <v>0.98036286701944797</v>
      </c>
      <c r="AB65">
        <v>2.9737430532286901</v>
      </c>
      <c r="AC65">
        <v>5.0310495023984299</v>
      </c>
      <c r="AD65">
        <v>6.7566695820280007E-2</v>
      </c>
      <c r="AE65">
        <v>5.0473186231531697</v>
      </c>
    </row>
    <row r="66" spans="1:31" x14ac:dyDescent="0.2">
      <c r="A66">
        <v>65</v>
      </c>
      <c r="B66">
        <v>750</v>
      </c>
      <c r="C66">
        <v>200</v>
      </c>
      <c r="D66">
        <v>0.37802912573913899</v>
      </c>
      <c r="E66">
        <v>11.9417232753087</v>
      </c>
      <c r="F66">
        <v>2.2171908036720298</v>
      </c>
      <c r="G66">
        <v>-193.88456215715141</v>
      </c>
      <c r="H66">
        <v>-163.04391488611731</v>
      </c>
      <c r="I66">
        <v>30.1428405131545</v>
      </c>
      <c r="J66">
        <v>16.016918134974699</v>
      </c>
      <c r="K66">
        <v>5.3859700552299303</v>
      </c>
      <c r="L66">
        <v>1.4141725479245983E-4</v>
      </c>
      <c r="M66">
        <v>1.703075187260895E-5</v>
      </c>
      <c r="N66" s="1">
        <v>3.5057355322092998E-7</v>
      </c>
      <c r="O66" s="1">
        <v>1.00354452936739E-8</v>
      </c>
      <c r="P66" s="1">
        <v>-5.1561269311229601E-8</v>
      </c>
      <c r="Q66">
        <v>72.3123690740304</v>
      </c>
      <c r="R66">
        <v>0.17089619950716101</v>
      </c>
      <c r="S66">
        <v>12.254028068510801</v>
      </c>
      <c r="T66">
        <v>0.235808243659441</v>
      </c>
      <c r="V66">
        <v>0.54198110576707004</v>
      </c>
      <c r="W66">
        <v>8.3740007781554104E-2</v>
      </c>
      <c r="X66">
        <v>0.168721289731249</v>
      </c>
      <c r="AA66">
        <v>1.09965274113571</v>
      </c>
      <c r="AB66">
        <v>2.86920816900086</v>
      </c>
      <c r="AC66">
        <v>5.0649954898961598</v>
      </c>
      <c r="AD66">
        <v>0.16748001556296399</v>
      </c>
      <c r="AE66">
        <v>5.0311195954165502</v>
      </c>
    </row>
    <row r="67" spans="1:31" x14ac:dyDescent="0.2">
      <c r="A67">
        <v>66</v>
      </c>
      <c r="B67">
        <v>749</v>
      </c>
      <c r="C67">
        <v>200</v>
      </c>
      <c r="D67">
        <v>0.37735214988015597</v>
      </c>
      <c r="E67">
        <v>7.1531943431220499</v>
      </c>
      <c r="F67">
        <v>2.2195581742802801</v>
      </c>
      <c r="G67">
        <v>-116.08706509630122</v>
      </c>
      <c r="H67">
        <v>-97.653139193448382</v>
      </c>
      <c r="I67">
        <v>18.034462557210599</v>
      </c>
      <c r="J67">
        <v>9.6052408748787705</v>
      </c>
      <c r="K67">
        <v>3.2228010177933402</v>
      </c>
      <c r="L67">
        <v>1.4138134775106123E-4</v>
      </c>
      <c r="M67">
        <v>1.7018436284868752E-5</v>
      </c>
      <c r="N67" s="1">
        <v>2.10123508707371E-7</v>
      </c>
      <c r="O67" s="1">
        <v>6.0026503756945404E-9</v>
      </c>
      <c r="P67" s="1">
        <v>-3.0839967435510801E-8</v>
      </c>
      <c r="Q67">
        <v>71.993964196889394</v>
      </c>
      <c r="R67">
        <v>0.18848227992858399</v>
      </c>
      <c r="S67">
        <v>12.364556240498899</v>
      </c>
      <c r="T67">
        <v>0.228934395736929</v>
      </c>
      <c r="V67">
        <v>0.52557446265230401</v>
      </c>
      <c r="W67">
        <v>0.13979768366855799</v>
      </c>
      <c r="X67">
        <v>0.172261886680595</v>
      </c>
      <c r="AA67">
        <v>1.21639671899058</v>
      </c>
      <c r="AB67">
        <v>2.7867443952861102</v>
      </c>
      <c r="AC67">
        <v>5.07524401801252</v>
      </c>
      <c r="AD67">
        <v>0.27959536733687401</v>
      </c>
      <c r="AE67">
        <v>5.0284483543184999</v>
      </c>
    </row>
    <row r="68" spans="1:31" x14ac:dyDescent="0.2">
      <c r="A68">
        <v>67</v>
      </c>
      <c r="B68">
        <v>765</v>
      </c>
      <c r="C68">
        <v>175</v>
      </c>
      <c r="D68">
        <v>0.41451668833983701</v>
      </c>
      <c r="E68">
        <v>105.46632911987</v>
      </c>
      <c r="F68">
        <v>2.2046187873820799</v>
      </c>
      <c r="G68">
        <v>-1720.1192374370569</v>
      </c>
      <c r="H68">
        <v>-1442.8683729383301</v>
      </c>
      <c r="I68">
        <v>267.06243269154402</v>
      </c>
      <c r="J68">
        <v>141.087978366523</v>
      </c>
      <c r="K68">
        <v>47.838805385990902</v>
      </c>
      <c r="L68">
        <v>1.3825433518447334E-4</v>
      </c>
      <c r="M68">
        <v>1.7155724645626837E-5</v>
      </c>
      <c r="N68" s="1">
        <v>2.9189677890359301E-6</v>
      </c>
      <c r="O68" s="1">
        <v>8.7307261263978304E-8</v>
      </c>
      <c r="P68" s="1">
        <v>-4.4306866118243202E-7</v>
      </c>
      <c r="Q68">
        <v>73.397832887544993</v>
      </c>
      <c r="R68">
        <v>6.6371893839634502E-2</v>
      </c>
      <c r="S68">
        <v>12.098648077053999</v>
      </c>
      <c r="T68">
        <v>0.19806548425790499</v>
      </c>
      <c r="V68">
        <v>0.46165096138942902</v>
      </c>
      <c r="W68">
        <v>9.4816991199476695E-3</v>
      </c>
      <c r="X68">
        <v>8.5335292079531402E-2</v>
      </c>
      <c r="AA68">
        <v>0.91972481463493105</v>
      </c>
      <c r="AB68">
        <v>3.1953326034223699</v>
      </c>
      <c r="AC68">
        <v>4.7598129582137103</v>
      </c>
      <c r="AD68">
        <v>1.8963398239894898E-2</v>
      </c>
      <c r="AE68">
        <v>4.7887799302035603</v>
      </c>
    </row>
    <row r="69" spans="1:31" x14ac:dyDescent="0.2">
      <c r="A69">
        <v>68</v>
      </c>
      <c r="B69">
        <v>764</v>
      </c>
      <c r="C69">
        <v>175</v>
      </c>
      <c r="D69">
        <v>0.41388468398978101</v>
      </c>
      <c r="E69">
        <v>105.364871127811</v>
      </c>
      <c r="F69">
        <v>2.2049440155971101</v>
      </c>
      <c r="G69">
        <v>-1718.1589474961129</v>
      </c>
      <c r="H69">
        <v>-1441.6101838976303</v>
      </c>
      <c r="I69">
        <v>266.64297700282702</v>
      </c>
      <c r="J69">
        <v>140.927237256132</v>
      </c>
      <c r="K69">
        <v>47.785735321392202</v>
      </c>
      <c r="L69">
        <v>1.3815127786405131E-4</v>
      </c>
      <c r="M69">
        <v>1.7145077550279908E-5</v>
      </c>
      <c r="N69" s="1">
        <v>2.9180112819403002E-6</v>
      </c>
      <c r="O69" s="1">
        <v>8.7118418821167003E-8</v>
      </c>
      <c r="P69" s="1">
        <v>-4.4226644550558801E-7</v>
      </c>
      <c r="Q69">
        <v>73.411828850706598</v>
      </c>
      <c r="R69">
        <v>6.6435804695369596E-2</v>
      </c>
      <c r="S69">
        <v>12.0900648737771</v>
      </c>
      <c r="T69">
        <v>0.19854800226740599</v>
      </c>
      <c r="V69">
        <v>0.461832932671078</v>
      </c>
      <c r="W69">
        <v>9.49082924219544E-3</v>
      </c>
      <c r="X69">
        <v>8.5417463179763703E-2</v>
      </c>
      <c r="AA69">
        <v>0.91714338313985</v>
      </c>
      <c r="AB69">
        <v>3.1907356575287502</v>
      </c>
      <c r="AC69">
        <v>4.7631901525979403</v>
      </c>
      <c r="AD69">
        <v>1.8981658484389999E-2</v>
      </c>
      <c r="AE69">
        <v>4.7863303917094502</v>
      </c>
    </row>
    <row r="70" spans="1:31" x14ac:dyDescent="0.2">
      <c r="A70">
        <v>69</v>
      </c>
      <c r="B70">
        <v>763</v>
      </c>
      <c r="C70">
        <v>175</v>
      </c>
      <c r="D70">
        <v>0.41325145973073701</v>
      </c>
      <c r="E70">
        <v>105.024475416914</v>
      </c>
      <c r="F70">
        <v>2.2052702312793899</v>
      </c>
      <c r="G70">
        <v>-1712.2214246676717</v>
      </c>
      <c r="H70">
        <v>-1437.0542539747296</v>
      </c>
      <c r="I70">
        <v>265.56692630694499</v>
      </c>
      <c r="J70">
        <v>140.420901677177</v>
      </c>
      <c r="K70">
        <v>47.624311037828797</v>
      </c>
      <c r="L70">
        <v>1.3793136279216438E-4</v>
      </c>
      <c r="M70">
        <v>1.7127934976645209E-5</v>
      </c>
      <c r="N70" s="1">
        <v>2.9077865856110299E-6</v>
      </c>
      <c r="O70" s="1">
        <v>8.6660905061661905E-8</v>
      </c>
      <c r="P70" s="1">
        <v>-4.39947308211049E-7</v>
      </c>
      <c r="Q70">
        <v>73.457894623817296</v>
      </c>
      <c r="R70">
        <v>6.6651130340925194E-2</v>
      </c>
      <c r="S70">
        <v>12.0609883625145</v>
      </c>
      <c r="T70">
        <v>0.19944969157100501</v>
      </c>
      <c r="V70">
        <v>0.463097475733939</v>
      </c>
      <c r="W70">
        <v>9.5215900487033104E-3</v>
      </c>
      <c r="X70">
        <v>8.5694310438336099E-2</v>
      </c>
      <c r="AA70">
        <v>0.90856954799205902</v>
      </c>
      <c r="AB70">
        <v>3.1750831712951899</v>
      </c>
      <c r="AC70">
        <v>4.7744650972920102</v>
      </c>
      <c r="AD70">
        <v>1.90431800974055E-2</v>
      </c>
      <c r="AE70">
        <v>4.7795418188585703</v>
      </c>
    </row>
    <row r="71" spans="1:31" x14ac:dyDescent="0.2">
      <c r="A71">
        <v>70</v>
      </c>
      <c r="B71">
        <v>762</v>
      </c>
      <c r="C71">
        <v>175</v>
      </c>
      <c r="D71">
        <v>0.41261701202724399</v>
      </c>
      <c r="E71">
        <v>104.179853789818</v>
      </c>
      <c r="F71">
        <v>2.2057930294814301</v>
      </c>
      <c r="G71">
        <v>-1697.9105274917761</v>
      </c>
      <c r="H71">
        <v>-1425.4569426048711</v>
      </c>
      <c r="I71">
        <v>263.20203341245701</v>
      </c>
      <c r="J71">
        <v>139.24478068797501</v>
      </c>
      <c r="K71">
        <v>47.230112887930503</v>
      </c>
      <c r="L71">
        <v>1.3771706383671671E-4</v>
      </c>
      <c r="M71">
        <v>1.7104575666662086E-5</v>
      </c>
      <c r="N71" s="1">
        <v>2.88208090413187E-6</v>
      </c>
      <c r="O71" s="1">
        <v>8.5749071175754296E-8</v>
      </c>
      <c r="P71" s="1">
        <v>-4.3557742111039899E-7</v>
      </c>
      <c r="Q71">
        <v>73.473113496993406</v>
      </c>
      <c r="R71">
        <v>6.7191493799967597E-2</v>
      </c>
      <c r="S71">
        <v>12.045659253555</v>
      </c>
      <c r="T71">
        <v>0.20138519837543001</v>
      </c>
      <c r="V71">
        <v>0.46656537511754798</v>
      </c>
      <c r="W71">
        <v>9.5987848285663206E-3</v>
      </c>
      <c r="X71">
        <v>8.6389063457107201E-2</v>
      </c>
      <c r="AA71">
        <v>0.89723384074902002</v>
      </c>
      <c r="AB71">
        <v>3.1575096302594599</v>
      </c>
      <c r="AC71">
        <v>4.8059192364705998</v>
      </c>
      <c r="AD71">
        <v>1.9197569657130899E-2</v>
      </c>
      <c r="AE71">
        <v>4.7702370567366401</v>
      </c>
    </row>
    <row r="72" spans="1:31" x14ac:dyDescent="0.2">
      <c r="A72">
        <v>71</v>
      </c>
      <c r="B72">
        <v>761</v>
      </c>
      <c r="C72">
        <v>175</v>
      </c>
      <c r="D72">
        <v>0.411981337330175</v>
      </c>
      <c r="E72">
        <v>102.60656333345599</v>
      </c>
      <c r="F72">
        <v>2.20661130985774</v>
      </c>
      <c r="G72">
        <v>-1671.5067905529124</v>
      </c>
      <c r="H72">
        <v>-1403.6864745663022</v>
      </c>
      <c r="I72">
        <v>258.97627615588601</v>
      </c>
      <c r="J72">
        <v>137.10101881330201</v>
      </c>
      <c r="K72">
        <v>46.499609095210999</v>
      </c>
      <c r="L72">
        <v>1.3750807429516445E-4</v>
      </c>
      <c r="M72">
        <v>1.7071902453408121E-5</v>
      </c>
      <c r="N72" s="1">
        <v>2.83398884449313E-6</v>
      </c>
      <c r="O72" s="1">
        <v>8.4182394375854504E-8</v>
      </c>
      <c r="P72" s="1">
        <v>-4.2823839152477102E-7</v>
      </c>
      <c r="Q72">
        <v>73.443441649622898</v>
      </c>
      <c r="R72">
        <v>6.8221756704307204E-2</v>
      </c>
      <c r="S72">
        <v>12.0502561056043</v>
      </c>
      <c r="T72">
        <v>0.204880468084637</v>
      </c>
      <c r="V72">
        <v>0.47335276324508102</v>
      </c>
      <c r="W72">
        <v>9.7459652434718196E-3</v>
      </c>
      <c r="X72">
        <v>8.7713687191259604E-2</v>
      </c>
      <c r="AA72">
        <v>0.88221603657944103</v>
      </c>
      <c r="AB72">
        <v>3.13652225224482</v>
      </c>
      <c r="AC72">
        <v>4.8670344033744799</v>
      </c>
      <c r="AD72">
        <v>1.94919304869417E-2</v>
      </c>
      <c r="AE72">
        <v>4.7571229816182496</v>
      </c>
    </row>
    <row r="73" spans="1:31" x14ac:dyDescent="0.2">
      <c r="A73">
        <v>72</v>
      </c>
      <c r="B73">
        <v>760</v>
      </c>
      <c r="C73">
        <v>175</v>
      </c>
      <c r="D73">
        <v>0.41134443207665999</v>
      </c>
      <c r="E73">
        <v>101.028128831611</v>
      </c>
      <c r="F73">
        <v>2.2074508701744802</v>
      </c>
      <c r="G73">
        <v>-1645.0339824620153</v>
      </c>
      <c r="H73">
        <v>-1381.8482935999455</v>
      </c>
      <c r="I73">
        <v>254.741023919149</v>
      </c>
      <c r="J73">
        <v>134.951182351185</v>
      </c>
      <c r="K73">
        <v>45.766875356834397</v>
      </c>
      <c r="L73">
        <v>1.3729295236394556E-4</v>
      </c>
      <c r="M73">
        <v>1.7038651481685044E-5</v>
      </c>
      <c r="N73" s="1">
        <v>2.7856755753330998E-6</v>
      </c>
      <c r="O73" s="1">
        <v>8.2614625294527099E-8</v>
      </c>
      <c r="P73" s="1">
        <v>-4.2086811015877798E-7</v>
      </c>
      <c r="Q73">
        <v>73.413320968434704</v>
      </c>
      <c r="R73">
        <v>6.9287633859550196E-2</v>
      </c>
      <c r="S73">
        <v>12.0549730598654</v>
      </c>
      <c r="T73">
        <v>0.20849382814351999</v>
      </c>
      <c r="V73">
        <v>0.48037723919313802</v>
      </c>
      <c r="W73">
        <v>9.8982334085065005E-3</v>
      </c>
      <c r="X73">
        <v>8.9084100676572797E-2</v>
      </c>
      <c r="AA73">
        <v>0.86798515906209295</v>
      </c>
      <c r="AB73">
        <v>3.1142777917739402</v>
      </c>
      <c r="AC73">
        <v>4.9288403768462699</v>
      </c>
      <c r="AD73">
        <v>1.9796466817010701E-2</v>
      </c>
      <c r="AE73">
        <v>4.7436651419190996</v>
      </c>
    </row>
    <row r="74" spans="1:31" x14ac:dyDescent="0.2">
      <c r="A74">
        <v>73</v>
      </c>
      <c r="B74">
        <v>759</v>
      </c>
      <c r="C74">
        <v>175</v>
      </c>
      <c r="D74">
        <v>0.41070629269001901</v>
      </c>
      <c r="E74">
        <v>99.438983892757193</v>
      </c>
      <c r="F74">
        <v>2.2083132701181798</v>
      </c>
      <c r="G74">
        <v>-1618.4011985573807</v>
      </c>
      <c r="H74">
        <v>-1359.8658841940724</v>
      </c>
      <c r="I74">
        <v>250.482308156089</v>
      </c>
      <c r="J74">
        <v>132.78785106911599</v>
      </c>
      <c r="K74">
        <v>45.029382940507901</v>
      </c>
      <c r="L74">
        <v>1.3707147585682259E-4</v>
      </c>
      <c r="M74">
        <v>1.7004797244985556E-5</v>
      </c>
      <c r="N74" s="1">
        <v>2.7369891212139398E-6</v>
      </c>
      <c r="O74" s="1">
        <v>8.1041276580369995E-8</v>
      </c>
      <c r="P74" s="1">
        <v>-4.1344367722780101E-7</v>
      </c>
      <c r="Q74">
        <v>73.382694750250295</v>
      </c>
      <c r="R74">
        <v>7.0394926878472999E-2</v>
      </c>
      <c r="S74">
        <v>12.059806367137501</v>
      </c>
      <c r="T74">
        <v>0.21224306322766001</v>
      </c>
      <c r="V74">
        <v>0.48767873180565002</v>
      </c>
      <c r="W74">
        <v>1.0056418125495001E-2</v>
      </c>
      <c r="X74">
        <v>9.0507763129478905E-2</v>
      </c>
      <c r="AA74">
        <v>0.854578381939881</v>
      </c>
      <c r="AB74">
        <v>3.09071298853029</v>
      </c>
      <c r="AC74">
        <v>4.99136594345077</v>
      </c>
      <c r="AD74">
        <v>2.01128362509863E-2</v>
      </c>
      <c r="AE74">
        <v>4.7298478292733899</v>
      </c>
    </row>
    <row r="75" spans="1:31" x14ac:dyDescent="0.2">
      <c r="A75">
        <v>74</v>
      </c>
      <c r="B75">
        <v>758</v>
      </c>
      <c r="C75">
        <v>175</v>
      </c>
      <c r="D75">
        <v>0.41006691557969399</v>
      </c>
      <c r="E75">
        <v>97.241224127993107</v>
      </c>
      <c r="F75">
        <v>2.2092654228954398</v>
      </c>
      <c r="G75">
        <v>-1581.8442477001831</v>
      </c>
      <c r="H75">
        <v>-1329.5260450094154</v>
      </c>
      <c r="I75">
        <v>244.69592463828499</v>
      </c>
      <c r="J75">
        <v>129.81413027865199</v>
      </c>
      <c r="K75">
        <v>44.015184015576402</v>
      </c>
      <c r="L75">
        <v>1.3685003155590556E-4</v>
      </c>
      <c r="M75">
        <v>1.6970643664837933E-5</v>
      </c>
      <c r="N75" s="1">
        <v>2.6715582052557098E-6</v>
      </c>
      <c r="O75" s="1">
        <v>7.8978054355424903E-8</v>
      </c>
      <c r="P75" s="1">
        <v>-4.0348162746477199E-7</v>
      </c>
      <c r="Q75">
        <v>73.347810972678801</v>
      </c>
      <c r="R75">
        <v>7.1985930481366395E-2</v>
      </c>
      <c r="S75">
        <v>12.0640693316849</v>
      </c>
      <c r="T75">
        <v>0.21744588491657399</v>
      </c>
      <c r="V75">
        <v>0.49833558672137002</v>
      </c>
      <c r="W75">
        <v>1.02837043544782E-2</v>
      </c>
      <c r="X75">
        <v>9.2553339190361003E-2</v>
      </c>
      <c r="AA75">
        <v>0.84333681859461995</v>
      </c>
      <c r="AB75">
        <v>3.0650145896233298</v>
      </c>
      <c r="AC75">
        <v>5.0528489668883001</v>
      </c>
      <c r="AD75">
        <v>2.05674087089475E-2</v>
      </c>
      <c r="AE75">
        <v>4.7157474661568202</v>
      </c>
    </row>
    <row r="76" spans="1:31" x14ac:dyDescent="0.2">
      <c r="A76">
        <v>75</v>
      </c>
      <c r="B76">
        <v>757</v>
      </c>
      <c r="C76">
        <v>175</v>
      </c>
      <c r="D76">
        <v>0.40942629714119499</v>
      </c>
      <c r="E76">
        <v>78.642998152246804</v>
      </c>
      <c r="F76">
        <v>2.2124263533688202</v>
      </c>
      <c r="G76">
        <v>-1277.613044127977</v>
      </c>
      <c r="H76">
        <v>-1073.9347296931705</v>
      </c>
      <c r="I76">
        <v>197.71714258584299</v>
      </c>
      <c r="J76">
        <v>104.99281441801401</v>
      </c>
      <c r="K76">
        <v>35.546041129232798</v>
      </c>
      <c r="L76">
        <v>1.3690102449805789E-4</v>
      </c>
      <c r="M76">
        <v>1.6951448700141835E-5</v>
      </c>
      <c r="N76" s="1">
        <v>2.1589850879567798E-6</v>
      </c>
      <c r="O76" s="1">
        <v>6.3711869275574304E-8</v>
      </c>
      <c r="P76" s="1">
        <v>-3.2571111747631701E-7</v>
      </c>
      <c r="Q76">
        <v>73.1837465170493</v>
      </c>
      <c r="R76">
        <v>8.9009831319624505E-2</v>
      </c>
      <c r="S76">
        <v>12.042659115462399</v>
      </c>
      <c r="T76">
        <v>0.268570598340098</v>
      </c>
      <c r="V76">
        <v>0.61645557063479495</v>
      </c>
      <c r="W76">
        <v>1.27156901885126E-2</v>
      </c>
      <c r="X76">
        <v>0.114441211696723</v>
      </c>
      <c r="AA76">
        <v>0.87248100100927395</v>
      </c>
      <c r="AB76">
        <v>3.0212274448402701</v>
      </c>
      <c r="AC76">
        <v>5.0463938312402101</v>
      </c>
      <c r="AD76">
        <v>2.5431380377012099E-2</v>
      </c>
      <c r="AE76">
        <v>4.7068678078417001</v>
      </c>
    </row>
    <row r="77" spans="1:31" x14ac:dyDescent="0.2">
      <c r="A77">
        <v>76</v>
      </c>
      <c r="B77">
        <v>756</v>
      </c>
      <c r="C77">
        <v>175</v>
      </c>
      <c r="D77">
        <v>0.40878443375601398</v>
      </c>
      <c r="E77">
        <v>29.80628833678</v>
      </c>
      <c r="F77">
        <v>2.2153407271651</v>
      </c>
      <c r="G77">
        <v>-484.09297116136577</v>
      </c>
      <c r="H77">
        <v>-407.13610168890392</v>
      </c>
      <c r="I77">
        <v>74.777116525736602</v>
      </c>
      <c r="J77">
        <v>39.810347615618298</v>
      </c>
      <c r="K77">
        <v>13.4544939165733</v>
      </c>
      <c r="L77">
        <v>1.3624142385294181E-4</v>
      </c>
      <c r="M77">
        <v>1.6877992485523204E-5</v>
      </c>
      <c r="N77" s="1">
        <v>8.12693735666445E-7</v>
      </c>
      <c r="O77" s="1">
        <v>2.3949640366697501E-8</v>
      </c>
      <c r="P77" s="1">
        <v>-1.2235114268301401E-7</v>
      </c>
      <c r="Q77">
        <v>73.032318453255499</v>
      </c>
      <c r="R77">
        <v>0.13241267670670201</v>
      </c>
      <c r="S77">
        <v>12.091173064922099</v>
      </c>
      <c r="T77">
        <v>0.25042136950185401</v>
      </c>
      <c r="V77">
        <v>0.57406000133794099</v>
      </c>
      <c r="W77">
        <v>3.35499673324181E-2</v>
      </c>
      <c r="X77">
        <v>0.16979657943002399</v>
      </c>
      <c r="AA77">
        <v>0.980914609246052</v>
      </c>
      <c r="AB77">
        <v>2.8772356057193398</v>
      </c>
      <c r="AC77">
        <v>5.1215422565780999</v>
      </c>
      <c r="AD77">
        <v>6.7099934664773694E-2</v>
      </c>
      <c r="AE77">
        <v>4.6694754813050796</v>
      </c>
    </row>
    <row r="78" spans="1:31" x14ac:dyDescent="0.2">
      <c r="A78">
        <v>77</v>
      </c>
      <c r="B78">
        <v>755</v>
      </c>
      <c r="C78">
        <v>175</v>
      </c>
      <c r="D78">
        <v>0.40814132179156798</v>
      </c>
      <c r="E78">
        <v>12.6836411915606</v>
      </c>
      <c r="F78">
        <v>2.2179797706003699</v>
      </c>
      <c r="G78">
        <v>-205.91914042218266</v>
      </c>
      <c r="H78">
        <v>-173.25592250072324</v>
      </c>
      <c r="I78">
        <v>31.768922746155098</v>
      </c>
      <c r="J78">
        <v>16.954143485243801</v>
      </c>
      <c r="K78">
        <v>5.7185558496447904</v>
      </c>
      <c r="L78">
        <v>1.3593085874501835E-4</v>
      </c>
      <c r="M78">
        <v>1.6839963931748453E-5</v>
      </c>
      <c r="N78" s="1">
        <v>3.44878466717164E-7</v>
      </c>
      <c r="O78" s="1">
        <v>1.01457734524377E-8</v>
      </c>
      <c r="P78" s="1">
        <v>-5.1806381502216402E-8</v>
      </c>
      <c r="Q78">
        <v>72.765344675642794</v>
      </c>
      <c r="R78">
        <v>0.17369297719810201</v>
      </c>
      <c r="S78">
        <v>12.189877910162499</v>
      </c>
      <c r="T78">
        <v>0.23617333380460201</v>
      </c>
      <c r="V78">
        <v>0.54064679310950003</v>
      </c>
      <c r="W78">
        <v>7.8841713108766004E-2</v>
      </c>
      <c r="X78">
        <v>0.17775606038306199</v>
      </c>
      <c r="AA78">
        <v>1.0976349140478501</v>
      </c>
      <c r="AB78">
        <v>2.7674438000138002</v>
      </c>
      <c r="AC78">
        <v>5.1635605935096303</v>
      </c>
      <c r="AD78">
        <v>0.15768342621732501</v>
      </c>
      <c r="AE78">
        <v>4.6513438028018896</v>
      </c>
    </row>
    <row r="79" spans="1:31" x14ac:dyDescent="0.2">
      <c r="A79">
        <v>78</v>
      </c>
      <c r="B79">
        <v>754</v>
      </c>
      <c r="C79">
        <v>175</v>
      </c>
      <c r="D79">
        <v>0.40749695760112897</v>
      </c>
      <c r="E79">
        <v>7.5904957747295398</v>
      </c>
      <c r="F79">
        <v>2.2203378611093498</v>
      </c>
      <c r="G79">
        <v>-123.17841896809303</v>
      </c>
      <c r="H79">
        <v>-103.67415247999577</v>
      </c>
      <c r="I79">
        <v>18.98872266767</v>
      </c>
      <c r="J79">
        <v>10.1569340408331</v>
      </c>
      <c r="K79">
        <v>3.4186219618563198</v>
      </c>
      <c r="L79">
        <v>1.3585403550555008E-4</v>
      </c>
      <c r="M79">
        <v>1.6824217943614063E-5</v>
      </c>
      <c r="N79" s="1">
        <v>2.06413756973393E-7</v>
      </c>
      <c r="O79" s="1">
        <v>6.0603460882069601E-9</v>
      </c>
      <c r="P79" s="1">
        <v>-3.0941064795674302E-8</v>
      </c>
      <c r="Q79">
        <v>72.462008217451498</v>
      </c>
      <c r="R79">
        <v>0.19372131884555099</v>
      </c>
      <c r="S79">
        <v>12.2968255999563</v>
      </c>
      <c r="T79">
        <v>0.22884495562063101</v>
      </c>
      <c r="V79">
        <v>0.52327014672379102</v>
      </c>
      <c r="W79">
        <v>0.131743700237442</v>
      </c>
      <c r="X79">
        <v>0.181603226141617</v>
      </c>
      <c r="AA79">
        <v>1.21000536178742</v>
      </c>
      <c r="AB79">
        <v>2.6839758868971701</v>
      </c>
      <c r="AC79">
        <v>5.17794306347486</v>
      </c>
      <c r="AD79">
        <v>0.26348740047453501</v>
      </c>
      <c r="AE79">
        <v>4.6465711223890001</v>
      </c>
    </row>
    <row r="80" spans="1:31" x14ac:dyDescent="0.2">
      <c r="A80">
        <v>79</v>
      </c>
      <c r="B80">
        <v>775</v>
      </c>
      <c r="C80">
        <v>150</v>
      </c>
      <c r="D80">
        <v>0.44700710776129698</v>
      </c>
      <c r="E80">
        <v>105.05589804174301</v>
      </c>
      <c r="F80">
        <v>2.2049901946720398</v>
      </c>
      <c r="G80">
        <v>-1714.933419626215</v>
      </c>
      <c r="H80">
        <v>-1437.3497803950047</v>
      </c>
      <c r="I80">
        <v>264.83197942203901</v>
      </c>
      <c r="J80">
        <v>140.23949193048401</v>
      </c>
      <c r="K80">
        <v>47.644610073818903</v>
      </c>
      <c r="L80">
        <v>1.3297480406946485E-4</v>
      </c>
      <c r="M80">
        <v>1.6958722323009534E-5</v>
      </c>
      <c r="N80" s="1">
        <v>2.67138235704878E-6</v>
      </c>
      <c r="O80" s="1">
        <v>8.2832327990059296E-8</v>
      </c>
      <c r="P80" s="1">
        <v>-4.1594567445403898E-7</v>
      </c>
      <c r="Q80">
        <v>73.684582629771597</v>
      </c>
      <c r="R80">
        <v>6.6631194730433704E-2</v>
      </c>
      <c r="S80">
        <v>12.145914925148</v>
      </c>
      <c r="T80">
        <v>0.19825666287858501</v>
      </c>
      <c r="V80">
        <v>0.46397878256365499</v>
      </c>
      <c r="W80">
        <v>9.5187421043476193E-3</v>
      </c>
      <c r="X80">
        <v>8.5668678939129897E-2</v>
      </c>
      <c r="AA80">
        <v>0.92331798412172295</v>
      </c>
      <c r="AB80">
        <v>3.2078160891651502</v>
      </c>
      <c r="AC80">
        <v>4.7784085363824902</v>
      </c>
      <c r="AD80">
        <v>1.9037484208694999E-2</v>
      </c>
      <c r="AE80">
        <v>4.4168682899860601</v>
      </c>
    </row>
    <row r="81" spans="1:31" x14ac:dyDescent="0.2">
      <c r="A81">
        <v>80</v>
      </c>
      <c r="B81">
        <v>774</v>
      </c>
      <c r="C81">
        <v>150</v>
      </c>
      <c r="D81">
        <v>0.44641216635630598</v>
      </c>
      <c r="E81">
        <v>104.774673881585</v>
      </c>
      <c r="F81">
        <v>2.2052741446147301</v>
      </c>
      <c r="G81">
        <v>-1709.9831469510127</v>
      </c>
      <c r="H81">
        <v>-1433.6088382414312</v>
      </c>
      <c r="I81">
        <v>263.93000879490103</v>
      </c>
      <c r="J81">
        <v>139.82113214622501</v>
      </c>
      <c r="K81">
        <v>47.510951931960101</v>
      </c>
      <c r="L81">
        <v>1.3280417722393538E-4</v>
      </c>
      <c r="M81">
        <v>1.6944859602406162E-5</v>
      </c>
      <c r="N81" s="1">
        <v>2.66448182707116E-6</v>
      </c>
      <c r="O81" s="1">
        <v>8.2472848141071198E-8</v>
      </c>
      <c r="P81" s="1">
        <v>-4.1417700836004598E-7</v>
      </c>
      <c r="Q81">
        <v>73.722312254028694</v>
      </c>
      <c r="R81">
        <v>6.6810038539574304E-2</v>
      </c>
      <c r="S81">
        <v>12.1214694613465</v>
      </c>
      <c r="T81">
        <v>0.19904405427761701</v>
      </c>
      <c r="V81">
        <v>0.46499446117811299</v>
      </c>
      <c r="W81">
        <v>9.5442912199390304E-3</v>
      </c>
      <c r="X81">
        <v>8.5898620979454804E-2</v>
      </c>
      <c r="AA81">
        <v>0.91607716730440703</v>
      </c>
      <c r="AB81">
        <v>3.1947362263574801</v>
      </c>
      <c r="AC81">
        <v>4.7878218885855901</v>
      </c>
      <c r="AD81">
        <v>1.9088582439877402E-2</v>
      </c>
      <c r="AE81">
        <v>4.4122029537426402</v>
      </c>
    </row>
    <row r="82" spans="1:31" x14ac:dyDescent="0.2">
      <c r="A82">
        <v>81</v>
      </c>
      <c r="B82">
        <v>773</v>
      </c>
      <c r="C82">
        <v>150</v>
      </c>
      <c r="D82">
        <v>0.44581608755914398</v>
      </c>
      <c r="E82">
        <v>104.450078414027</v>
      </c>
      <c r="F82">
        <v>2.2055575461738801</v>
      </c>
      <c r="G82">
        <v>-1704.3128399073498</v>
      </c>
      <c r="H82">
        <v>-1429.269050770801</v>
      </c>
      <c r="I82">
        <v>262.91047090431402</v>
      </c>
      <c r="J82">
        <v>139.340483886078</v>
      </c>
      <c r="K82">
        <v>47.357675430062201</v>
      </c>
      <c r="L82">
        <v>1.3261295644300642E-4</v>
      </c>
      <c r="M82">
        <v>1.6929879998439383E-5</v>
      </c>
      <c r="N82" s="1">
        <v>2.6560364760366802E-6</v>
      </c>
      <c r="O82" s="1">
        <v>8.2067991718771497E-8</v>
      </c>
      <c r="P82" s="1">
        <v>-4.1215129650209602E-7</v>
      </c>
      <c r="Q82">
        <v>73.765828663929895</v>
      </c>
      <c r="R82">
        <v>6.7017661511491702E-2</v>
      </c>
      <c r="S82">
        <v>12.0932898232761</v>
      </c>
      <c r="T82">
        <v>0.199912540215545</v>
      </c>
      <c r="V82">
        <v>0.46621462171924899</v>
      </c>
      <c r="W82">
        <v>9.5739516444985993E-3</v>
      </c>
      <c r="X82">
        <v>8.61655648004922E-2</v>
      </c>
      <c r="AA82">
        <v>0.90790219810765305</v>
      </c>
      <c r="AB82">
        <v>3.17949083141714</v>
      </c>
      <c r="AC82">
        <v>4.7986386262222398</v>
      </c>
      <c r="AD82">
        <v>1.9147903288996401E-2</v>
      </c>
      <c r="AE82">
        <v>4.4068176138666102</v>
      </c>
    </row>
    <row r="83" spans="1:31" x14ac:dyDescent="0.2">
      <c r="A83">
        <v>82</v>
      </c>
      <c r="B83">
        <v>772</v>
      </c>
      <c r="C83">
        <v>150</v>
      </c>
      <c r="D83">
        <v>0.44521886810505501</v>
      </c>
      <c r="E83">
        <v>104.125197246379</v>
      </c>
      <c r="F83">
        <v>2.20584298242091</v>
      </c>
      <c r="G83">
        <v>-1698.6403356494011</v>
      </c>
      <c r="H83">
        <v>-1424.9250934903675</v>
      </c>
      <c r="I83">
        <v>261.89086940537999</v>
      </c>
      <c r="J83">
        <v>138.859677959214</v>
      </c>
      <c r="K83">
        <v>47.204265251963399</v>
      </c>
      <c r="L83">
        <v>1.3242072209213951E-4</v>
      </c>
      <c r="M83">
        <v>1.6914860322848763E-5</v>
      </c>
      <c r="N83" s="1">
        <v>2.6475539588398699E-6</v>
      </c>
      <c r="O83" s="1">
        <v>8.16632913572339E-8</v>
      </c>
      <c r="P83" s="1">
        <v>-4.1012321464532198E-7</v>
      </c>
      <c r="Q83">
        <v>73.809373499725098</v>
      </c>
      <c r="R83">
        <v>6.7226763407101306E-2</v>
      </c>
      <c r="S83">
        <v>12.0651271714093</v>
      </c>
      <c r="T83">
        <v>0.20078748222374501</v>
      </c>
      <c r="V83">
        <v>0.467443230897991</v>
      </c>
      <c r="W83">
        <v>9.60382334387129E-3</v>
      </c>
      <c r="X83">
        <v>8.6434410094848799E-2</v>
      </c>
      <c r="AA83">
        <v>0.89991430832209096</v>
      </c>
      <c r="AB83">
        <v>3.1640783987815402</v>
      </c>
      <c r="AC83">
        <v>4.8094103115318996</v>
      </c>
      <c r="AD83">
        <v>1.92076466877413E-2</v>
      </c>
      <c r="AE83">
        <v>4.4013929535746898</v>
      </c>
    </row>
    <row r="84" spans="1:31" x14ac:dyDescent="0.2">
      <c r="A84">
        <v>83</v>
      </c>
      <c r="B84">
        <v>771</v>
      </c>
      <c r="C84">
        <v>150</v>
      </c>
      <c r="D84">
        <v>0.44462050471675502</v>
      </c>
      <c r="E84">
        <v>103.800073950697</v>
      </c>
      <c r="F84">
        <v>2.2061303923023901</v>
      </c>
      <c r="G84">
        <v>-1692.9663817599944</v>
      </c>
      <c r="H84">
        <v>-1420.5775743070994</v>
      </c>
      <c r="I84">
        <v>260.87133788526</v>
      </c>
      <c r="J84">
        <v>138.37877705611899</v>
      </c>
      <c r="K84">
        <v>47.050742926562997</v>
      </c>
      <c r="L84">
        <v>1.3222750166308039E-4</v>
      </c>
      <c r="M84">
        <v>1.6899803495405337E-5</v>
      </c>
      <c r="N84" s="1">
        <v>2.6390364429376099E-6</v>
      </c>
      <c r="O84" s="1">
        <v>8.1258812905203298E-8</v>
      </c>
      <c r="P84" s="1">
        <v>-4.0809312141133698E-7</v>
      </c>
      <c r="Q84">
        <v>73.852946597640397</v>
      </c>
      <c r="R84">
        <v>6.7437331531429501E-2</v>
      </c>
      <c r="S84">
        <v>12.0369817939673</v>
      </c>
      <c r="T84">
        <v>0.20166887029823899</v>
      </c>
      <c r="V84">
        <v>0.46868017532747402</v>
      </c>
      <c r="W84">
        <v>9.63390450448952E-3</v>
      </c>
      <c r="X84">
        <v>8.6705140540414796E-2</v>
      </c>
      <c r="AA84">
        <v>0.89211223142540197</v>
      </c>
      <c r="AB84">
        <v>3.1485037554647</v>
      </c>
      <c r="AC84">
        <v>4.8201320048187499</v>
      </c>
      <c r="AD84">
        <v>1.9267809008977399E-2</v>
      </c>
      <c r="AE84">
        <v>4.39593038547231</v>
      </c>
    </row>
    <row r="85" spans="1:31" x14ac:dyDescent="0.2">
      <c r="A85">
        <v>84</v>
      </c>
      <c r="B85">
        <v>770</v>
      </c>
      <c r="C85">
        <v>150</v>
      </c>
      <c r="D85">
        <v>0.44402099410439499</v>
      </c>
      <c r="E85">
        <v>103.474751140883</v>
      </c>
      <c r="F85">
        <v>2.2064197134759098</v>
      </c>
      <c r="G85">
        <v>-1687.2917097623119</v>
      </c>
      <c r="H85">
        <v>-1416.2270883473886</v>
      </c>
      <c r="I85">
        <v>259.85200729993102</v>
      </c>
      <c r="J85">
        <v>137.89784249552599</v>
      </c>
      <c r="K85">
        <v>46.897129548336402</v>
      </c>
      <c r="L85">
        <v>1.320333230818842E-4</v>
      </c>
      <c r="M85">
        <v>1.6884712488473385E-5</v>
      </c>
      <c r="N85" s="1">
        <v>2.6304860832325398E-6</v>
      </c>
      <c r="O85" s="1">
        <v>8.0854621319260595E-8</v>
      </c>
      <c r="P85" s="1">
        <v>-4.0606137099276001E-7</v>
      </c>
      <c r="Q85">
        <v>73.896547874151906</v>
      </c>
      <c r="R85">
        <v>6.7649353323589595E-2</v>
      </c>
      <c r="S85">
        <v>12.008853931132601</v>
      </c>
      <c r="T85">
        <v>0.202556694782489</v>
      </c>
      <c r="V85">
        <v>0.46992534260082902</v>
      </c>
      <c r="W85">
        <v>9.6641933319408999E-3</v>
      </c>
      <c r="X85">
        <v>8.6977739987478694E-2</v>
      </c>
      <c r="AA85">
        <v>0.88449465883456102</v>
      </c>
      <c r="AB85">
        <v>3.13277181944287</v>
      </c>
      <c r="AC85">
        <v>4.8307986543676797</v>
      </c>
      <c r="AD85">
        <v>1.9328386663879898E-2</v>
      </c>
      <c r="AE85">
        <v>4.3904313513800703</v>
      </c>
    </row>
    <row r="86" spans="1:31" x14ac:dyDescent="0.2">
      <c r="A86">
        <v>85</v>
      </c>
      <c r="B86">
        <v>769</v>
      </c>
      <c r="C86">
        <v>150</v>
      </c>
      <c r="D86">
        <v>0.44342033296550898</v>
      </c>
      <c r="E86">
        <v>103.149270298418</v>
      </c>
      <c r="F86">
        <v>2.2067108823678399</v>
      </c>
      <c r="G86">
        <v>-1681.6170322810879</v>
      </c>
      <c r="H86">
        <v>-1411.8742155830707</v>
      </c>
      <c r="I86">
        <v>258.83300551553702</v>
      </c>
      <c r="J86">
        <v>137.41693398624699</v>
      </c>
      <c r="K86">
        <v>46.7434456967638</v>
      </c>
      <c r="L86">
        <v>1.3183821465695848E-4</v>
      </c>
      <c r="M86">
        <v>1.6869590325308632E-5</v>
      </c>
      <c r="N86" s="1">
        <v>2.62190501643784E-6</v>
      </c>
      <c r="O86" s="1">
        <v>8.0450780499332599E-8</v>
      </c>
      <c r="P86" s="1">
        <v>-4.04028312170696E-7</v>
      </c>
      <c r="Q86">
        <v>73.940177338882293</v>
      </c>
      <c r="R86">
        <v>6.7862816477020901E-2</v>
      </c>
      <c r="S86">
        <v>11.980743767920099</v>
      </c>
      <c r="T86">
        <v>0.2034509466828</v>
      </c>
      <c r="V86">
        <v>0.47117862216643402</v>
      </c>
      <c r="W86">
        <v>9.6946880681450208E-3</v>
      </c>
      <c r="X86">
        <v>8.7252192613323301E-2</v>
      </c>
      <c r="AA86">
        <v>0.87706024563551599</v>
      </c>
      <c r="AB86">
        <v>3.1168875907376101</v>
      </c>
      <c r="AC86">
        <v>4.8414050937550499</v>
      </c>
      <c r="AD86">
        <v>1.9389376136286898E-2</v>
      </c>
      <c r="AE86">
        <v>4.3848973209252797</v>
      </c>
    </row>
    <row r="87" spans="1:31" x14ac:dyDescent="0.2">
      <c r="A87">
        <v>86</v>
      </c>
      <c r="B87">
        <v>768</v>
      </c>
      <c r="C87">
        <v>150</v>
      </c>
      <c r="D87">
        <v>0.442818517984921</v>
      </c>
      <c r="E87">
        <v>101.623752333745</v>
      </c>
      <c r="F87">
        <v>2.2074817802759399</v>
      </c>
      <c r="G87">
        <v>-1656.0134822926666</v>
      </c>
      <c r="H87">
        <v>-1390.7612271081664</v>
      </c>
      <c r="I87">
        <v>254.768530168083</v>
      </c>
      <c r="J87">
        <v>135.34683954651501</v>
      </c>
      <c r="K87">
        <v>46.036054857513598</v>
      </c>
      <c r="L87">
        <v>1.3166039435573648E-4</v>
      </c>
      <c r="M87">
        <v>1.6839514630512988E-5</v>
      </c>
      <c r="N87" s="1">
        <v>2.5794115376590802E-6</v>
      </c>
      <c r="O87" s="1">
        <v>7.9021006019332904E-8</v>
      </c>
      <c r="P87" s="1">
        <v>-3.9743360515294703E-7</v>
      </c>
      <c r="Q87">
        <v>73.909909543164105</v>
      </c>
      <c r="R87">
        <v>6.8881534476422104E-2</v>
      </c>
      <c r="S87">
        <v>11.985156666985899</v>
      </c>
      <c r="T87">
        <v>0.20690237541249601</v>
      </c>
      <c r="V87">
        <v>0.477894157760131</v>
      </c>
      <c r="W87">
        <v>9.8402192109165801E-3</v>
      </c>
      <c r="X87">
        <v>8.8561972898269004E-2</v>
      </c>
      <c r="AA87">
        <v>0.86358816745017297</v>
      </c>
      <c r="AB87">
        <v>3.0952423781609402</v>
      </c>
      <c r="AC87">
        <v>4.9007565154343604</v>
      </c>
      <c r="AD87">
        <v>1.96804384218295E-2</v>
      </c>
      <c r="AE87">
        <v>4.3735860306243399</v>
      </c>
    </row>
    <row r="88" spans="1:31" x14ac:dyDescent="0.2">
      <c r="A88">
        <v>87</v>
      </c>
      <c r="B88">
        <v>767</v>
      </c>
      <c r="C88">
        <v>150</v>
      </c>
      <c r="D88">
        <v>0.44221554583473799</v>
      </c>
      <c r="E88">
        <v>100.080752185482</v>
      </c>
      <c r="F88">
        <v>2.2082768435798399</v>
      </c>
      <c r="G88">
        <v>-1630.1356975791884</v>
      </c>
      <c r="H88">
        <v>-1369.4081360150226</v>
      </c>
      <c r="I88">
        <v>250.66342504846901</v>
      </c>
      <c r="J88">
        <v>133.25435500303701</v>
      </c>
      <c r="K88">
        <v>45.320745212018402</v>
      </c>
      <c r="L88">
        <v>1.3147779706225519E-4</v>
      </c>
      <c r="M88">
        <v>1.6808798872797025E-5</v>
      </c>
      <c r="N88" s="1">
        <v>2.5363785115096301E-6</v>
      </c>
      <c r="O88" s="1">
        <v>7.7579746974655907E-8</v>
      </c>
      <c r="P88" s="1">
        <v>-3.9076359133905399E-7</v>
      </c>
      <c r="Q88">
        <v>73.878393620194601</v>
      </c>
      <c r="R88">
        <v>6.9943519079743097E-2</v>
      </c>
      <c r="S88">
        <v>11.990028055206199</v>
      </c>
      <c r="T88">
        <v>0.210495796971232</v>
      </c>
      <c r="V88">
        <v>0.48489904760907199</v>
      </c>
      <c r="W88">
        <v>9.9919312971049595E-3</v>
      </c>
      <c r="X88">
        <v>8.9927381673971296E-2</v>
      </c>
      <c r="AA88">
        <v>0.85080325170347004</v>
      </c>
      <c r="AB88">
        <v>3.0723907781571702</v>
      </c>
      <c r="AC88">
        <v>4.96119999789427</v>
      </c>
      <c r="AD88">
        <v>1.99838625942052E-2</v>
      </c>
      <c r="AE88">
        <v>4.3619427576188503</v>
      </c>
    </row>
    <row r="89" spans="1:31" x14ac:dyDescent="0.2">
      <c r="A89">
        <v>88</v>
      </c>
      <c r="B89">
        <v>766</v>
      </c>
      <c r="C89">
        <v>150</v>
      </c>
      <c r="D89">
        <v>0.44161141317423203</v>
      </c>
      <c r="E89">
        <v>98.526978188734503</v>
      </c>
      <c r="F89">
        <v>2.2090927704332199</v>
      </c>
      <c r="G89">
        <v>-1604.0966723617971</v>
      </c>
      <c r="H89">
        <v>-1347.9098442591221</v>
      </c>
      <c r="I89">
        <v>246.5349834987</v>
      </c>
      <c r="J89">
        <v>131.14834552738</v>
      </c>
      <c r="K89">
        <v>44.600652135316402</v>
      </c>
      <c r="L89">
        <v>1.3129004930276854E-4</v>
      </c>
      <c r="M89">
        <v>1.6777572046440689E-5</v>
      </c>
      <c r="N89" s="1">
        <v>2.4930125026726199E-6</v>
      </c>
      <c r="O89" s="1">
        <v>7.6133254438136096E-8</v>
      </c>
      <c r="P89" s="1">
        <v>-3.8404337550020398E-7</v>
      </c>
      <c r="Q89">
        <v>73.846321417977606</v>
      </c>
      <c r="R89">
        <v>7.1046530896252999E-2</v>
      </c>
      <c r="S89">
        <v>11.995024467053</v>
      </c>
      <c r="T89">
        <v>0.214223459948437</v>
      </c>
      <c r="V89">
        <v>0.49217867719187802</v>
      </c>
      <c r="W89">
        <v>1.0149504413749001E-2</v>
      </c>
      <c r="X89">
        <v>9.1345539723772004E-2</v>
      </c>
      <c r="AA89">
        <v>0.83880967530659001</v>
      </c>
      <c r="AB89">
        <v>3.0483263466249202</v>
      </c>
      <c r="AC89">
        <v>5.0222628054621898</v>
      </c>
      <c r="AD89">
        <v>2.02990088274928E-2</v>
      </c>
      <c r="AE89">
        <v>4.3500125665739899</v>
      </c>
    </row>
    <row r="90" spans="1:31" x14ac:dyDescent="0.2">
      <c r="A90">
        <v>89</v>
      </c>
      <c r="B90">
        <v>765</v>
      </c>
      <c r="C90">
        <v>150</v>
      </c>
      <c r="D90">
        <v>0.44100611664981298</v>
      </c>
      <c r="E90">
        <v>96.954884644514607</v>
      </c>
      <c r="F90">
        <v>2.2099316395928601</v>
      </c>
      <c r="G90">
        <v>-1577.7732109993331</v>
      </c>
      <c r="H90">
        <v>-1326.1626257640346</v>
      </c>
      <c r="I90">
        <v>242.364383986224</v>
      </c>
      <c r="J90">
        <v>129.01878833181701</v>
      </c>
      <c r="K90">
        <v>43.872345599964497</v>
      </c>
      <c r="L90">
        <v>1.3109691237362018E-4</v>
      </c>
      <c r="M90">
        <v>1.6745805329908117E-5</v>
      </c>
      <c r="N90" s="1">
        <v>2.4491225371273801E-6</v>
      </c>
      <c r="O90" s="1">
        <v>7.4675739859321006E-8</v>
      </c>
      <c r="P90" s="1">
        <v>-3.7724349208618298E-7</v>
      </c>
      <c r="Q90">
        <v>73.813611649625201</v>
      </c>
      <c r="R90">
        <v>7.2198528477094501E-2</v>
      </c>
      <c r="S90">
        <v>12.0001429460761</v>
      </c>
      <c r="T90">
        <v>0.21810961095279299</v>
      </c>
      <c r="V90">
        <v>0.49978795526070502</v>
      </c>
      <c r="W90">
        <v>1.03140754967263E-2</v>
      </c>
      <c r="X90">
        <v>9.2826679470569495E-2</v>
      </c>
      <c r="AA90">
        <v>0.827664258728254</v>
      </c>
      <c r="AB90">
        <v>3.0229646875988601</v>
      </c>
      <c r="AC90">
        <v>5.0839730377321199</v>
      </c>
      <c r="AD90">
        <v>2.0628150993446798E-2</v>
      </c>
      <c r="AE90">
        <v>4.3377784195880702</v>
      </c>
    </row>
    <row r="91" spans="1:31" x14ac:dyDescent="0.2">
      <c r="A91">
        <v>90</v>
      </c>
      <c r="B91">
        <v>764</v>
      </c>
      <c r="C91">
        <v>150</v>
      </c>
      <c r="D91">
        <v>0.44039965289495597</v>
      </c>
      <c r="E91">
        <v>88.250960823518895</v>
      </c>
      <c r="F91">
        <v>2.21170533960135</v>
      </c>
      <c r="G91">
        <v>-1434.9953669976187</v>
      </c>
      <c r="H91">
        <v>-1206.4208592398477</v>
      </c>
      <c r="I91">
        <v>220.387126025908</v>
      </c>
      <c r="J91">
        <v>117.417778746384</v>
      </c>
      <c r="K91">
        <v>39.901771381275097</v>
      </c>
      <c r="L91">
        <v>1.3097751758758892E-4</v>
      </c>
      <c r="M91">
        <v>1.6717329535313658E-5</v>
      </c>
      <c r="N91" s="1">
        <v>2.22579394864413E-6</v>
      </c>
      <c r="O91" s="1">
        <v>6.7756467459301394E-8</v>
      </c>
      <c r="P91" s="1">
        <v>-3.4266454501628198E-7</v>
      </c>
      <c r="Q91">
        <v>73.729903493414199</v>
      </c>
      <c r="R91">
        <v>7.9319249724647295E-2</v>
      </c>
      <c r="S91">
        <v>11.9965755590604</v>
      </c>
      <c r="T91">
        <v>0.23978408834716999</v>
      </c>
      <c r="V91">
        <v>0.54893386088881202</v>
      </c>
      <c r="W91">
        <v>1.13313213892319E-2</v>
      </c>
      <c r="X91">
        <v>0.10198189250315801</v>
      </c>
      <c r="AA91">
        <v>0.83635279643244398</v>
      </c>
      <c r="AB91">
        <v>2.98491933858381</v>
      </c>
      <c r="AC91">
        <v>5.1221218970628302</v>
      </c>
      <c r="AD91">
        <v>2.2662642778452501E-2</v>
      </c>
      <c r="AE91">
        <v>4.32611385981473</v>
      </c>
    </row>
    <row r="92" spans="1:31" x14ac:dyDescent="0.2">
      <c r="A92">
        <v>91</v>
      </c>
      <c r="B92">
        <v>763</v>
      </c>
      <c r="C92">
        <v>150</v>
      </c>
      <c r="D92">
        <v>0.43979201853014099</v>
      </c>
      <c r="E92">
        <v>73.462152043337596</v>
      </c>
      <c r="F92">
        <v>2.2147225032717999</v>
      </c>
      <c r="G92">
        <v>-1193.0218805141697</v>
      </c>
      <c r="H92">
        <v>-1003.1059586285265</v>
      </c>
      <c r="I92">
        <v>183.28998879085299</v>
      </c>
      <c r="J92">
        <v>97.746810645009305</v>
      </c>
      <c r="K92">
        <v>33.169912679720298</v>
      </c>
      <c r="L92">
        <v>1.3101843293399274E-4</v>
      </c>
      <c r="M92">
        <v>1.669824091247423E-5</v>
      </c>
      <c r="N92" s="1">
        <v>1.8513482183728899E-6</v>
      </c>
      <c r="O92" s="1">
        <v>5.6259730084829703E-8</v>
      </c>
      <c r="P92" s="1">
        <v>-2.8471109362054598E-7</v>
      </c>
      <c r="Q92">
        <v>73.573281804948707</v>
      </c>
      <c r="R92">
        <v>9.5287162236570397E-2</v>
      </c>
      <c r="S92">
        <v>11.9777521893729</v>
      </c>
      <c r="T92">
        <v>0.28776294287078202</v>
      </c>
      <c r="V92">
        <v>0.659704041537435</v>
      </c>
      <c r="W92">
        <v>1.3612451748075301E-2</v>
      </c>
      <c r="X92">
        <v>0.122512065732806</v>
      </c>
      <c r="AA92">
        <v>0.86614843614775505</v>
      </c>
      <c r="AB92">
        <v>2.9400814796523198</v>
      </c>
      <c r="AC92">
        <v>5.1188243345781599</v>
      </c>
      <c r="AD92">
        <v>2.7224903496130801E-2</v>
      </c>
      <c r="AE92">
        <v>4.3178081876781702</v>
      </c>
    </row>
    <row r="93" spans="1:31" x14ac:dyDescent="0.2">
      <c r="A93">
        <v>92</v>
      </c>
      <c r="B93">
        <v>762</v>
      </c>
      <c r="C93">
        <v>150</v>
      </c>
      <c r="D93">
        <v>0.439183210162781</v>
      </c>
      <c r="E93">
        <v>27.1586706030578</v>
      </c>
      <c r="F93">
        <v>2.2173158362181602</v>
      </c>
      <c r="G93">
        <v>-441.07666191204044</v>
      </c>
      <c r="H93">
        <v>-371.10016234356914</v>
      </c>
      <c r="I93">
        <v>67.600347358809103</v>
      </c>
      <c r="J93">
        <v>36.154240583442899</v>
      </c>
      <c r="K93">
        <v>12.248444790517301</v>
      </c>
      <c r="L93">
        <v>1.3021798368253402E-4</v>
      </c>
      <c r="M93">
        <v>1.6613730637095115E-5</v>
      </c>
      <c r="N93" s="1">
        <v>6.7878283525402101E-7</v>
      </c>
      <c r="O93" s="1">
        <v>2.06021597369146E-8</v>
      </c>
      <c r="P93" s="1">
        <v>-1.04154329649024E-7</v>
      </c>
      <c r="Q93">
        <v>73.434723342634598</v>
      </c>
      <c r="R93">
        <v>0.139990473185541</v>
      </c>
      <c r="S93">
        <v>12.0485860415153</v>
      </c>
      <c r="T93">
        <v>0.250115529675208</v>
      </c>
      <c r="V93">
        <v>0.57218300356643803</v>
      </c>
      <c r="W93">
        <v>3.6820653507498503E-2</v>
      </c>
      <c r="X93">
        <v>0.180839757713981</v>
      </c>
      <c r="AA93">
        <v>0.99645302943485503</v>
      </c>
      <c r="AB93">
        <v>2.7660767332979499</v>
      </c>
      <c r="AC93">
        <v>5.2232846933848798</v>
      </c>
      <c r="AD93">
        <v>7.3641307014918098E-2</v>
      </c>
      <c r="AE93">
        <v>4.2772854350686504</v>
      </c>
    </row>
    <row r="94" spans="1:31" x14ac:dyDescent="0.2">
      <c r="A94">
        <v>93</v>
      </c>
      <c r="B94">
        <v>761</v>
      </c>
      <c r="C94">
        <v>150</v>
      </c>
      <c r="D94">
        <v>0.43857322438717999</v>
      </c>
      <c r="E94">
        <v>12.7999110452898</v>
      </c>
      <c r="F94">
        <v>2.2198357170402598</v>
      </c>
      <c r="G94">
        <v>-207.80012126814552</v>
      </c>
      <c r="H94">
        <v>-174.90362461272665</v>
      </c>
      <c r="I94">
        <v>31.810179041163099</v>
      </c>
      <c r="J94">
        <v>17.051830657659199</v>
      </c>
      <c r="K94">
        <v>5.7661523990415704</v>
      </c>
      <c r="L94">
        <v>1.299248857726718E-4</v>
      </c>
      <c r="M94">
        <v>1.6576660816199888E-5</v>
      </c>
      <c r="N94" s="1">
        <v>3.1902460511541997E-7</v>
      </c>
      <c r="O94" s="1">
        <v>9.6665998016200494E-9</v>
      </c>
      <c r="P94" s="1">
        <v>-4.8846219047214602E-8</v>
      </c>
      <c r="Q94">
        <v>73.183518405438505</v>
      </c>
      <c r="R94">
        <v>0.179340373250054</v>
      </c>
      <c r="S94">
        <v>12.1423446642772</v>
      </c>
      <c r="T94">
        <v>0.23701660822397699</v>
      </c>
      <c r="V94">
        <v>0.54148641108373596</v>
      </c>
      <c r="W94">
        <v>7.8125542940183201E-2</v>
      </c>
      <c r="X94">
        <v>0.18803293834838</v>
      </c>
      <c r="AA94">
        <v>1.1073654597890199</v>
      </c>
      <c r="AB94">
        <v>2.6585377003966202</v>
      </c>
      <c r="AC94">
        <v>5.2673815686863197</v>
      </c>
      <c r="AD94">
        <v>0.156251085880177</v>
      </c>
      <c r="AE94">
        <v>4.2605992416856697</v>
      </c>
    </row>
    <row r="95" spans="1:31" x14ac:dyDescent="0.2">
      <c r="A95">
        <v>94</v>
      </c>
      <c r="B95">
        <v>760</v>
      </c>
      <c r="C95">
        <v>150</v>
      </c>
      <c r="D95">
        <v>0.43796205778444602</v>
      </c>
      <c r="E95">
        <v>7.8370266051227402</v>
      </c>
      <c r="F95">
        <v>2.2221358083209601</v>
      </c>
      <c r="G95">
        <v>-127.17658292962186</v>
      </c>
      <c r="H95">
        <v>-107.07923368526362</v>
      </c>
      <c r="I95">
        <v>19.4524989056363</v>
      </c>
      <c r="J95">
        <v>10.4506244268955</v>
      </c>
      <c r="K95">
        <v>3.526799116317</v>
      </c>
      <c r="L95">
        <v>1.2982799050745077E-4</v>
      </c>
      <c r="M95">
        <v>1.6559163207708069E-5</v>
      </c>
      <c r="N95" s="1">
        <v>1.9529143774955901E-7</v>
      </c>
      <c r="O95" s="1">
        <v>5.9060372959637999E-9</v>
      </c>
      <c r="P95" s="1">
        <v>-2.9837644389767503E-8</v>
      </c>
      <c r="Q95">
        <v>72.896318260429197</v>
      </c>
      <c r="R95">
        <v>0.200756947112043</v>
      </c>
      <c r="S95">
        <v>12.2446943716348</v>
      </c>
      <c r="T95">
        <v>0.229584438269825</v>
      </c>
      <c r="V95">
        <v>0.52390504586394404</v>
      </c>
      <c r="W95">
        <v>0.12759941370438399</v>
      </c>
      <c r="X95">
        <v>0.19194186517735601</v>
      </c>
      <c r="AA95">
        <v>1.2143311239679899</v>
      </c>
      <c r="AB95">
        <v>2.5760365086418999</v>
      </c>
      <c r="AC95">
        <v>5.2846929552753199</v>
      </c>
      <c r="AD95">
        <v>0.25519882740844602</v>
      </c>
      <c r="AE95">
        <v>4.2549402425145804</v>
      </c>
    </row>
    <row r="96" spans="1:31" x14ac:dyDescent="0.2">
      <c r="A96">
        <v>95</v>
      </c>
      <c r="B96">
        <v>788</v>
      </c>
      <c r="C96">
        <v>125</v>
      </c>
      <c r="D96">
        <v>0.48055458700466802</v>
      </c>
      <c r="E96">
        <v>104.607732444031</v>
      </c>
      <c r="F96">
        <v>2.2067566338789302</v>
      </c>
      <c r="G96">
        <v>-1709.6012442000379</v>
      </c>
      <c r="H96">
        <v>-1430.9764872878552</v>
      </c>
      <c r="I96">
        <v>262.56868200742798</v>
      </c>
      <c r="J96">
        <v>139.31176423984499</v>
      </c>
      <c r="K96">
        <v>47.403384151226902</v>
      </c>
      <c r="L96">
        <v>1.2660570901645447E-4</v>
      </c>
      <c r="M96">
        <v>1.6644833493034803E-5</v>
      </c>
      <c r="N96" s="1">
        <v>2.39570610689989E-6</v>
      </c>
      <c r="O96" s="1">
        <v>7.7502677072578702E-8</v>
      </c>
      <c r="P96" s="1">
        <v>-3.8212885557638302E-7</v>
      </c>
      <c r="Q96">
        <v>74.000265746547498</v>
      </c>
      <c r="R96">
        <v>6.6916659375493501E-2</v>
      </c>
      <c r="S96">
        <v>12.1979510518761</v>
      </c>
      <c r="T96">
        <v>0.19778760834327799</v>
      </c>
      <c r="V96">
        <v>0.46715292608116898</v>
      </c>
      <c r="W96">
        <v>9.5595227679275696E-3</v>
      </c>
      <c r="X96">
        <v>8.6035704911349806E-2</v>
      </c>
      <c r="AA96">
        <v>0.92727370848897905</v>
      </c>
      <c r="AB96">
        <v>3.2215591727916002</v>
      </c>
      <c r="AC96">
        <v>4.7988804294996203</v>
      </c>
      <c r="AD96">
        <v>1.9119045535854799E-2</v>
      </c>
      <c r="AE96">
        <v>4.0074984237809899</v>
      </c>
    </row>
    <row r="97" spans="1:31" x14ac:dyDescent="0.2">
      <c r="A97">
        <v>96</v>
      </c>
      <c r="B97">
        <v>787</v>
      </c>
      <c r="C97">
        <v>125</v>
      </c>
      <c r="D97">
        <v>0.479998585105882</v>
      </c>
      <c r="E97">
        <v>104.410310903511</v>
      </c>
      <c r="F97">
        <v>2.2070049935365899</v>
      </c>
      <c r="G97">
        <v>-1706.0498625553271</v>
      </c>
      <c r="H97">
        <v>-1428.3910563985326</v>
      </c>
      <c r="I97">
        <v>261.905207901518</v>
      </c>
      <c r="J97">
        <v>139.016427093836</v>
      </c>
      <c r="K97">
        <v>47.308597492658798</v>
      </c>
      <c r="L97">
        <v>1.2649191749662041E-4</v>
      </c>
      <c r="M97">
        <v>1.6634797935303173E-5</v>
      </c>
      <c r="N97" s="1">
        <v>2.3924670867963302E-6</v>
      </c>
      <c r="O97" s="1">
        <v>7.7260110214420402E-8</v>
      </c>
      <c r="P97" s="1">
        <v>-3.8101101922675701E-7</v>
      </c>
      <c r="Q97">
        <v>74.026417017478394</v>
      </c>
      <c r="R97">
        <v>6.7043187013100303E-2</v>
      </c>
      <c r="S97">
        <v>12.1804897435714</v>
      </c>
      <c r="T97">
        <v>0.198416459640747</v>
      </c>
      <c r="V97">
        <v>0.46780689556250599</v>
      </c>
      <c r="W97">
        <v>9.5775981447284702E-3</v>
      </c>
      <c r="X97">
        <v>8.6198383302559398E-2</v>
      </c>
      <c r="AA97">
        <v>0.92213980229038195</v>
      </c>
      <c r="AB97">
        <v>3.2122213976481402</v>
      </c>
      <c r="AC97">
        <v>4.80553272896198</v>
      </c>
      <c r="AD97">
        <v>1.9155196289456399E-2</v>
      </c>
      <c r="AE97">
        <v>4.0050015900964704</v>
      </c>
    </row>
    <row r="98" spans="1:31" x14ac:dyDescent="0.2">
      <c r="A98">
        <v>97</v>
      </c>
      <c r="B98">
        <v>786</v>
      </c>
      <c r="C98">
        <v>125</v>
      </c>
      <c r="D98">
        <v>0.47944153330501299</v>
      </c>
      <c r="E98">
        <v>104.100935129408</v>
      </c>
      <c r="F98">
        <v>2.2072413888866902</v>
      </c>
      <c r="G98">
        <v>-1700.6347393228307</v>
      </c>
      <c r="H98">
        <v>-1424.260375104438</v>
      </c>
      <c r="I98">
        <v>260.939776441856</v>
      </c>
      <c r="J98">
        <v>138.56053002892901</v>
      </c>
      <c r="K98">
        <v>47.163366749803501</v>
      </c>
      <c r="L98">
        <v>1.2633037017118441E-4</v>
      </c>
      <c r="M98">
        <v>1.6622222347482966E-5</v>
      </c>
      <c r="N98" s="1">
        <v>2.3857345384403699E-6</v>
      </c>
      <c r="O98" s="1">
        <v>7.69086466176307E-8</v>
      </c>
      <c r="P98" s="1">
        <v>-3.7928902130390197E-7</v>
      </c>
      <c r="Q98">
        <v>74.067461337025605</v>
      </c>
      <c r="R98">
        <v>6.7242431504561301E-2</v>
      </c>
      <c r="S98">
        <v>12.153184529785401</v>
      </c>
      <c r="T98">
        <v>0.19924445304716701</v>
      </c>
      <c r="V98">
        <v>0.468982717193134</v>
      </c>
      <c r="W98">
        <v>9.6060616435085493E-3</v>
      </c>
      <c r="X98">
        <v>8.6454554791581595E-2</v>
      </c>
      <c r="AA98">
        <v>0.91424503317866801</v>
      </c>
      <c r="AB98">
        <v>3.1974806292801499</v>
      </c>
      <c r="AC98">
        <v>4.81592177931494</v>
      </c>
      <c r="AD98">
        <v>1.9212123287016301E-2</v>
      </c>
      <c r="AE98">
        <v>4.0009643499481102</v>
      </c>
    </row>
    <row r="99" spans="1:31" x14ac:dyDescent="0.2">
      <c r="A99">
        <v>98</v>
      </c>
      <c r="B99">
        <v>785</v>
      </c>
      <c r="C99">
        <v>125</v>
      </c>
      <c r="D99">
        <v>0.47888342862543298</v>
      </c>
      <c r="E99">
        <v>103.791431448453</v>
      </c>
      <c r="F99">
        <v>2.2074795665146598</v>
      </c>
      <c r="G99">
        <v>-1695.2198556058381</v>
      </c>
      <c r="H99">
        <v>-1420.1276741699987</v>
      </c>
      <c r="I99">
        <v>259.97465523398301</v>
      </c>
      <c r="J99">
        <v>138.10467371898901</v>
      </c>
      <c r="K99">
        <v>47.018071207937403</v>
      </c>
      <c r="L99">
        <v>1.2616801641724676E-4</v>
      </c>
      <c r="M99">
        <v>1.6609616231145152E-5</v>
      </c>
      <c r="N99" s="1">
        <v>2.3789742406833199E-6</v>
      </c>
      <c r="O99" s="1">
        <v>7.6557400791284002E-8</v>
      </c>
      <c r="P99" s="1">
        <v>-3.7756544808658298E-7</v>
      </c>
      <c r="Q99">
        <v>74.108512555427595</v>
      </c>
      <c r="R99">
        <v>6.7442946901416695E-2</v>
      </c>
      <c r="S99">
        <v>12.125903515613</v>
      </c>
      <c r="T99">
        <v>0.20007813761016299</v>
      </c>
      <c r="V99">
        <v>0.47016567029419798</v>
      </c>
      <c r="W99">
        <v>9.6347067002020993E-3</v>
      </c>
      <c r="X99">
        <v>8.6712360301825303E-2</v>
      </c>
      <c r="AA99">
        <v>0.90652304213818602</v>
      </c>
      <c r="AB99">
        <v>3.18259205189403</v>
      </c>
      <c r="AC99">
        <v>4.8262672916228402</v>
      </c>
      <c r="AD99">
        <v>1.9269413400403099E-2</v>
      </c>
      <c r="AE99">
        <v>3.9968983080960299</v>
      </c>
    </row>
    <row r="100" spans="1:31" x14ac:dyDescent="0.2">
      <c r="A100">
        <v>99</v>
      </c>
      <c r="B100">
        <v>784</v>
      </c>
      <c r="C100">
        <v>125</v>
      </c>
      <c r="D100">
        <v>0.47832426807926898</v>
      </c>
      <c r="E100">
        <v>103.481837853627</v>
      </c>
      <c r="F100">
        <v>2.2077194771400301</v>
      </c>
      <c r="G100">
        <v>-1689.8058600000179</v>
      </c>
      <c r="H100">
        <v>-1415.9934830299892</v>
      </c>
      <c r="I100">
        <v>259.00995787733899</v>
      </c>
      <c r="J100">
        <v>137.64891206729101</v>
      </c>
      <c r="K100">
        <v>46.872729495362002</v>
      </c>
      <c r="L100">
        <v>1.2600487700064472E-4</v>
      </c>
      <c r="M100">
        <v>1.6596981844699695E-5</v>
      </c>
      <c r="N100" s="1">
        <v>2.3721878156616402E-6</v>
      </c>
      <c r="O100" s="1">
        <v>7.6206423769717606E-8</v>
      </c>
      <c r="P100" s="1">
        <v>-3.7584057440982998E-7</v>
      </c>
      <c r="Q100">
        <v>74.149570643747893</v>
      </c>
      <c r="R100">
        <v>6.7644720515125101E-2</v>
      </c>
      <c r="S100">
        <v>12.098646963698901</v>
      </c>
      <c r="T100">
        <v>0.200917501321699</v>
      </c>
      <c r="V100">
        <v>0.47135564334407898</v>
      </c>
      <c r="W100">
        <v>9.6635315021603892E-3</v>
      </c>
      <c r="X100">
        <v>8.6971783519450896E-2</v>
      </c>
      <c r="AA100">
        <v>0.89897251086746399</v>
      </c>
      <c r="AB100">
        <v>3.1675599781045198</v>
      </c>
      <c r="AC100">
        <v>4.83656517138603</v>
      </c>
      <c r="AD100">
        <v>1.9327063004319502E-2</v>
      </c>
      <c r="AE100">
        <v>3.9928044889883099</v>
      </c>
    </row>
    <row r="101" spans="1:31" x14ac:dyDescent="0.2">
      <c r="A101">
        <v>100</v>
      </c>
      <c r="B101">
        <v>783</v>
      </c>
      <c r="C101">
        <v>125</v>
      </c>
      <c r="D101">
        <v>0.47776404866733202</v>
      </c>
      <c r="E101">
        <v>103.172191579592</v>
      </c>
      <c r="F101">
        <v>2.2079610705978601</v>
      </c>
      <c r="G101">
        <v>-1684.3933882547149</v>
      </c>
      <c r="H101">
        <v>-1411.8583209719395</v>
      </c>
      <c r="I101">
        <v>258.04579584602101</v>
      </c>
      <c r="J101">
        <v>137.19329788594001</v>
      </c>
      <c r="K101">
        <v>46.7273598948263</v>
      </c>
      <c r="L101">
        <v>1.2584097295764888E-4</v>
      </c>
      <c r="M101">
        <v>1.658432148020223E-5</v>
      </c>
      <c r="N101" s="1">
        <v>2.3653768756301801E-6</v>
      </c>
      <c r="O101" s="1">
        <v>7.5855765884626502E-8</v>
      </c>
      <c r="P101" s="1">
        <v>-3.7411467170777598E-7</v>
      </c>
      <c r="Q101">
        <v>74.190635631664804</v>
      </c>
      <c r="R101">
        <v>6.7847739713854494E-2</v>
      </c>
      <c r="S101">
        <v>12.0714151020379</v>
      </c>
      <c r="T101">
        <v>0.20176253233630401</v>
      </c>
      <c r="V101">
        <v>0.472552525221558</v>
      </c>
      <c r="W101">
        <v>9.6925342448359597E-3</v>
      </c>
      <c r="X101">
        <v>8.72328082035322E-2</v>
      </c>
      <c r="AA101">
        <v>0.89159208569492998</v>
      </c>
      <c r="AB101">
        <v>3.1523887873094898</v>
      </c>
      <c r="AC101">
        <v>4.8468112499868496</v>
      </c>
      <c r="AD101">
        <v>1.93850684896704E-2</v>
      </c>
      <c r="AE101">
        <v>3.9886839350961401</v>
      </c>
    </row>
    <row r="102" spans="1:31" x14ac:dyDescent="0.2">
      <c r="A102">
        <v>101</v>
      </c>
      <c r="B102">
        <v>782</v>
      </c>
      <c r="C102">
        <v>125</v>
      </c>
      <c r="D102">
        <v>0.47720276737904699</v>
      </c>
      <c r="E102">
        <v>102.86252898114</v>
      </c>
      <c r="F102">
        <v>2.2082042958861998</v>
      </c>
      <c r="G102">
        <v>-1678.9830612877131</v>
      </c>
      <c r="H102">
        <v>-1407.7226954774155</v>
      </c>
      <c r="I102">
        <v>257.082278169262</v>
      </c>
      <c r="J102">
        <v>136.737882730173</v>
      </c>
      <c r="K102">
        <v>46.581980287226799</v>
      </c>
      <c r="L102">
        <v>1.256763255571156E-4</v>
      </c>
      <c r="M102">
        <v>1.6571637461867432E-5</v>
      </c>
      <c r="N102" s="1">
        <v>2.3585430193234601E-6</v>
      </c>
      <c r="O102" s="1">
        <v>7.5505476655305696E-8</v>
      </c>
      <c r="P102" s="1">
        <v>-3.7238800736575601E-7</v>
      </c>
      <c r="Q102">
        <v>74.231707615872196</v>
      </c>
      <c r="R102">
        <v>6.8051992006569501E-2</v>
      </c>
      <c r="S102">
        <v>12.044208119215</v>
      </c>
      <c r="T102">
        <v>0.202613219189576</v>
      </c>
      <c r="V102">
        <v>0.47375620581992001</v>
      </c>
      <c r="W102">
        <v>9.7217131437951805E-3</v>
      </c>
      <c r="X102">
        <v>8.7495418294166599E-2</v>
      </c>
      <c r="AA102">
        <v>0.88438038190527801</v>
      </c>
      <c r="AB102">
        <v>3.1370829185720299</v>
      </c>
      <c r="AC102">
        <v>4.8570012838222398</v>
      </c>
      <c r="AD102">
        <v>1.9443426287588699E-2</v>
      </c>
      <c r="AE102">
        <v>3.9845377058714702</v>
      </c>
    </row>
    <row r="103" spans="1:31" x14ac:dyDescent="0.2">
      <c r="A103">
        <v>102</v>
      </c>
      <c r="B103">
        <v>781</v>
      </c>
      <c r="C103">
        <v>125</v>
      </c>
      <c r="D103">
        <v>0.476640421192431</v>
      </c>
      <c r="E103">
        <v>102.55288540534799</v>
      </c>
      <c r="F103">
        <v>2.2084491012112002</v>
      </c>
      <c r="G103">
        <v>-1673.575483101502</v>
      </c>
      <c r="H103">
        <v>-1403.5871004781561</v>
      </c>
      <c r="I103">
        <v>256.11951109742</v>
      </c>
      <c r="J103">
        <v>136.28271672425399</v>
      </c>
      <c r="K103">
        <v>46.436608092576698</v>
      </c>
      <c r="L103">
        <v>1.2551095626049891E-4</v>
      </c>
      <c r="M103">
        <v>1.6558932144638807E-5</v>
      </c>
      <c r="N103" s="1">
        <v>2.3516878281746198E-6</v>
      </c>
      <c r="O103" s="1">
        <v>7.5155604675489394E-8</v>
      </c>
      <c r="P103" s="1">
        <v>-3.7066084404793497E-7</v>
      </c>
      <c r="Q103">
        <v>74.272786769622499</v>
      </c>
      <c r="R103">
        <v>6.8257465134521605E-2</v>
      </c>
      <c r="S103">
        <v>12.0170261589793</v>
      </c>
      <c r="T103">
        <v>0.203469551036952</v>
      </c>
      <c r="V103">
        <v>0.474966576714139</v>
      </c>
      <c r="W103">
        <v>9.75106644778829E-3</v>
      </c>
      <c r="X103">
        <v>8.7759598030105898E-2</v>
      </c>
      <c r="AA103">
        <v>0.87733598815222602</v>
      </c>
      <c r="AB103">
        <v>3.1216468632722698</v>
      </c>
      <c r="AC103">
        <v>4.8671309530240103</v>
      </c>
      <c r="AD103">
        <v>1.9502132895574599E-2</v>
      </c>
      <c r="AE103">
        <v>3.9803668766904599</v>
      </c>
    </row>
    <row r="104" spans="1:31" x14ac:dyDescent="0.2">
      <c r="A104">
        <v>103</v>
      </c>
      <c r="B104">
        <v>780</v>
      </c>
      <c r="C104">
        <v>125</v>
      </c>
      <c r="D104">
        <v>0.47607700707401701</v>
      </c>
      <c r="E104">
        <v>102.243295065266</v>
      </c>
      <c r="F104">
        <v>2.2086954340290998</v>
      </c>
      <c r="G104">
        <v>-1668.1712387313303</v>
      </c>
      <c r="H104">
        <v>-1399.4520146347777</v>
      </c>
      <c r="I104">
        <v>255.15759777482</v>
      </c>
      <c r="J104">
        <v>135.82784839022301</v>
      </c>
      <c r="K104">
        <v>46.291260211804897</v>
      </c>
      <c r="L104">
        <v>1.2534488668386449E-4</v>
      </c>
      <c r="M104">
        <v>1.6546207913060951E-5</v>
      </c>
      <c r="N104" s="1">
        <v>2.3448128626580699E-6</v>
      </c>
      <c r="O104" s="1">
        <v>7.4806197505055599E-8</v>
      </c>
      <c r="P104" s="1">
        <v>-3.68933439047697E-7</v>
      </c>
      <c r="Q104">
        <v>74.313873352327406</v>
      </c>
      <c r="R104">
        <v>6.8464147165168396E-2</v>
      </c>
      <c r="S104">
        <v>11.9898693148301</v>
      </c>
      <c r="T104">
        <v>0.20433151789925699</v>
      </c>
      <c r="V104">
        <v>0.476183531845363</v>
      </c>
      <c r="W104">
        <v>9.7805924521663506E-3</v>
      </c>
      <c r="X104">
        <v>8.8025332069509604E-2</v>
      </c>
      <c r="AA104">
        <v>0.87045747116467798</v>
      </c>
      <c r="AB104">
        <v>3.1060851578388702</v>
      </c>
      <c r="AC104">
        <v>4.8771958595748401</v>
      </c>
      <c r="AD104">
        <v>1.9561184904330599E-2</v>
      </c>
      <c r="AE104">
        <v>3.9761725379281598</v>
      </c>
    </row>
    <row r="105" spans="1:31" x14ac:dyDescent="0.2">
      <c r="A105">
        <v>104</v>
      </c>
      <c r="B105">
        <v>779</v>
      </c>
      <c r="C105">
        <v>125</v>
      </c>
      <c r="D105">
        <v>0.475512521978807</v>
      </c>
      <c r="E105">
        <v>101.933790914372</v>
      </c>
      <c r="F105">
        <v>2.2089432410853802</v>
      </c>
      <c r="G105">
        <v>-1662.7708922118138</v>
      </c>
      <c r="H105">
        <v>-1395.3178996272839</v>
      </c>
      <c r="I105">
        <v>254.19663791715001</v>
      </c>
      <c r="J105">
        <v>135.37332447829101</v>
      </c>
      <c r="K105">
        <v>46.145952969025302</v>
      </c>
      <c r="L105">
        <v>1.251781385608473E-4</v>
      </c>
      <c r="M105">
        <v>1.6533467180384794E-5</v>
      </c>
      <c r="N105" s="1">
        <v>2.3379196587134902E-6</v>
      </c>
      <c r="O105" s="1">
        <v>7.4457301565266401E-8</v>
      </c>
      <c r="P105" s="1">
        <v>-3.6720604365269401E-7</v>
      </c>
      <c r="Q105">
        <v>74.354967719465606</v>
      </c>
      <c r="R105">
        <v>6.8672026589105997E-2</v>
      </c>
      <c r="S105">
        <v>11.9627376244774</v>
      </c>
      <c r="T105">
        <v>0.20519911091677101</v>
      </c>
      <c r="V105">
        <v>0.477406968226743</v>
      </c>
      <c r="W105">
        <v>9.8102895127287707E-3</v>
      </c>
      <c r="X105">
        <v>8.8292605614573499E-2</v>
      </c>
      <c r="AA105">
        <v>0.86374338064724598</v>
      </c>
      <c r="AB105">
        <v>3.0904023765992799</v>
      </c>
      <c r="AC105">
        <v>4.8871915248008797</v>
      </c>
      <c r="AD105">
        <v>1.9620579025454998E-2</v>
      </c>
      <c r="AE105">
        <v>3.9719557941241002</v>
      </c>
    </row>
    <row r="106" spans="1:31" x14ac:dyDescent="0.2">
      <c r="A106">
        <v>105</v>
      </c>
      <c r="B106">
        <v>778</v>
      </c>
      <c r="C106">
        <v>125</v>
      </c>
      <c r="D106">
        <v>0.47494696285021398</v>
      </c>
      <c r="E106">
        <v>101.624404516917</v>
      </c>
      <c r="F106">
        <v>2.20919246845326</v>
      </c>
      <c r="G106">
        <v>-1657.3749844817492</v>
      </c>
      <c r="H106">
        <v>-1391.1851983909999</v>
      </c>
      <c r="I106">
        <v>253.23672748013999</v>
      </c>
      <c r="J106">
        <v>134.91918979195299</v>
      </c>
      <c r="K106">
        <v>46.000702052034796</v>
      </c>
      <c r="L106">
        <v>1.2501073370346994E-4</v>
      </c>
      <c r="M106">
        <v>1.6520712387712766E-5</v>
      </c>
      <c r="N106" s="1">
        <v>2.3310097240729798E-6</v>
      </c>
      <c r="O106" s="1">
        <v>7.4108962032022901E-8</v>
      </c>
      <c r="P106" s="1">
        <v>-3.6547890249221699E-7</v>
      </c>
      <c r="Q106">
        <v>74.396070333413903</v>
      </c>
      <c r="R106">
        <v>6.8881092423374396E-2</v>
      </c>
      <c r="S106">
        <v>11.935631063826801</v>
      </c>
      <c r="T106">
        <v>0.20607232262106401</v>
      </c>
      <c r="V106">
        <v>0.47863678669493298</v>
      </c>
      <c r="W106">
        <v>9.8401560604813205E-3</v>
      </c>
      <c r="X106">
        <v>8.8561404544348105E-2</v>
      </c>
      <c r="AA106">
        <v>0.85719225433040502</v>
      </c>
      <c r="AB106">
        <v>3.07460312456177</v>
      </c>
      <c r="AC106">
        <v>4.89711338627699</v>
      </c>
      <c r="AD106">
        <v>1.96803121209598E-2</v>
      </c>
      <c r="AE106">
        <v>3.9677177631247802</v>
      </c>
    </row>
    <row r="107" spans="1:31" x14ac:dyDescent="0.2">
      <c r="A107">
        <v>106</v>
      </c>
      <c r="B107">
        <v>777</v>
      </c>
      <c r="C107">
        <v>125</v>
      </c>
      <c r="D107">
        <v>0.47438032662001101</v>
      </c>
      <c r="E107">
        <v>100.50321965016801</v>
      </c>
      <c r="F107">
        <v>2.2097686833896302</v>
      </c>
      <c r="G107">
        <v>-1638.4950620099996</v>
      </c>
      <c r="H107">
        <v>-1375.7138550507411</v>
      </c>
      <c r="I107">
        <v>250.23206871328699</v>
      </c>
      <c r="J107">
        <v>133.393694706166</v>
      </c>
      <c r="K107">
        <v>45.4813304241436</v>
      </c>
      <c r="L107">
        <v>1.248592459228579E-4</v>
      </c>
      <c r="M107">
        <v>1.649799863934849E-5</v>
      </c>
      <c r="N107" s="1">
        <v>2.3033456060142201E-6</v>
      </c>
      <c r="O107" s="1">
        <v>7.3110906540241599E-8</v>
      </c>
      <c r="P107" s="1">
        <v>-3.6093796241380298E-7</v>
      </c>
      <c r="Q107">
        <v>74.3870234633862</v>
      </c>
      <c r="R107">
        <v>6.9649509979539406E-2</v>
      </c>
      <c r="S107">
        <v>11.9303522493574</v>
      </c>
      <c r="T107">
        <v>0.20871543854326</v>
      </c>
      <c r="V107">
        <v>0.48366657599454899</v>
      </c>
      <c r="W107">
        <v>9.9499299970760499E-3</v>
      </c>
      <c r="X107">
        <v>8.9549369973706702E-2</v>
      </c>
      <c r="AA107">
        <v>0.84700552580345501</v>
      </c>
      <c r="AB107">
        <v>3.05420872822567</v>
      </c>
      <c r="AC107">
        <v>4.9401533364108303</v>
      </c>
      <c r="AD107">
        <v>1.9899859994148301E-2</v>
      </c>
      <c r="AE107">
        <v>3.9598260123339801</v>
      </c>
    </row>
    <row r="108" spans="1:31" x14ac:dyDescent="0.2">
      <c r="A108">
        <v>107</v>
      </c>
      <c r="B108">
        <v>776</v>
      </c>
      <c r="C108">
        <v>125</v>
      </c>
      <c r="D108">
        <v>0.47381261020826598</v>
      </c>
      <c r="E108">
        <v>99.001079512230405</v>
      </c>
      <c r="F108">
        <v>2.2105106685864699</v>
      </c>
      <c r="G108">
        <v>-1613.3002445514417</v>
      </c>
      <c r="H108">
        <v>-1354.9251913214634</v>
      </c>
      <c r="I108">
        <v>246.27084137633</v>
      </c>
      <c r="J108">
        <v>131.365999611749</v>
      </c>
      <c r="K108">
        <v>44.786519657711999</v>
      </c>
      <c r="L108">
        <v>1.2471202433638324E-4</v>
      </c>
      <c r="M108">
        <v>1.6470339228320415E-5</v>
      </c>
      <c r="N108" s="1">
        <v>2.26592213184548E-6</v>
      </c>
      <c r="O108" s="1">
        <v>7.1810620480921106E-8</v>
      </c>
      <c r="P108" s="1">
        <v>-3.5506953540215898E-7</v>
      </c>
      <c r="Q108">
        <v>74.354313214373803</v>
      </c>
      <c r="R108">
        <v>7.0706299713990006E-2</v>
      </c>
      <c r="S108">
        <v>11.9352772595378</v>
      </c>
      <c r="T108">
        <v>0.21227397740943199</v>
      </c>
      <c r="V108">
        <v>0.49065277142793701</v>
      </c>
      <c r="W108">
        <v>1.01008999591402E-2</v>
      </c>
      <c r="X108">
        <v>9.0908099632288006E-2</v>
      </c>
      <c r="AA108">
        <v>0.83569338070777799</v>
      </c>
      <c r="AB108">
        <v>3.0308362239755202</v>
      </c>
      <c r="AC108">
        <v>4.9989654075667396</v>
      </c>
      <c r="AD108">
        <v>2.02017999182761E-2</v>
      </c>
      <c r="AE108">
        <v>3.95007066577725</v>
      </c>
    </row>
    <row r="109" spans="1:31" x14ac:dyDescent="0.2">
      <c r="A109">
        <v>108</v>
      </c>
      <c r="B109">
        <v>775</v>
      </c>
      <c r="C109">
        <v>125</v>
      </c>
      <c r="D109">
        <v>0.473243810523307</v>
      </c>
      <c r="E109">
        <v>97.487653382509507</v>
      </c>
      <c r="F109">
        <v>2.2112716495063398</v>
      </c>
      <c r="G109">
        <v>-1587.9354201513952</v>
      </c>
      <c r="H109">
        <v>-1333.9841763965956</v>
      </c>
      <c r="I109">
        <v>242.28521085226299</v>
      </c>
      <c r="J109">
        <v>129.324140463188</v>
      </c>
      <c r="K109">
        <v>44.086692561844799</v>
      </c>
      <c r="L109">
        <v>1.2456077500887686E-4</v>
      </c>
      <c r="M109">
        <v>1.6442259220764445E-5</v>
      </c>
      <c r="N109" s="1">
        <v>2.2281937598753501E-6</v>
      </c>
      <c r="O109" s="1">
        <v>7.0505059048846998E-8</v>
      </c>
      <c r="P109" s="1">
        <v>-3.49153093267018E-7</v>
      </c>
      <c r="Q109">
        <v>74.321006477424604</v>
      </c>
      <c r="R109">
        <v>7.1803964472656204E-2</v>
      </c>
      <c r="S109">
        <v>11.9403323970164</v>
      </c>
      <c r="T109">
        <v>0.21596539387118399</v>
      </c>
      <c r="V109">
        <v>0.49791346656759999</v>
      </c>
      <c r="W109">
        <v>1.02577092103782E-2</v>
      </c>
      <c r="X109">
        <v>9.2319382893431098E-2</v>
      </c>
      <c r="AA109">
        <v>0.82513770971390499</v>
      </c>
      <c r="AB109">
        <v>3.00636000799439</v>
      </c>
      <c r="AC109">
        <v>5.0582942707464396</v>
      </c>
      <c r="AD109">
        <v>2.05154184207515E-2</v>
      </c>
      <c r="AE109">
        <v>3.9400938016681102</v>
      </c>
    </row>
    <row r="110" spans="1:31" x14ac:dyDescent="0.2">
      <c r="A110">
        <v>109</v>
      </c>
      <c r="B110">
        <v>774</v>
      </c>
      <c r="C110">
        <v>125</v>
      </c>
      <c r="D110">
        <v>0.47267392446163797</v>
      </c>
      <c r="E110">
        <v>95.955424437529999</v>
      </c>
      <c r="F110">
        <v>2.2120536441090999</v>
      </c>
      <c r="G110">
        <v>-1562.2778179768175</v>
      </c>
      <c r="H110">
        <v>-1312.787467685944</v>
      </c>
      <c r="I110">
        <v>238.256553780139</v>
      </c>
      <c r="J110">
        <v>127.258168348529</v>
      </c>
      <c r="K110">
        <v>43.378434647399999</v>
      </c>
      <c r="L110">
        <v>1.244053171767833E-4</v>
      </c>
      <c r="M110">
        <v>1.6413734974500975E-5</v>
      </c>
      <c r="N110" s="1">
        <v>2.1899885625621601E-6</v>
      </c>
      <c r="O110" s="1">
        <v>6.9188822825632899E-8</v>
      </c>
      <c r="P110" s="1">
        <v>-3.43161593604109E-7</v>
      </c>
      <c r="Q110">
        <v>74.287018387064407</v>
      </c>
      <c r="R110">
        <v>7.2950539701458705E-2</v>
      </c>
      <c r="S110">
        <v>11.9455159742293</v>
      </c>
      <c r="T110">
        <v>0.21981405169547399</v>
      </c>
      <c r="V110">
        <v>0.50550420606595103</v>
      </c>
      <c r="W110">
        <v>1.0421505671635601E-2</v>
      </c>
      <c r="X110">
        <v>9.3793551044749707E-2</v>
      </c>
      <c r="AA110">
        <v>0.81539734243350404</v>
      </c>
      <c r="AB110">
        <v>2.9806997657546801</v>
      </c>
      <c r="AC110">
        <v>5.1181596001120298</v>
      </c>
      <c r="AD110">
        <v>2.08430113432659E-2</v>
      </c>
      <c r="AE110">
        <v>3.9298820648834401</v>
      </c>
    </row>
    <row r="111" spans="1:31" x14ac:dyDescent="0.2">
      <c r="A111">
        <v>110</v>
      </c>
      <c r="B111">
        <v>773</v>
      </c>
      <c r="C111">
        <v>125</v>
      </c>
      <c r="D111">
        <v>0.472102948907902</v>
      </c>
      <c r="E111">
        <v>94.393638793390807</v>
      </c>
      <c r="F111">
        <v>2.21285959182676</v>
      </c>
      <c r="G111">
        <v>-1536.1518685497972</v>
      </c>
      <c r="H111">
        <v>-1291.1872460889501</v>
      </c>
      <c r="I111">
        <v>234.158220581032</v>
      </c>
      <c r="J111">
        <v>125.15385364302399</v>
      </c>
      <c r="K111">
        <v>42.656858637590503</v>
      </c>
      <c r="L111">
        <v>1.2424538483126E-4</v>
      </c>
      <c r="M111">
        <v>1.6384732649545183E-5</v>
      </c>
      <c r="N111" s="1">
        <v>2.1510592556359902E-6</v>
      </c>
      <c r="O111" s="1">
        <v>6.7854173973556904E-8</v>
      </c>
      <c r="P111" s="1">
        <v>-3.3705607126443597E-7</v>
      </c>
      <c r="Q111">
        <v>74.2522264531502</v>
      </c>
      <c r="R111">
        <v>7.4157539527870395E-2</v>
      </c>
      <c r="S111">
        <v>11.950827005107101</v>
      </c>
      <c r="T111">
        <v>0.223854738583387</v>
      </c>
      <c r="V111">
        <v>0.51350469197964399</v>
      </c>
      <c r="W111">
        <v>1.05939342182657E-2</v>
      </c>
      <c r="X111">
        <v>9.5345407964424506E-2</v>
      </c>
      <c r="AA111">
        <v>0.80656242760671104</v>
      </c>
      <c r="AB111">
        <v>2.9537362382560701</v>
      </c>
      <c r="AC111">
        <v>5.1785874275425599</v>
      </c>
      <c r="AD111">
        <v>2.1187868436525401E-2</v>
      </c>
      <c r="AE111">
        <v>3.9194162676271</v>
      </c>
    </row>
    <row r="112" spans="1:31" x14ac:dyDescent="0.2">
      <c r="A112">
        <v>111</v>
      </c>
      <c r="B112">
        <v>772</v>
      </c>
      <c r="C112">
        <v>125</v>
      </c>
      <c r="D112">
        <v>0.47153088073482102</v>
      </c>
      <c r="E112">
        <v>82.761646023679901</v>
      </c>
      <c r="F112">
        <v>2.21514296570958</v>
      </c>
      <c r="G112">
        <v>-1345.5580487859936</v>
      </c>
      <c r="H112">
        <v>-1131.1954941603317</v>
      </c>
      <c r="I112">
        <v>205.10219071488501</v>
      </c>
      <c r="J112">
        <v>109.72441794588499</v>
      </c>
      <c r="K112">
        <v>37.361762786795403</v>
      </c>
      <c r="L112">
        <v>1.241875545412681E-4</v>
      </c>
      <c r="M112">
        <v>1.6360209999205809E-5</v>
      </c>
      <c r="N112" s="1">
        <v>1.88339598715747E-6</v>
      </c>
      <c r="O112" s="1">
        <v>5.9314194213881001E-8</v>
      </c>
      <c r="P112" s="1">
        <v>-2.9488545208595101E-7</v>
      </c>
      <c r="Q112">
        <v>74.138070972611203</v>
      </c>
      <c r="R112">
        <v>8.4580241407930995E-2</v>
      </c>
      <c r="S112">
        <v>11.943559907115</v>
      </c>
      <c r="T112">
        <v>0.25528654549611002</v>
      </c>
      <c r="V112">
        <v>0.58570429692038395</v>
      </c>
      <c r="W112">
        <v>1.20828916297019E-2</v>
      </c>
      <c r="X112">
        <v>0.108746024667372</v>
      </c>
      <c r="AA112">
        <v>0.83045671984597402</v>
      </c>
      <c r="AB112">
        <v>2.9058136554740899</v>
      </c>
      <c r="AC112">
        <v>5.2019595385695201</v>
      </c>
      <c r="AD112">
        <v>2.4165783259393801E-2</v>
      </c>
      <c r="AE112">
        <v>3.9095734230031498</v>
      </c>
    </row>
    <row r="113" spans="1:31" x14ac:dyDescent="0.2">
      <c r="A113">
        <v>112</v>
      </c>
      <c r="B113">
        <v>771</v>
      </c>
      <c r="C113">
        <v>125</v>
      </c>
      <c r="D113">
        <v>0.47095771680314102</v>
      </c>
      <c r="E113">
        <v>58.633886274112598</v>
      </c>
      <c r="F113">
        <v>2.21772610797291</v>
      </c>
      <c r="G113">
        <v>-952.62577007032837</v>
      </c>
      <c r="H113">
        <v>-801.11085149224357</v>
      </c>
      <c r="I113">
        <v>145.10838344881901</v>
      </c>
      <c r="J113">
        <v>77.750857907895906</v>
      </c>
      <c r="K113">
        <v>26.438741043503398</v>
      </c>
      <c r="L113">
        <v>1.2393489449325065E-4</v>
      </c>
      <c r="M113">
        <v>1.6318346817544967E-5</v>
      </c>
      <c r="N113" s="1">
        <v>1.32972164119355E-6</v>
      </c>
      <c r="O113" s="1">
        <v>4.1814385087641301E-8</v>
      </c>
      <c r="P113" s="1">
        <v>-2.07916252497144E-7</v>
      </c>
      <c r="Q113">
        <v>74.016467022233599</v>
      </c>
      <c r="R113">
        <v>0.102400119735317</v>
      </c>
      <c r="S113">
        <v>11.950150415403501</v>
      </c>
      <c r="T113">
        <v>0.27014426704808397</v>
      </c>
      <c r="V113">
        <v>0.61983258044411604</v>
      </c>
      <c r="W113">
        <v>1.7054984131953301E-2</v>
      </c>
      <c r="X113">
        <v>0.15047085712184999</v>
      </c>
      <c r="AA113">
        <v>0.89191828501119397</v>
      </c>
      <c r="AB113">
        <v>2.8141498991866301</v>
      </c>
      <c r="AC113">
        <v>5.2416443809125601</v>
      </c>
      <c r="AD113">
        <v>3.4109968263881497E-2</v>
      </c>
      <c r="AE113">
        <v>3.89165722050718</v>
      </c>
    </row>
    <row r="114" spans="1:31" x14ac:dyDescent="0.2">
      <c r="A114">
        <v>113</v>
      </c>
      <c r="B114">
        <v>770</v>
      </c>
      <c r="C114">
        <v>125</v>
      </c>
      <c r="D114">
        <v>0.47038345396155901</v>
      </c>
      <c r="E114">
        <v>30.600896069729998</v>
      </c>
      <c r="F114">
        <v>2.22012679616769</v>
      </c>
      <c r="G114">
        <v>-497.03635583555439</v>
      </c>
      <c r="H114">
        <v>-418.17920897867197</v>
      </c>
      <c r="I114">
        <v>75.595213398727296</v>
      </c>
      <c r="J114">
        <v>40.5919042061185</v>
      </c>
      <c r="K114">
        <v>13.783400174509</v>
      </c>
      <c r="L114">
        <v>1.2345779088478534E-4</v>
      </c>
      <c r="M114">
        <v>1.6259784672455289E-5</v>
      </c>
      <c r="N114" s="1">
        <v>6.9014912766359397E-7</v>
      </c>
      <c r="O114" s="1">
        <v>2.1673162591499399E-8</v>
      </c>
      <c r="P114" s="1">
        <v>-1.07720041393335E-7</v>
      </c>
      <c r="Q114">
        <v>73.880640575555304</v>
      </c>
      <c r="R114">
        <v>0.13656663994955401</v>
      </c>
      <c r="S114">
        <v>11.9973779305643</v>
      </c>
      <c r="T114">
        <v>0.255987162099091</v>
      </c>
      <c r="V114">
        <v>0.58660154833296396</v>
      </c>
      <c r="W114">
        <v>3.2678781618709699E-2</v>
      </c>
      <c r="X114">
        <v>0.19100701791931601</v>
      </c>
      <c r="AA114">
        <v>0.98871600592327902</v>
      </c>
      <c r="AB114">
        <v>2.68393302186941</v>
      </c>
      <c r="AC114">
        <v>5.3153500008325203</v>
      </c>
      <c r="AD114">
        <v>6.53575632373503E-2</v>
      </c>
      <c r="AE114">
        <v>3.86578375209815</v>
      </c>
    </row>
    <row r="115" spans="1:31" x14ac:dyDescent="0.2">
      <c r="A115">
        <v>114</v>
      </c>
      <c r="B115">
        <v>769</v>
      </c>
      <c r="C115">
        <v>125</v>
      </c>
      <c r="D115">
        <v>0.46980808904668597</v>
      </c>
      <c r="E115">
        <v>15.0885055200146</v>
      </c>
      <c r="F115">
        <v>2.2225300528921599</v>
      </c>
      <c r="G115">
        <v>-244.98694073588601</v>
      </c>
      <c r="H115">
        <v>-206.20405010596403</v>
      </c>
      <c r="I115">
        <v>37.214307566014398</v>
      </c>
      <c r="J115">
        <v>20.0258302434552</v>
      </c>
      <c r="K115">
        <v>6.7888870615630204</v>
      </c>
      <c r="L115">
        <v>1.2313354479299288E-4</v>
      </c>
      <c r="M115">
        <v>1.6218643463277202E-5</v>
      </c>
      <c r="N115" s="1">
        <v>3.39100001047187E-7</v>
      </c>
      <c r="O115" s="1">
        <v>1.0632382713995501E-8</v>
      </c>
      <c r="P115" s="1">
        <v>-5.2818399606872301E-8</v>
      </c>
      <c r="Q115">
        <v>73.662226149751604</v>
      </c>
      <c r="R115">
        <v>0.177986482978298</v>
      </c>
      <c r="S115">
        <v>12.0815423618834</v>
      </c>
      <c r="T115">
        <v>0.242446308795292</v>
      </c>
      <c r="V115">
        <v>0.55479667760179296</v>
      </c>
      <c r="W115">
        <v>6.6275616141900695E-2</v>
      </c>
      <c r="X115">
        <v>0.19814898596311001</v>
      </c>
      <c r="AA115">
        <v>1.0942661096649799</v>
      </c>
      <c r="AB115">
        <v>2.5712857336567998</v>
      </c>
      <c r="AC115">
        <v>5.3706333594514604</v>
      </c>
      <c r="AD115">
        <v>0.13255123228363999</v>
      </c>
      <c r="AE115">
        <v>3.8478409818275399</v>
      </c>
    </row>
    <row r="116" spans="1:31" x14ac:dyDescent="0.2">
      <c r="A116">
        <v>115</v>
      </c>
      <c r="B116">
        <v>768</v>
      </c>
      <c r="C116">
        <v>125</v>
      </c>
      <c r="D116">
        <v>0.46923161888296799</v>
      </c>
      <c r="E116">
        <v>9.0769890463521605</v>
      </c>
      <c r="F116">
        <v>2.2247649547861599</v>
      </c>
      <c r="G116">
        <v>-147.32158450886905</v>
      </c>
      <c r="H116">
        <v>-124.04228206610298</v>
      </c>
      <c r="I116">
        <v>22.359220518432501</v>
      </c>
      <c r="J116">
        <v>12.057470195134</v>
      </c>
      <c r="K116">
        <v>4.0799766405995799</v>
      </c>
      <c r="L116">
        <v>1.2299772441428945E-4</v>
      </c>
      <c r="M116">
        <v>1.619705775631165E-5</v>
      </c>
      <c r="N116" s="1">
        <v>2.0382095510542699E-7</v>
      </c>
      <c r="O116" s="1">
        <v>6.3790707670566402E-9</v>
      </c>
      <c r="P116" s="1">
        <v>-3.1679944684326797E-8</v>
      </c>
      <c r="Q116">
        <v>73.400331091767995</v>
      </c>
      <c r="R116">
        <v>0.204159789278655</v>
      </c>
      <c r="S116">
        <v>12.176320054542799</v>
      </c>
      <c r="T116">
        <v>0.23397262650647599</v>
      </c>
      <c r="V116">
        <v>0.53476345308165896</v>
      </c>
      <c r="W116">
        <v>0.110168690839309</v>
      </c>
      <c r="X116">
        <v>0.202633499581308</v>
      </c>
      <c r="AA116">
        <v>1.19506272896781</v>
      </c>
      <c r="AB116">
        <v>2.48666624172207</v>
      </c>
      <c r="AC116">
        <v>5.3954190873863599</v>
      </c>
      <c r="AD116">
        <v>0.220337381678304</v>
      </c>
      <c r="AE116">
        <v>3.8401653546471302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94A4D-0D6E-4C8D-9502-45A64F055D47}">
  <sheetPr codeName="Sheet5"/>
  <dimension ref="A1:P116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758</v>
      </c>
      <c r="C2">
        <v>275</v>
      </c>
      <c r="D2">
        <v>0.303389904475587</v>
      </c>
      <c r="E2">
        <v>4.4345491282680998</v>
      </c>
      <c r="F2">
        <v>0.55326323210226602</v>
      </c>
      <c r="G2">
        <v>-96.132665716700799</v>
      </c>
      <c r="H2">
        <v>-56.434478930806208</v>
      </c>
      <c r="I2">
        <v>38.501405719069197</v>
      </c>
      <c r="J2">
        <v>17.1135266442753</v>
      </c>
      <c r="K2">
        <v>8.0152608576895403</v>
      </c>
      <c r="L2">
        <v>1.1987485172768263E-3</v>
      </c>
      <c r="M2">
        <v>1.9460985494651061E-4</v>
      </c>
      <c r="N2" s="1">
        <v>6.1901830379358704E-6</v>
      </c>
      <c r="O2" s="1">
        <v>1.26964471224515E-6</v>
      </c>
      <c r="P2" s="1">
        <v>-4.6976452764604599E-6</v>
      </c>
    </row>
    <row r="3" spans="1:16" x14ac:dyDescent="0.2">
      <c r="A3">
        <v>2</v>
      </c>
      <c r="B3">
        <v>757</v>
      </c>
      <c r="C3">
        <v>275</v>
      </c>
      <c r="D3">
        <v>0.30264573120419402</v>
      </c>
      <c r="E3">
        <v>4.6410514637756197</v>
      </c>
      <c r="F3">
        <v>0.57272028447167</v>
      </c>
      <c r="G3">
        <v>-99.524876805071429</v>
      </c>
      <c r="H3">
        <v>-59.381771575691587</v>
      </c>
      <c r="I3">
        <v>38.970683603042197</v>
      </c>
      <c r="J3">
        <v>17.392058674142099</v>
      </c>
      <c r="K3">
        <v>8.1035220675952804</v>
      </c>
      <c r="L3">
        <v>1.1880830488534937E-3</v>
      </c>
      <c r="M3">
        <v>1.9243378274585163E-4</v>
      </c>
      <c r="N3" s="1">
        <v>6.2547711980122402E-6</v>
      </c>
      <c r="O3" s="1">
        <v>1.2686322464282801E-6</v>
      </c>
      <c r="P3" s="1">
        <v>-4.7079859723565501E-6</v>
      </c>
    </row>
    <row r="4" spans="1:16" x14ac:dyDescent="0.2">
      <c r="A4">
        <v>3</v>
      </c>
      <c r="B4">
        <v>756</v>
      </c>
      <c r="C4">
        <v>275</v>
      </c>
      <c r="D4">
        <v>0.30190011174270298</v>
      </c>
      <c r="E4">
        <v>4.86655266491272</v>
      </c>
      <c r="F4">
        <v>0.59344155747327798</v>
      </c>
      <c r="G4">
        <v>-103.23103730617869</v>
      </c>
      <c r="H4">
        <v>-62.59942242646526</v>
      </c>
      <c r="I4">
        <v>39.483230506569399</v>
      </c>
      <c r="J4">
        <v>17.695168807417598</v>
      </c>
      <c r="K4">
        <v>8.2005592692787594</v>
      </c>
      <c r="L4">
        <v>1.1766302800744152E-3</v>
      </c>
      <c r="M4">
        <v>1.9014012321250174E-4</v>
      </c>
      <c r="N4" s="1">
        <v>6.3210322079806098E-6</v>
      </c>
      <c r="O4" s="1">
        <v>1.26786712289386E-6</v>
      </c>
      <c r="P4" s="1">
        <v>-4.71927669026438E-6</v>
      </c>
    </row>
    <row r="5" spans="1:16" x14ac:dyDescent="0.2">
      <c r="A5">
        <v>4</v>
      </c>
      <c r="B5">
        <v>755</v>
      </c>
      <c r="C5">
        <v>275</v>
      </c>
      <c r="D5">
        <v>0.30115304187132302</v>
      </c>
      <c r="E5">
        <v>5.0909248751892502</v>
      </c>
      <c r="F5">
        <v>0.613585895363843</v>
      </c>
      <c r="G5">
        <v>-106.91737345636439</v>
      </c>
      <c r="H5">
        <v>-65.801658487689423</v>
      </c>
      <c r="I5">
        <v>39.992485567544001</v>
      </c>
      <c r="J5">
        <v>17.996747797587901</v>
      </c>
      <c r="K5">
        <v>8.2970044025709608</v>
      </c>
      <c r="L5">
        <v>1.1654999795376133E-3</v>
      </c>
      <c r="M5">
        <v>1.8790750767693479E-4</v>
      </c>
      <c r="N5" s="1">
        <v>6.3875249289038596E-6</v>
      </c>
      <c r="O5" s="1">
        <v>1.2670548134119801E-6</v>
      </c>
      <c r="P5" s="1">
        <v>-4.73042618966226E-6</v>
      </c>
    </row>
    <row r="6" spans="1:16" x14ac:dyDescent="0.2">
      <c r="A6">
        <v>5</v>
      </c>
      <c r="B6">
        <v>754</v>
      </c>
      <c r="C6">
        <v>275</v>
      </c>
      <c r="D6">
        <v>0.30040451735384299</v>
      </c>
      <c r="E6">
        <v>5.3141772749574701</v>
      </c>
      <c r="F6">
        <v>0.63317816712568697</v>
      </c>
      <c r="G6">
        <v>-110.58404702781337</v>
      </c>
      <c r="H6">
        <v>-68.988605418601452</v>
      </c>
      <c r="I6">
        <v>40.498474330198697</v>
      </c>
      <c r="J6">
        <v>18.296807482476702</v>
      </c>
      <c r="K6">
        <v>8.3928624688390308</v>
      </c>
      <c r="L6">
        <v>1.1546781194175428E-3</v>
      </c>
      <c r="M6">
        <v>1.8573330896162377E-4</v>
      </c>
      <c r="N6" s="1">
        <v>6.4542462806381302E-6</v>
      </c>
      <c r="O6" s="1">
        <v>1.2661957580086E-6</v>
      </c>
      <c r="P6" s="1">
        <v>-4.7414345714886501E-6</v>
      </c>
    </row>
    <row r="7" spans="1:16" x14ac:dyDescent="0.2">
      <c r="A7">
        <v>6</v>
      </c>
      <c r="B7">
        <v>753</v>
      </c>
      <c r="C7">
        <v>275</v>
      </c>
      <c r="D7">
        <v>0.29965453393753799</v>
      </c>
      <c r="E7">
        <v>5.5363189438495102</v>
      </c>
      <c r="F7">
        <v>0.65224183119407098</v>
      </c>
      <c r="G7">
        <v>-114.23121802204035</v>
      </c>
      <c r="H7">
        <v>-72.160387498070534</v>
      </c>
      <c r="I7">
        <v>41.001222057980399</v>
      </c>
      <c r="J7">
        <v>18.595359564545401</v>
      </c>
      <c r="K7">
        <v>8.4881384159523492</v>
      </c>
      <c r="L7">
        <v>1.1441514673197325E-3</v>
      </c>
      <c r="M7">
        <v>1.8361504903510877E-4</v>
      </c>
      <c r="N7" s="1">
        <v>6.5211931576235797E-6</v>
      </c>
      <c r="O7" s="1">
        <v>1.2652903943423299E-6</v>
      </c>
      <c r="P7" s="1">
        <v>-4.7523019356894697E-6</v>
      </c>
    </row>
    <row r="8" spans="1:16" x14ac:dyDescent="0.2">
      <c r="A8">
        <v>7</v>
      </c>
      <c r="B8">
        <v>752</v>
      </c>
      <c r="C8">
        <v>275</v>
      </c>
      <c r="D8">
        <v>0.29890308735307097</v>
      </c>
      <c r="E8">
        <v>5.7573588627215004</v>
      </c>
      <c r="F8">
        <v>0.67079903407431696</v>
      </c>
      <c r="G8">
        <v>-117.8590447039339</v>
      </c>
      <c r="H8">
        <v>-75.317127651391957</v>
      </c>
      <c r="I8">
        <v>41.500753739251898</v>
      </c>
      <c r="J8">
        <v>18.8924156137114</v>
      </c>
      <c r="K8">
        <v>8.5828371393922502</v>
      </c>
      <c r="L8">
        <v>1.1339075306759261E-3</v>
      </c>
      <c r="M8">
        <v>1.8155038858523416E-4</v>
      </c>
      <c r="N8" s="1">
        <v>6.5883624292910196E-6</v>
      </c>
      <c r="O8" s="1">
        <v>1.26433915777911E-6</v>
      </c>
      <c r="P8" s="1">
        <v>-4.7630283814975602E-6</v>
      </c>
    </row>
    <row r="9" spans="1:16" x14ac:dyDescent="0.2">
      <c r="A9">
        <v>8</v>
      </c>
      <c r="B9">
        <v>751</v>
      </c>
      <c r="C9">
        <v>275</v>
      </c>
      <c r="D9">
        <v>0.29815017331445698</v>
      </c>
      <c r="E9">
        <v>5.9773059162650801</v>
      </c>
      <c r="F9">
        <v>0.68887070086623503</v>
      </c>
      <c r="G9">
        <v>-121.46768364616183</v>
      </c>
      <c r="H9">
        <v>-78.458947486771223</v>
      </c>
      <c r="I9">
        <v>41.997094093684403</v>
      </c>
      <c r="J9">
        <v>19.187987070686201</v>
      </c>
      <c r="K9">
        <v>8.6769634834937701</v>
      </c>
      <c r="L9">
        <v>1.12393450569946E-3</v>
      </c>
      <c r="M9">
        <v>1.7953711744863381E-4</v>
      </c>
      <c r="N9" s="1">
        <v>6.6557509403474201E-6</v>
      </c>
      <c r="O9" s="1">
        <v>1.2633424814399901E-6</v>
      </c>
      <c r="P9" s="1">
        <v>-4.7736140076152898E-6</v>
      </c>
    </row>
    <row r="10" spans="1:16" x14ac:dyDescent="0.2">
      <c r="A10">
        <v>9</v>
      </c>
      <c r="B10">
        <v>750</v>
      </c>
      <c r="C10">
        <v>275</v>
      </c>
      <c r="D10">
        <v>0.29739578751893703</v>
      </c>
      <c r="E10">
        <v>6.1961688918398998</v>
      </c>
      <c r="F10">
        <v>0.70647661810579498</v>
      </c>
      <c r="G10">
        <v>-125.0572897111867</v>
      </c>
      <c r="H10">
        <v>-81.585967278066917</v>
      </c>
      <c r="I10">
        <v>42.490267570233001</v>
      </c>
      <c r="J10">
        <v>19.4820852455425</v>
      </c>
      <c r="K10">
        <v>8.7705222409951205</v>
      </c>
      <c r="L10">
        <v>1.114221230685288E-3</v>
      </c>
      <c r="M10">
        <v>1.7757314584964553E-4</v>
      </c>
      <c r="N10" s="1">
        <v>6.7233555108481803E-6</v>
      </c>
      <c r="O10" s="1">
        <v>1.26230079620693E-6</v>
      </c>
      <c r="P10" s="1">
        <v>-4.7840589122402902E-6</v>
      </c>
    </row>
    <row r="11" spans="1:16" x14ac:dyDescent="0.2">
      <c r="A11">
        <v>10</v>
      </c>
      <c r="B11">
        <v>749</v>
      </c>
      <c r="C11">
        <v>275</v>
      </c>
      <c r="D11">
        <v>0.29663992564692099</v>
      </c>
      <c r="E11">
        <v>6.41395648227995</v>
      </c>
      <c r="F11">
        <v>0.72363551024675798</v>
      </c>
      <c r="G11">
        <v>-128.62801609919001</v>
      </c>
      <c r="H11">
        <v>-84.698306003964774</v>
      </c>
      <c r="I11">
        <v>42.980298354372998</v>
      </c>
      <c r="J11">
        <v>19.774721321473098</v>
      </c>
      <c r="K11">
        <v>8.8635181544543205</v>
      </c>
      <c r="L11">
        <v>1.1047571428825676E-3</v>
      </c>
      <c r="M11">
        <v>1.7565649631470578E-4</v>
      </c>
      <c r="N11" s="1">
        <v>6.79117293661018E-6</v>
      </c>
      <c r="O11" s="1">
        <v>1.26121453078963E-6</v>
      </c>
      <c r="P11" s="1">
        <v>-4.7943631933239901E-6</v>
      </c>
    </row>
    <row r="12" spans="1:16" x14ac:dyDescent="0.2">
      <c r="A12">
        <v>11</v>
      </c>
      <c r="B12">
        <v>748</v>
      </c>
      <c r="C12">
        <v>275</v>
      </c>
      <c r="D12">
        <v>0.29588258336189799</v>
      </c>
      <c r="E12">
        <v>6.63067728781244</v>
      </c>
      <c r="F12">
        <v>0.74036511000399396</v>
      </c>
      <c r="G12">
        <v>-132.18001438098241</v>
      </c>
      <c r="H12">
        <v>-87.796081374644714</v>
      </c>
      <c r="I12">
        <v>43.4672103729241</v>
      </c>
      <c r="J12">
        <v>20.065906357262801</v>
      </c>
      <c r="K12">
        <v>8.9559559171780396</v>
      </c>
      <c r="L12">
        <v>1.0955322388312835E-3</v>
      </c>
      <c r="M12">
        <v>1.7378529623514362E-4</v>
      </c>
      <c r="N12" s="1">
        <v>6.8591999894799502E-6</v>
      </c>
      <c r="O12" s="1">
        <v>1.26008411176388E-6</v>
      </c>
      <c r="P12" s="1">
        <v>-4.80452694872452E-6</v>
      </c>
    </row>
    <row r="13" spans="1:16" x14ac:dyDescent="0.2">
      <c r="A13">
        <v>12</v>
      </c>
      <c r="B13">
        <v>747</v>
      </c>
      <c r="C13">
        <v>275</v>
      </c>
      <c r="D13">
        <v>0.29512375631034898</v>
      </c>
      <c r="E13">
        <v>6.8463398159512998</v>
      </c>
      <c r="F13">
        <v>0.75668222302808597</v>
      </c>
      <c r="G13">
        <v>-135.7134344977718</v>
      </c>
      <c r="H13">
        <v>-90.879409829555939</v>
      </c>
      <c r="I13">
        <v>43.951027294735802</v>
      </c>
      <c r="J13">
        <v>20.355651287338599</v>
      </c>
      <c r="K13">
        <v>9.0478401733209193</v>
      </c>
      <c r="L13">
        <v>1.0865370379015402E-3</v>
      </c>
      <c r="M13">
        <v>1.7195777102771854E-4</v>
      </c>
      <c r="N13" s="1">
        <v>6.9274334175777302E-6</v>
      </c>
      <c r="O13" s="1">
        <v>1.25890996360242E-6</v>
      </c>
      <c r="P13" s="1">
        <v>-4.81455027633372E-6</v>
      </c>
    </row>
    <row r="14" spans="1:16" x14ac:dyDescent="0.2">
      <c r="A14">
        <v>13</v>
      </c>
      <c r="B14">
        <v>746</v>
      </c>
      <c r="C14">
        <v>275</v>
      </c>
      <c r="D14">
        <v>0.29436344012167098</v>
      </c>
      <c r="E14">
        <v>7.06095248266654</v>
      </c>
      <c r="F14">
        <v>0.77260278767925605</v>
      </c>
      <c r="G14">
        <v>-139.22842478168465</v>
      </c>
      <c r="H14">
        <v>-93.948406553431539</v>
      </c>
      <c r="I14">
        <v>44.431772533844502</v>
      </c>
      <c r="J14">
        <v>20.643966923300699</v>
      </c>
      <c r="K14">
        <v>9.1391755184785595</v>
      </c>
      <c r="L14">
        <v>1.0777625485918502E-3</v>
      </c>
      <c r="M14">
        <v>1.7017223781443336E-4</v>
      </c>
      <c r="N14" s="1">
        <v>6.9958699455532903E-6</v>
      </c>
      <c r="O14" s="1">
        <v>1.2576925087046799E-6</v>
      </c>
      <c r="P14" s="1">
        <v>-4.8244332742017702E-6</v>
      </c>
    </row>
    <row r="15" spans="1:16" x14ac:dyDescent="0.2">
      <c r="A15">
        <v>14</v>
      </c>
      <c r="B15">
        <v>745</v>
      </c>
      <c r="C15">
        <v>275</v>
      </c>
      <c r="D15">
        <v>0.29360163040809401</v>
      </c>
      <c r="E15">
        <v>7.2745236144260002</v>
      </c>
      <c r="F15">
        <v>0.78814193029857005</v>
      </c>
      <c r="G15">
        <v>-142.72513199063445</v>
      </c>
      <c r="H15">
        <v>-97.003185504735043</v>
      </c>
      <c r="I15">
        <v>44.909469254529</v>
      </c>
      <c r="J15">
        <v>20.930863956533699</v>
      </c>
      <c r="K15">
        <v>9.2299665006659506</v>
      </c>
      <c r="L15">
        <v>1.06920023736285E-3</v>
      </c>
      <c r="M15">
        <v>1.6842709957902649E-4</v>
      </c>
      <c r="N15" s="1">
        <v>7.0645062748781999E-6</v>
      </c>
      <c r="O15" s="1">
        <v>1.2564321674336801E-6</v>
      </c>
      <c r="P15" s="1">
        <v>-4.8341760406902198E-6</v>
      </c>
    </row>
    <row r="16" spans="1:16" x14ac:dyDescent="0.2">
      <c r="A16">
        <v>15</v>
      </c>
      <c r="B16">
        <v>744</v>
      </c>
      <c r="C16">
        <v>275</v>
      </c>
      <c r="D16">
        <v>0.29283832276459099</v>
      </c>
      <c r="E16">
        <v>7.4870614501584001</v>
      </c>
      <c r="F16">
        <v>0.80331401629014398</v>
      </c>
      <c r="G16">
        <v>-146.20370134246627</v>
      </c>
      <c r="H16">
        <v>-100.04385944282933</v>
      </c>
      <c r="I16">
        <v>45.384140376941097</v>
      </c>
      <c r="J16">
        <v>21.216352961035099</v>
      </c>
      <c r="K16">
        <v>9.3202176214166705</v>
      </c>
      <c r="L16">
        <v>1.0608419998343283E-3</v>
      </c>
      <c r="M16">
        <v>1.6672083976622694E-4</v>
      </c>
      <c r="N16" s="1">
        <v>7.1333390843322401E-6</v>
      </c>
      <c r="O16" s="1">
        <v>1.2551293581830199E-6</v>
      </c>
      <c r="P16" s="1">
        <v>-4.8437786747437996E-6</v>
      </c>
    </row>
    <row r="17" spans="1:16" x14ac:dyDescent="0.2">
      <c r="A17">
        <v>16</v>
      </c>
      <c r="B17">
        <v>743</v>
      </c>
      <c r="C17">
        <v>275</v>
      </c>
      <c r="D17">
        <v>0.29207351276878402</v>
      </c>
      <c r="E17">
        <v>7.6985741399042498</v>
      </c>
      <c r="F17">
        <v>0.81813269719792803</v>
      </c>
      <c r="G17">
        <v>-149.66427649335719</v>
      </c>
      <c r="H17">
        <v>-103.0705399083311</v>
      </c>
      <c r="I17">
        <v>45.855808573981598</v>
      </c>
      <c r="J17">
        <v>21.5004443914824</v>
      </c>
      <c r="K17">
        <v>9.4099333351075707</v>
      </c>
      <c r="L17">
        <v>1.0526801342494012E-3</v>
      </c>
      <c r="M17">
        <v>1.6505201730229442E-4</v>
      </c>
      <c r="N17" s="1">
        <v>7.2023650299708598E-6</v>
      </c>
      <c r="O17" s="1">
        <v>1.25378449734957E-6</v>
      </c>
      <c r="P17" s="1">
        <v>-4.8532412758014197E-6</v>
      </c>
    </row>
    <row r="18" spans="1:16" x14ac:dyDescent="0.2">
      <c r="A18">
        <v>17</v>
      </c>
      <c r="B18">
        <v>742</v>
      </c>
      <c r="C18">
        <v>275</v>
      </c>
      <c r="D18">
        <v>0.291307195980888</v>
      </c>
      <c r="E18">
        <v>7.9090697485207002</v>
      </c>
      <c r="F18">
        <v>0.83261095462674795</v>
      </c>
      <c r="G18">
        <v>-153.10699960111836</v>
      </c>
      <c r="H18">
        <v>-106.083337274953</v>
      </c>
      <c r="I18">
        <v>46.324496281371097</v>
      </c>
      <c r="J18">
        <v>21.783148588504201</v>
      </c>
      <c r="K18">
        <v>9.4991180509584598</v>
      </c>
      <c r="L18">
        <v>1.0447073167041186E-3</v>
      </c>
      <c r="M18">
        <v>1.634192619526311E-4</v>
      </c>
      <c r="N18" s="1">
        <v>7.2715807458663198E-6</v>
      </c>
      <c r="O18" s="1">
        <v>1.25239799944211E-6</v>
      </c>
      <c r="P18" s="1">
        <v>-4.8625639442323601E-6</v>
      </c>
    </row>
    <row r="19" spans="1:16" x14ac:dyDescent="0.2">
      <c r="A19">
        <v>18</v>
      </c>
      <c r="B19">
        <v>741</v>
      </c>
      <c r="C19">
        <v>275</v>
      </c>
      <c r="D19">
        <v>0.29053936794360102</v>
      </c>
      <c r="E19">
        <v>9.1268756586727893</v>
      </c>
      <c r="F19">
        <v>0.90719808151215497</v>
      </c>
      <c r="G19">
        <v>-172.85519755317051</v>
      </c>
      <c r="H19">
        <v>-122.98639153668063</v>
      </c>
      <c r="I19">
        <v>49.175658235061803</v>
      </c>
      <c r="J19">
        <v>23.396438464182701</v>
      </c>
      <c r="K19">
        <v>10.060510317063001</v>
      </c>
      <c r="L19">
        <v>1.0004106918326025E-3</v>
      </c>
      <c r="M19">
        <v>1.5607302036681379E-4</v>
      </c>
      <c r="N19" s="1">
        <v>7.4212634470820704E-6</v>
      </c>
      <c r="O19" s="1">
        <v>1.2655543191877601E-6</v>
      </c>
      <c r="P19" s="1">
        <v>-4.9285122806141904E-6</v>
      </c>
    </row>
    <row r="20" spans="1:16" x14ac:dyDescent="0.2">
      <c r="A20">
        <v>19</v>
      </c>
      <c r="B20">
        <v>740</v>
      </c>
      <c r="C20">
        <v>275</v>
      </c>
      <c r="D20">
        <v>0.28977002418201098</v>
      </c>
      <c r="E20">
        <v>26.622215263860099</v>
      </c>
      <c r="F20">
        <v>1.4471313625282001</v>
      </c>
      <c r="G20">
        <v>-458.47523949236916</v>
      </c>
      <c r="H20">
        <v>-365.77147418479836</v>
      </c>
      <c r="I20">
        <v>91.503790713904493</v>
      </c>
      <c r="J20">
        <v>47.009538381252902</v>
      </c>
      <c r="K20">
        <v>18.3965436402055</v>
      </c>
      <c r="L20">
        <v>6.7786483521612611E-4</v>
      </c>
      <c r="M20">
        <v>1.0500233538051577E-4</v>
      </c>
      <c r="N20" s="1">
        <v>9.0330480387813605E-6</v>
      </c>
      <c r="O20" s="1">
        <v>1.5482489143830499E-6</v>
      </c>
      <c r="P20" s="1">
        <v>-6.0470579734584303E-6</v>
      </c>
    </row>
    <row r="21" spans="1:16" x14ac:dyDescent="0.2">
      <c r="A21">
        <v>20</v>
      </c>
      <c r="B21">
        <v>739</v>
      </c>
      <c r="C21">
        <v>275</v>
      </c>
      <c r="D21">
        <v>0.28899916020352701</v>
      </c>
      <c r="E21">
        <v>85.824507561028696</v>
      </c>
      <c r="F21">
        <v>1.8430134974359</v>
      </c>
      <c r="G21">
        <v>-1420.9224474067946</v>
      </c>
      <c r="H21">
        <v>-1183.0573328155226</v>
      </c>
      <c r="I21">
        <v>235.01508804111401</v>
      </c>
      <c r="J21">
        <v>127.01061754979401</v>
      </c>
      <c r="K21">
        <v>46.567487259551797</v>
      </c>
      <c r="L21">
        <v>4.456635534354477E-4</v>
      </c>
      <c r="M21">
        <v>6.83121344409428E-5</v>
      </c>
      <c r="N21" s="1">
        <v>1.44694707027554E-5</v>
      </c>
      <c r="O21" s="1">
        <v>2.5271981550701698E-6</v>
      </c>
      <c r="P21" s="1">
        <v>-9.8986194455737798E-6</v>
      </c>
    </row>
    <row r="22" spans="1:16" x14ac:dyDescent="0.2">
      <c r="A22">
        <v>21</v>
      </c>
      <c r="B22">
        <v>738</v>
      </c>
      <c r="C22">
        <v>275</v>
      </c>
      <c r="D22">
        <v>0.28822677149780002</v>
      </c>
      <c r="E22">
        <v>101.768698495189</v>
      </c>
      <c r="F22">
        <v>1.8800811259189301</v>
      </c>
      <c r="G22">
        <v>-1679.791653548564</v>
      </c>
      <c r="H22">
        <v>-1403.2180081082695</v>
      </c>
      <c r="I22">
        <v>273.529762485128</v>
      </c>
      <c r="J22">
        <v>148.590068391708</v>
      </c>
      <c r="K22">
        <v>54.129950613406599</v>
      </c>
      <c r="L22">
        <v>4.2435762897263042E-4</v>
      </c>
      <c r="M22">
        <v>6.4810645114555794E-5</v>
      </c>
      <c r="N22" s="1">
        <v>1.6001883181882301E-5</v>
      </c>
      <c r="O22" s="1">
        <v>2.7819217489415801E-6</v>
      </c>
      <c r="P22" s="1">
        <v>-1.09290243334713E-5</v>
      </c>
    </row>
    <row r="23" spans="1:16" x14ac:dyDescent="0.2">
      <c r="A23">
        <v>22</v>
      </c>
      <c r="B23">
        <v>759</v>
      </c>
      <c r="C23">
        <v>250</v>
      </c>
      <c r="D23">
        <v>0.33077604999273502</v>
      </c>
      <c r="E23">
        <v>4.8272914662431399</v>
      </c>
      <c r="F23">
        <v>0.52413384568172094</v>
      </c>
      <c r="G23">
        <v>-104.91260517988826</v>
      </c>
      <c r="H23">
        <v>-61.35008056369778</v>
      </c>
      <c r="I23">
        <v>42.208290547688897</v>
      </c>
      <c r="J23">
        <v>18.800209604062701</v>
      </c>
      <c r="K23">
        <v>9.2100357685630101</v>
      </c>
      <c r="L23">
        <v>1.2932992560888324E-3</v>
      </c>
      <c r="M23">
        <v>2.2978861796121934E-4</v>
      </c>
      <c r="N23" s="1">
        <v>7.1394123473446202E-6</v>
      </c>
      <c r="O23" s="1">
        <v>1.9627233158414102E-6</v>
      </c>
      <c r="P23" s="1">
        <v>-6.5232676532694396E-6</v>
      </c>
    </row>
    <row r="24" spans="1:16" x14ac:dyDescent="0.2">
      <c r="A24">
        <v>23</v>
      </c>
      <c r="B24">
        <v>758</v>
      </c>
      <c r="C24">
        <v>250</v>
      </c>
      <c r="D24">
        <v>0.330059157251614</v>
      </c>
      <c r="E24">
        <v>4.8286300057228004</v>
      </c>
      <c r="F24">
        <v>0.52481238107299999</v>
      </c>
      <c r="G24">
        <v>-104.89948507777089</v>
      </c>
      <c r="H24">
        <v>-61.38590216003746</v>
      </c>
      <c r="I24">
        <v>42.201761292085997</v>
      </c>
      <c r="J24">
        <v>18.814753012467101</v>
      </c>
      <c r="K24">
        <v>9.2006785279159704</v>
      </c>
      <c r="L24">
        <v>1.2941935850456405E-3</v>
      </c>
      <c r="M24">
        <v>2.2937696661968069E-4</v>
      </c>
      <c r="N24" s="1">
        <v>7.2108779237169104E-6</v>
      </c>
      <c r="O24" s="1">
        <v>1.9566607893170798E-6</v>
      </c>
      <c r="P24" s="1">
        <v>-6.5239019653826198E-6</v>
      </c>
    </row>
    <row r="25" spans="1:16" x14ac:dyDescent="0.2">
      <c r="A25">
        <v>24</v>
      </c>
      <c r="B25">
        <v>757</v>
      </c>
      <c r="C25">
        <v>250</v>
      </c>
      <c r="D25">
        <v>0.32934087268844398</v>
      </c>
      <c r="E25">
        <v>5.0481029086007503</v>
      </c>
      <c r="F25">
        <v>0.54320139890542196</v>
      </c>
      <c r="G25">
        <v>-108.50324785820283</v>
      </c>
      <c r="H25">
        <v>-64.521641289156918</v>
      </c>
      <c r="I25">
        <v>42.697060324630201</v>
      </c>
      <c r="J25">
        <v>19.111377802792799</v>
      </c>
      <c r="K25">
        <v>9.2932435718555393</v>
      </c>
      <c r="L25">
        <v>1.2837141026984548E-3</v>
      </c>
      <c r="M25">
        <v>2.2696534269673818E-4</v>
      </c>
      <c r="N25" s="1">
        <v>7.2986514099689298E-6</v>
      </c>
      <c r="O25" s="1">
        <v>1.9549061100854898E-6</v>
      </c>
      <c r="P25" s="1">
        <v>-6.5388989640895901E-6</v>
      </c>
    </row>
    <row r="26" spans="1:16" x14ac:dyDescent="0.2">
      <c r="A26">
        <v>25</v>
      </c>
      <c r="B26">
        <v>756</v>
      </c>
      <c r="C26">
        <v>250</v>
      </c>
      <c r="D26">
        <v>0.32862119224602798</v>
      </c>
      <c r="E26">
        <v>5.2667684203900498</v>
      </c>
      <c r="F26">
        <v>0.56116819542155705</v>
      </c>
      <c r="G26">
        <v>-112.09256536169561</v>
      </c>
      <c r="H26">
        <v>-67.646504387214691</v>
      </c>
      <c r="I26">
        <v>43.189853720583102</v>
      </c>
      <c r="J26">
        <v>19.406905115859399</v>
      </c>
      <c r="K26">
        <v>9.3853651425016604</v>
      </c>
      <c r="L26">
        <v>1.2734773037650356E-3</v>
      </c>
      <c r="M26">
        <v>2.2460626382362381E-4</v>
      </c>
      <c r="N26" s="1">
        <v>7.3868396216512097E-6</v>
      </c>
      <c r="O26" s="1">
        <v>1.9530913960845501E-6</v>
      </c>
      <c r="P26" s="1">
        <v>-6.5537401049750199E-6</v>
      </c>
    </row>
    <row r="27" spans="1:16" x14ac:dyDescent="0.2">
      <c r="A27">
        <v>26</v>
      </c>
      <c r="B27">
        <v>755</v>
      </c>
      <c r="C27">
        <v>250</v>
      </c>
      <c r="D27">
        <v>0.32790011185138401</v>
      </c>
      <c r="E27">
        <v>5.4843651728864797</v>
      </c>
      <c r="F27">
        <v>0.57870743787185497</v>
      </c>
      <c r="G27">
        <v>-115.66311238137244</v>
      </c>
      <c r="H27">
        <v>-70.75677303323755</v>
      </c>
      <c r="I27">
        <v>43.6795439892378</v>
      </c>
      <c r="J27">
        <v>19.700996781461502</v>
      </c>
      <c r="K27">
        <v>9.4769218675583993</v>
      </c>
      <c r="L27">
        <v>1.2634875159257782E-3</v>
      </c>
      <c r="M27">
        <v>2.2230015219391148E-4</v>
      </c>
      <c r="N27" s="1">
        <v>7.4754185182241504E-6</v>
      </c>
      <c r="O27" s="1">
        <v>1.95121182435656E-6</v>
      </c>
      <c r="P27" s="1">
        <v>-6.5684072100404096E-6</v>
      </c>
    </row>
    <row r="28" spans="1:16" x14ac:dyDescent="0.2">
      <c r="A28">
        <v>27</v>
      </c>
      <c r="B28">
        <v>754</v>
      </c>
      <c r="C28">
        <v>250</v>
      </c>
      <c r="D28">
        <v>0.32717762741566497</v>
      </c>
      <c r="E28">
        <v>5.70090162300259</v>
      </c>
      <c r="F28">
        <v>0.59583509707178295</v>
      </c>
      <c r="G28">
        <v>-119.2150381500775</v>
      </c>
      <c r="H28">
        <v>-73.852562993839229</v>
      </c>
      <c r="I28">
        <v>44.166154649218697</v>
      </c>
      <c r="J28">
        <v>19.9936635403783</v>
      </c>
      <c r="K28">
        <v>9.5679184576731497</v>
      </c>
      <c r="L28">
        <v>1.2537353603305609E-3</v>
      </c>
      <c r="M28">
        <v>2.2004503108007123E-4</v>
      </c>
      <c r="N28" s="1">
        <v>7.5643837466136399E-6</v>
      </c>
      <c r="O28" s="1">
        <v>1.9492679278916999E-6</v>
      </c>
      <c r="P28" s="1">
        <v>-6.5828999638593997E-6</v>
      </c>
    </row>
    <row r="29" spans="1:16" x14ac:dyDescent="0.2">
      <c r="A29">
        <v>28</v>
      </c>
      <c r="B29">
        <v>753</v>
      </c>
      <c r="C29">
        <v>250</v>
      </c>
      <c r="D29">
        <v>0.32645373483409301</v>
      </c>
      <c r="E29">
        <v>5.9163861376890496</v>
      </c>
      <c r="F29">
        <v>0.61256635679161997</v>
      </c>
      <c r="G29">
        <v>-122.74849031785566</v>
      </c>
      <c r="H29">
        <v>-76.933988802386466</v>
      </c>
      <c r="I29">
        <v>44.649708970179503</v>
      </c>
      <c r="J29">
        <v>20.284916012842</v>
      </c>
      <c r="K29">
        <v>9.6583595754045799</v>
      </c>
      <c r="L29">
        <v>1.2442119199513489E-3</v>
      </c>
      <c r="M29">
        <v>2.1783902134837725E-4</v>
      </c>
      <c r="N29" s="1">
        <v>7.6537308975817099E-6</v>
      </c>
      <c r="O29" s="1">
        <v>1.9472602380555501E-6</v>
      </c>
      <c r="P29" s="1">
        <v>-6.5972180509015998E-6</v>
      </c>
    </row>
    <row r="30" spans="1:16" x14ac:dyDescent="0.2">
      <c r="A30">
        <v>29</v>
      </c>
      <c r="B30">
        <v>752</v>
      </c>
      <c r="C30">
        <v>250</v>
      </c>
      <c r="D30">
        <v>0.32572842998585799</v>
      </c>
      <c r="E30">
        <v>6.1308269953639796</v>
      </c>
      <c r="F30">
        <v>0.62891566163148904</v>
      </c>
      <c r="G30">
        <v>-126.26361497700715</v>
      </c>
      <c r="H30">
        <v>-80.001163778663084</v>
      </c>
      <c r="I30">
        <v>45.130229976848099</v>
      </c>
      <c r="J30">
        <v>20.5747647005395</v>
      </c>
      <c r="K30">
        <v>9.7482498360111105</v>
      </c>
      <c r="L30">
        <v>1.2349087115017933E-3</v>
      </c>
      <c r="M30">
        <v>2.1568033552344604E-4</v>
      </c>
      <c r="N30" s="1">
        <v>7.7434555061006392E-6</v>
      </c>
      <c r="O30" s="1">
        <v>1.94518928466079E-6</v>
      </c>
      <c r="P30" s="1">
        <v>-6.6113611558491901E-6</v>
      </c>
    </row>
    <row r="31" spans="1:16" x14ac:dyDescent="0.2">
      <c r="A31">
        <v>30</v>
      </c>
      <c r="B31">
        <v>751</v>
      </c>
      <c r="C31">
        <v>250</v>
      </c>
      <c r="D31">
        <v>0.32500170873407402</v>
      </c>
      <c r="E31">
        <v>6.3442323848006099</v>
      </c>
      <c r="F31">
        <v>0.64489676127599005</v>
      </c>
      <c r="G31">
        <v>-129.76055664436933</v>
      </c>
      <c r="H31">
        <v>-83.054200012592361</v>
      </c>
      <c r="I31">
        <v>45.607740446423897</v>
      </c>
      <c r="J31">
        <v>20.863219984990199</v>
      </c>
      <c r="K31">
        <v>9.8375938068721798</v>
      </c>
      <c r="L31">
        <v>1.2258176594903221E-3</v>
      </c>
      <c r="M31">
        <v>2.1356727229957951E-4</v>
      </c>
      <c r="N31" s="1">
        <v>7.8335530513664297E-6</v>
      </c>
      <c r="O31" s="1">
        <v>1.9430555959410998E-6</v>
      </c>
      <c r="P31" s="1">
        <v>-6.6253289635852896E-6</v>
      </c>
    </row>
    <row r="32" spans="1:16" x14ac:dyDescent="0.2">
      <c r="A32">
        <v>31</v>
      </c>
      <c r="B32">
        <v>750</v>
      </c>
      <c r="C32">
        <v>250</v>
      </c>
      <c r="D32">
        <v>0.324273566925672</v>
      </c>
      <c r="E32">
        <v>6.5566104091738699</v>
      </c>
      <c r="F32">
        <v>0.66052275194042998</v>
      </c>
      <c r="G32">
        <v>-133.23945833042427</v>
      </c>
      <c r="H32">
        <v>-86.093208420921599</v>
      </c>
      <c r="I32">
        <v>46.082262919510001</v>
      </c>
      <c r="J32">
        <v>21.150292133293402</v>
      </c>
      <c r="K32">
        <v>9.9263960096944306</v>
      </c>
      <c r="L32">
        <v>1.2169310718999594E-3</v>
      </c>
      <c r="M32">
        <v>2.1149821140449391E-4</v>
      </c>
      <c r="N32" s="1">
        <v>7.9240189576269508E-6</v>
      </c>
      <c r="O32" s="1">
        <v>1.9408596987250001E-6</v>
      </c>
      <c r="P32" s="1">
        <v>-6.6391211598651602E-6</v>
      </c>
    </row>
    <row r="33" spans="1:16" x14ac:dyDescent="0.2">
      <c r="A33">
        <v>32</v>
      </c>
      <c r="B33">
        <v>749</v>
      </c>
      <c r="C33">
        <v>250</v>
      </c>
      <c r="D33">
        <v>0.32354400039133302</v>
      </c>
      <c r="E33">
        <v>6.7679690857391801</v>
      </c>
      <c r="F33">
        <v>0.67580611462062601</v>
      </c>
      <c r="G33">
        <v>-136.70046153437522</v>
      </c>
      <c r="H33">
        <v>-89.118298742290605</v>
      </c>
      <c r="I33">
        <v>46.553819698964098</v>
      </c>
      <c r="J33">
        <v>21.435991297389801</v>
      </c>
      <c r="K33">
        <v>10.014660920223299</v>
      </c>
      <c r="L33">
        <v>1.2082416177595899E-3</v>
      </c>
      <c r="M33">
        <v>2.0947160885584421E-4</v>
      </c>
      <c r="N33" s="1">
        <v>8.0148485942244999E-6</v>
      </c>
      <c r="O33" s="1">
        <v>1.9386021184022498E-6</v>
      </c>
      <c r="P33" s="1">
        <v>-6.6527374312879198E-6</v>
      </c>
    </row>
    <row r="34" spans="1:16" x14ac:dyDescent="0.2">
      <c r="A34">
        <v>33</v>
      </c>
      <c r="B34">
        <v>748</v>
      </c>
      <c r="C34">
        <v>250</v>
      </c>
      <c r="D34">
        <v>0.32281300494540499</v>
      </c>
      <c r="E34">
        <v>6.9783163459966504</v>
      </c>
      <c r="F34">
        <v>0.69075875069751602</v>
      </c>
      <c r="G34">
        <v>-140.14370624851506</v>
      </c>
      <c r="H34">
        <v>-92.129579538844126</v>
      </c>
      <c r="I34">
        <v>47.022432851432796</v>
      </c>
      <c r="J34">
        <v>21.7203275145988</v>
      </c>
      <c r="K34">
        <v>10.1023929685292</v>
      </c>
      <c r="L34">
        <v>1.199742306266284E-3</v>
      </c>
      <c r="M34">
        <v>2.0748599254594795E-4</v>
      </c>
      <c r="N34" s="1">
        <v>8.1060372760441102E-6</v>
      </c>
      <c r="O34" s="1">
        <v>1.9362833789922E-6</v>
      </c>
      <c r="P34" s="1">
        <v>-6.6661774656160298E-6</v>
      </c>
    </row>
    <row r="35" spans="1:16" x14ac:dyDescent="0.2">
      <c r="A35">
        <v>34</v>
      </c>
      <c r="B35">
        <v>747</v>
      </c>
      <c r="C35">
        <v>250</v>
      </c>
      <c r="D35">
        <v>0.32208057638582899</v>
      </c>
      <c r="E35">
        <v>7.18766003803327</v>
      </c>
      <c r="F35">
        <v>0.70539201525088002</v>
      </c>
      <c r="G35">
        <v>-143.56933099799889</v>
      </c>
      <c r="H35">
        <v>-95.127158229010647</v>
      </c>
      <c r="I35">
        <v>47.488124213050199</v>
      </c>
      <c r="J35">
        <v>22.003310710626302</v>
      </c>
      <c r="K35">
        <v>10.1895965401265</v>
      </c>
      <c r="L35">
        <v>1.1914264672409644E-3</v>
      </c>
      <c r="M35">
        <v>2.0553995811246255E-4</v>
      </c>
      <c r="N35" s="1">
        <v>8.1975802639661708E-6</v>
      </c>
      <c r="O35" s="1">
        <v>1.9339040032040799E-6</v>
      </c>
      <c r="P35" s="1">
        <v>-6.6794409520730399E-6</v>
      </c>
    </row>
    <row r="36" spans="1:16" x14ac:dyDescent="0.2">
      <c r="A36">
        <v>35</v>
      </c>
      <c r="B36">
        <v>746</v>
      </c>
      <c r="C36">
        <v>250</v>
      </c>
      <c r="D36">
        <v>0.32134671049404001</v>
      </c>
      <c r="E36">
        <v>7.3960079292188396</v>
      </c>
      <c r="F36">
        <v>0.71971674812438702</v>
      </c>
      <c r="G36">
        <v>-146.97747288664107</v>
      </c>
      <c r="H36">
        <v>-98.111141125276333</v>
      </c>
      <c r="I36">
        <v>47.950915396178999</v>
      </c>
      <c r="J36">
        <v>22.284950703142101</v>
      </c>
      <c r="K36">
        <v>10.2762759773107</v>
      </c>
      <c r="L36">
        <v>1.1832877329021948E-3</v>
      </c>
      <c r="M36">
        <v>2.0363216508811481E-4</v>
      </c>
      <c r="N36" s="1">
        <v>8.2894727654472903E-6</v>
      </c>
      <c r="O36" s="1">
        <v>1.9314645125177401E-6</v>
      </c>
      <c r="P36" s="1">
        <v>-6.6925275817162501E-6</v>
      </c>
    </row>
    <row r="37" spans="1:16" x14ac:dyDescent="0.2">
      <c r="A37">
        <v>36</v>
      </c>
      <c r="B37">
        <v>745</v>
      </c>
      <c r="C37">
        <v>250</v>
      </c>
      <c r="D37">
        <v>0.32061140303491598</v>
      </c>
      <c r="E37">
        <v>7.6033677025672803</v>
      </c>
      <c r="F37">
        <v>0.73374330249763098</v>
      </c>
      <c r="G37">
        <v>-150.36826753772093</v>
      </c>
      <c r="H37">
        <v>-101.08163338188578</v>
      </c>
      <c r="I37">
        <v>48.410827781539403</v>
      </c>
      <c r="J37">
        <v>22.565257197117202</v>
      </c>
      <c r="K37">
        <v>10.362435577518299</v>
      </c>
      <c r="L37">
        <v>1.1753200211278875E-3</v>
      </c>
      <c r="M37">
        <v>2.0176133335419162E-4</v>
      </c>
      <c r="N37" s="1">
        <v>8.3817099345527207E-6</v>
      </c>
      <c r="O37" s="1">
        <v>1.9289654271356402E-6</v>
      </c>
      <c r="P37" s="1">
        <v>-6.70543704736775E-6</v>
      </c>
    </row>
    <row r="38" spans="1:16" x14ac:dyDescent="0.2">
      <c r="A38">
        <v>37</v>
      </c>
      <c r="B38">
        <v>744</v>
      </c>
      <c r="C38">
        <v>250</v>
      </c>
      <c r="D38">
        <v>0.31987464975667701</v>
      </c>
      <c r="E38">
        <v>20.605008626079801</v>
      </c>
      <c r="F38">
        <v>1.2417973619995699</v>
      </c>
      <c r="G38">
        <v>-363.03509123281844</v>
      </c>
      <c r="H38">
        <v>-281.85258918120752</v>
      </c>
      <c r="I38">
        <v>79.816931637341696</v>
      </c>
      <c r="J38">
        <v>40.079488818367302</v>
      </c>
      <c r="K38">
        <v>16.592891285339</v>
      </c>
      <c r="L38">
        <v>8.5215173002405585E-4</v>
      </c>
      <c r="M38">
        <v>1.4542793632883435E-4</v>
      </c>
      <c r="N38" s="1">
        <v>9.6624750320186393E-6</v>
      </c>
      <c r="O38" s="1">
        <v>2.2186830174530201E-6</v>
      </c>
      <c r="P38" s="1">
        <v>-7.7370009039808906E-6</v>
      </c>
    </row>
    <row r="39" spans="1:16" x14ac:dyDescent="0.2">
      <c r="A39">
        <v>38</v>
      </c>
      <c r="B39">
        <v>743</v>
      </c>
      <c r="C39">
        <v>250</v>
      </c>
      <c r="D39">
        <v>0.31913644639078897</v>
      </c>
      <c r="E39">
        <v>39.181962000636297</v>
      </c>
      <c r="F39">
        <v>1.53801641614954</v>
      </c>
      <c r="G39">
        <v>-666.46877504596171</v>
      </c>
      <c r="H39">
        <v>-539.92439011149827</v>
      </c>
      <c r="I39">
        <v>124.537020941264</v>
      </c>
      <c r="J39">
        <v>65.047164497752306</v>
      </c>
      <c r="K39">
        <v>25.4756461564494</v>
      </c>
      <c r="L39">
        <v>6.6344301957936753E-4</v>
      </c>
      <c r="M39">
        <v>1.1254360973081503E-4</v>
      </c>
      <c r="N39" s="1">
        <v>1.1457581624926201E-5</v>
      </c>
      <c r="O39" s="1">
        <v>2.6266314266284602E-6</v>
      </c>
      <c r="P39" s="1">
        <v>-9.18862600059851E-6</v>
      </c>
    </row>
    <row r="40" spans="1:16" x14ac:dyDescent="0.2">
      <c r="A40">
        <v>39</v>
      </c>
      <c r="B40">
        <v>742</v>
      </c>
      <c r="C40">
        <v>250</v>
      </c>
      <c r="D40">
        <v>0.318396788651924</v>
      </c>
      <c r="E40">
        <v>98.604734498087794</v>
      </c>
      <c r="F40">
        <v>1.8340077158358501</v>
      </c>
      <c r="G40">
        <v>-1631.0883693657263</v>
      </c>
      <c r="H40">
        <v>-1359.615186576628</v>
      </c>
      <c r="I40">
        <v>267.42754772804699</v>
      </c>
      <c r="J40">
        <v>144.75210106578999</v>
      </c>
      <c r="K40">
        <v>53.764623587283097</v>
      </c>
      <c r="L40">
        <v>4.7925422786182769E-4</v>
      </c>
      <c r="M40">
        <v>8.0583551431233626E-5</v>
      </c>
      <c r="N40" s="1">
        <v>1.70836077829961E-5</v>
      </c>
      <c r="O40" s="1">
        <v>3.9451886587503603E-6</v>
      </c>
      <c r="P40" s="1">
        <v>-1.3844345659641601E-5</v>
      </c>
    </row>
    <row r="41" spans="1:16" x14ac:dyDescent="0.2">
      <c r="A41">
        <v>40</v>
      </c>
      <c r="B41">
        <v>741</v>
      </c>
      <c r="C41">
        <v>250</v>
      </c>
      <c r="D41">
        <v>0.31765567223783697</v>
      </c>
      <c r="E41">
        <v>104.531393281447</v>
      </c>
      <c r="F41">
        <v>1.8481947709325</v>
      </c>
      <c r="G41">
        <v>-1727.1109106704341</v>
      </c>
      <c r="H41">
        <v>-1441.6167726119043</v>
      </c>
      <c r="I41">
        <v>281.51676467861603</v>
      </c>
      <c r="J41">
        <v>152.731683661061</v>
      </c>
      <c r="K41">
        <v>56.558645725799799</v>
      </c>
      <c r="L41">
        <v>4.7082445623465829E-4</v>
      </c>
      <c r="M41">
        <v>7.8933973674382546E-5</v>
      </c>
      <c r="N41" s="1">
        <v>1.7763538420677101E-5</v>
      </c>
      <c r="O41" s="1">
        <v>4.06199904304254E-6</v>
      </c>
      <c r="P41" s="1">
        <v>-1.4300200395195499E-5</v>
      </c>
    </row>
    <row r="42" spans="1:16" x14ac:dyDescent="0.2">
      <c r="A42">
        <v>41</v>
      </c>
      <c r="B42">
        <v>759</v>
      </c>
      <c r="C42">
        <v>225</v>
      </c>
      <c r="D42">
        <v>0.35741946422516302</v>
      </c>
      <c r="E42">
        <v>5.2149764089183597</v>
      </c>
      <c r="F42">
        <v>0.49213085957542302</v>
      </c>
      <c r="G42">
        <v>-113.59474420495164</v>
      </c>
      <c r="H42">
        <v>-66.176806991566252</v>
      </c>
      <c r="I42">
        <v>45.943827489340499</v>
      </c>
      <c r="J42">
        <v>20.5102312350079</v>
      </c>
      <c r="K42">
        <v>10.596727084778699</v>
      </c>
      <c r="L42">
        <v>1.4041719922708539E-3</v>
      </c>
      <c r="M42">
        <v>2.7663959775880412E-4</v>
      </c>
      <c r="N42" s="1">
        <v>7.6636680948732398E-6</v>
      </c>
      <c r="O42" s="1">
        <v>3.12402027822979E-6</v>
      </c>
      <c r="P42" s="1">
        <v>-9.1646603112623695E-6</v>
      </c>
    </row>
    <row r="43" spans="1:16" x14ac:dyDescent="0.2">
      <c r="A43">
        <v>42</v>
      </c>
      <c r="B43">
        <v>758</v>
      </c>
      <c r="C43">
        <v>225</v>
      </c>
      <c r="D43">
        <v>0.356728410027642</v>
      </c>
      <c r="E43">
        <v>5.2881181192454001</v>
      </c>
      <c r="F43">
        <v>0.49802520157935998</v>
      </c>
      <c r="G43">
        <v>-114.7682170916524</v>
      </c>
      <c r="H43">
        <v>-67.235604467236669</v>
      </c>
      <c r="I43">
        <v>46.099597145153801</v>
      </c>
      <c r="J43">
        <v>20.619959277161399</v>
      </c>
      <c r="K43">
        <v>10.6181737439701</v>
      </c>
      <c r="L43">
        <v>1.4018493062863081E-3</v>
      </c>
      <c r="M43">
        <v>2.7546442878272743E-4</v>
      </c>
      <c r="N43" s="1">
        <v>7.7716959633887504E-6</v>
      </c>
      <c r="O43" s="1">
        <v>3.1167907090329001E-6</v>
      </c>
      <c r="P43" s="1">
        <v>-9.1748217055430998E-6</v>
      </c>
    </row>
    <row r="44" spans="1:16" x14ac:dyDescent="0.2">
      <c r="A44">
        <v>43</v>
      </c>
      <c r="B44">
        <v>757</v>
      </c>
      <c r="C44">
        <v>225</v>
      </c>
      <c r="D44">
        <v>0.35603601417269398</v>
      </c>
      <c r="E44">
        <v>5.5002879943721696</v>
      </c>
      <c r="F44">
        <v>0.51381023543677595</v>
      </c>
      <c r="G44">
        <v>-118.24649955917232</v>
      </c>
      <c r="H44">
        <v>-70.272007926773526</v>
      </c>
      <c r="I44">
        <v>46.573299971526403</v>
      </c>
      <c r="J44">
        <v>20.908854502976901</v>
      </c>
      <c r="K44">
        <v>10.7049015668139</v>
      </c>
      <c r="L44">
        <v>1.392721040576927E-3</v>
      </c>
      <c r="M44">
        <v>2.729647713295612E-4</v>
      </c>
      <c r="N44" s="1">
        <v>7.8900685124373995E-6</v>
      </c>
      <c r="O44" s="1">
        <v>3.1133922654631198E-6</v>
      </c>
      <c r="P44" s="1">
        <v>-9.1962926684250204E-6</v>
      </c>
    </row>
    <row r="45" spans="1:16" x14ac:dyDescent="0.2">
      <c r="A45">
        <v>44</v>
      </c>
      <c r="B45">
        <v>756</v>
      </c>
      <c r="C45">
        <v>225</v>
      </c>
      <c r="D45">
        <v>0.35534227274935698</v>
      </c>
      <c r="E45">
        <v>5.7114480006457802</v>
      </c>
      <c r="F45">
        <v>0.52927449236214896</v>
      </c>
      <c r="G45">
        <v>-121.70703649858761</v>
      </c>
      <c r="H45">
        <v>-73.294623155890321</v>
      </c>
      <c r="I45">
        <v>47.044078129081299</v>
      </c>
      <c r="J45">
        <v>21.196409992740101</v>
      </c>
      <c r="K45">
        <v>10.7910887130713</v>
      </c>
      <c r="L45">
        <v>1.3837820196450587E-3</v>
      </c>
      <c r="M45">
        <v>2.7051222125854994E-4</v>
      </c>
      <c r="N45" s="1">
        <v>8.0091492024641898E-6</v>
      </c>
      <c r="O45" s="1">
        <v>3.1098993695526799E-6</v>
      </c>
      <c r="P45" s="1">
        <v>-9.2175543661383301E-6</v>
      </c>
    </row>
    <row r="46" spans="1:16" x14ac:dyDescent="0.2">
      <c r="A46">
        <v>45</v>
      </c>
      <c r="B46">
        <v>755</v>
      </c>
      <c r="C46">
        <v>225</v>
      </c>
      <c r="D46">
        <v>0.354647181831445</v>
      </c>
      <c r="E46">
        <v>5.9216059216644297</v>
      </c>
      <c r="F46">
        <v>0.54442839670867604</v>
      </c>
      <c r="G46">
        <v>-125.14996545279311</v>
      </c>
      <c r="H46">
        <v>-76.303556714364007</v>
      </c>
      <c r="I46">
        <v>47.511953219126802</v>
      </c>
      <c r="J46">
        <v>21.482635395845001</v>
      </c>
      <c r="K46">
        <v>10.8767396364027</v>
      </c>
      <c r="L46">
        <v>1.3750259042083978E-3</v>
      </c>
      <c r="M46">
        <v>2.6810524436590618E-4</v>
      </c>
      <c r="N46" s="1">
        <v>8.1289326551400999E-6</v>
      </c>
      <c r="O46" s="1">
        <v>3.1063126186670601E-6</v>
      </c>
      <c r="P46" s="1">
        <v>-9.2386056129255397E-6</v>
      </c>
    </row>
    <row r="47" spans="1:16" x14ac:dyDescent="0.2">
      <c r="A47">
        <v>46</v>
      </c>
      <c r="B47">
        <v>754</v>
      </c>
      <c r="C47">
        <v>225</v>
      </c>
      <c r="D47">
        <v>0.35395073747748601</v>
      </c>
      <c r="E47">
        <v>6.1307694582746501</v>
      </c>
      <c r="F47">
        <v>0.55928192475417404</v>
      </c>
      <c r="G47">
        <v>-128.57542250883293</v>
      </c>
      <c r="H47">
        <v>-79.29891402634135</v>
      </c>
      <c r="I47">
        <v>47.976946615333503</v>
      </c>
      <c r="J47">
        <v>21.767540249323702</v>
      </c>
      <c r="K47">
        <v>10.961858745871901</v>
      </c>
      <c r="L47">
        <v>1.3664466267041082E-3</v>
      </c>
      <c r="M47">
        <v>2.6574237263063318E-4</v>
      </c>
      <c r="N47" s="1">
        <v>8.2494133663482497E-6</v>
      </c>
      <c r="O47" s="1">
        <v>3.1026326099243401E-6</v>
      </c>
      <c r="P47" s="1">
        <v>-9.2594452181871606E-6</v>
      </c>
    </row>
    <row r="48" spans="1:16" x14ac:dyDescent="0.2">
      <c r="A48">
        <v>47</v>
      </c>
      <c r="B48">
        <v>753</v>
      </c>
      <c r="C48">
        <v>225</v>
      </c>
      <c r="D48">
        <v>0.35325293573064698</v>
      </c>
      <c r="E48">
        <v>6.33894623272049</v>
      </c>
      <c r="F48">
        <v>0.57384462867089203</v>
      </c>
      <c r="G48">
        <v>-131.9835423690958</v>
      </c>
      <c r="H48">
        <v>-82.280799438425063</v>
      </c>
      <c r="I48">
        <v>48.439079475400703</v>
      </c>
      <c r="J48">
        <v>22.051133983953701</v>
      </c>
      <c r="K48">
        <v>11.0464504083664</v>
      </c>
      <c r="L48">
        <v>1.3580383767558119E-3</v>
      </c>
      <c r="M48">
        <v>2.6342220067924923E-4</v>
      </c>
      <c r="N48" s="1">
        <v>8.3705857066539293E-6</v>
      </c>
      <c r="O48" s="1">
        <v>3.0988599405316301E-6</v>
      </c>
      <c r="P48" s="1">
        <v>-9.2800719876359596E-6</v>
      </c>
    </row>
    <row r="49" spans="1:16" x14ac:dyDescent="0.2">
      <c r="A49">
        <v>48</v>
      </c>
      <c r="B49">
        <v>752</v>
      </c>
      <c r="C49">
        <v>225</v>
      </c>
      <c r="D49">
        <v>0.35255377261864101</v>
      </c>
      <c r="E49">
        <v>6.54614378579884</v>
      </c>
      <c r="F49">
        <v>0.588125658552203</v>
      </c>
      <c r="G49">
        <v>-135.37445830450505</v>
      </c>
      <c r="H49">
        <v>-85.249316178879127</v>
      </c>
      <c r="I49">
        <v>48.8983727341353</v>
      </c>
      <c r="J49">
        <v>22.3334259203031</v>
      </c>
      <c r="K49">
        <v>11.1305189471133</v>
      </c>
      <c r="L49">
        <v>1.3497955878539029E-3</v>
      </c>
      <c r="M49">
        <v>2.6114338253090932E-4</v>
      </c>
      <c r="N49" s="1">
        <v>8.4924439207535699E-6</v>
      </c>
      <c r="O49" s="1">
        <v>3.0949952077000699E-6</v>
      </c>
      <c r="P49" s="1">
        <v>-9.3004847232097303E-6</v>
      </c>
    </row>
    <row r="50" spans="1:16" x14ac:dyDescent="0.2">
      <c r="A50">
        <v>49</v>
      </c>
      <c r="B50">
        <v>751</v>
      </c>
      <c r="C50">
        <v>225</v>
      </c>
      <c r="D50">
        <v>0.35185324415369101</v>
      </c>
      <c r="E50">
        <v>6.7523695812895204</v>
      </c>
      <c r="F50">
        <v>0.60213378352420499</v>
      </c>
      <c r="G50">
        <v>-138.74830222944644</v>
      </c>
      <c r="H50">
        <v>-88.204566419989845</v>
      </c>
      <c r="I50">
        <v>49.354847114633799</v>
      </c>
      <c r="J50">
        <v>22.6144252747489</v>
      </c>
      <c r="K50">
        <v>11.214068643962801</v>
      </c>
      <c r="L50">
        <v>1.341712924550999E-3</v>
      </c>
      <c r="M50">
        <v>2.5890462848433067E-4</v>
      </c>
      <c r="N50" s="1">
        <v>8.6149821278040195E-6</v>
      </c>
      <c r="O50" s="1">
        <v>3.0910390088874502E-6</v>
      </c>
      <c r="P50" s="1">
        <v>-9.3206822239669796E-6</v>
      </c>
    </row>
    <row r="51" spans="1:16" x14ac:dyDescent="0.2">
      <c r="A51">
        <v>50</v>
      </c>
      <c r="B51">
        <v>750</v>
      </c>
      <c r="C51">
        <v>225</v>
      </c>
      <c r="D51">
        <v>0.35115134633240402</v>
      </c>
      <c r="E51">
        <v>7.6045436306906504</v>
      </c>
      <c r="F51">
        <v>0.65448552956267503</v>
      </c>
      <c r="G51">
        <v>-152.85734782184034</v>
      </c>
      <c r="H51">
        <v>-100.24513132458942</v>
      </c>
      <c r="I51">
        <v>51.424794453754501</v>
      </c>
      <c r="J51">
        <v>23.789348678106901</v>
      </c>
      <c r="K51">
        <v>11.6191165231292</v>
      </c>
      <c r="L51">
        <v>1.3078660473153491E-3</v>
      </c>
      <c r="M51">
        <v>2.5167090544973126E-4</v>
      </c>
      <c r="N51" s="1">
        <v>8.8035206140444304E-6</v>
      </c>
      <c r="O51" s="1">
        <v>3.1123378337652301E-6</v>
      </c>
      <c r="P51" s="1">
        <v>-9.4173290816868103E-6</v>
      </c>
    </row>
    <row r="52" spans="1:16" x14ac:dyDescent="0.2">
      <c r="A52">
        <v>51</v>
      </c>
      <c r="B52">
        <v>749</v>
      </c>
      <c r="C52">
        <v>225</v>
      </c>
      <c r="D52">
        <v>0.350448075135744</v>
      </c>
      <c r="E52">
        <v>9.2359097287454599</v>
      </c>
      <c r="F52">
        <v>0.74413350349214902</v>
      </c>
      <c r="G52">
        <v>-179.90472321989083</v>
      </c>
      <c r="H52">
        <v>-123.24106631728694</v>
      </c>
      <c r="I52">
        <v>55.4388102757474</v>
      </c>
      <c r="J52">
        <v>26.0434611033115</v>
      </c>
      <c r="K52">
        <v>12.4116300171974</v>
      </c>
      <c r="L52">
        <v>1.2488713105220106E-3</v>
      </c>
      <c r="M52">
        <v>2.395982682256489E-4</v>
      </c>
      <c r="N52" s="1">
        <v>9.0733824867955905E-6</v>
      </c>
      <c r="O52" s="1">
        <v>3.1637866445270399E-6</v>
      </c>
      <c r="P52" s="1">
        <v>-9.6060733088933703E-6</v>
      </c>
    </row>
    <row r="53" spans="1:16" x14ac:dyDescent="0.2">
      <c r="A53">
        <v>52</v>
      </c>
      <c r="B53">
        <v>748</v>
      </c>
      <c r="C53">
        <v>225</v>
      </c>
      <c r="D53">
        <v>0.34974342652891699</v>
      </c>
      <c r="E53">
        <v>20.587961588814299</v>
      </c>
      <c r="F53">
        <v>1.1518834835804399</v>
      </c>
      <c r="G53">
        <v>-365.61873039786002</v>
      </c>
      <c r="H53">
        <v>-281.17883319932224</v>
      </c>
      <c r="I53">
        <v>82.694395103387507</v>
      </c>
      <c r="J53">
        <v>41.246098894878102</v>
      </c>
      <c r="K53">
        <v>17.873302189228301</v>
      </c>
      <c r="L53">
        <v>9.7132942038880075E-4</v>
      </c>
      <c r="M53">
        <v>1.8539493676141396E-4</v>
      </c>
      <c r="N53" s="1">
        <v>1.0174131911266299E-5</v>
      </c>
      <c r="O53" s="1">
        <v>3.5179864914060399E-6</v>
      </c>
      <c r="P53" s="1">
        <v>-1.0718173932571099E-5</v>
      </c>
    </row>
    <row r="54" spans="1:16" x14ac:dyDescent="0.2">
      <c r="A54">
        <v>53</v>
      </c>
      <c r="B54">
        <v>747</v>
      </c>
      <c r="C54">
        <v>225</v>
      </c>
      <c r="D54">
        <v>0.34903739646130499</v>
      </c>
      <c r="E54">
        <v>38.705576126837499</v>
      </c>
      <c r="F54">
        <v>1.4566961517041701</v>
      </c>
      <c r="G54">
        <v>-661.55631311820866</v>
      </c>
      <c r="H54">
        <v>-532.98511796698961</v>
      </c>
      <c r="I54">
        <v>126.035628168722</v>
      </c>
      <c r="J54">
        <v>65.440264595103599</v>
      </c>
      <c r="K54">
        <v>26.570795894227</v>
      </c>
      <c r="L54">
        <v>7.6336180394764646E-4</v>
      </c>
      <c r="M54">
        <v>1.4486806424871782E-4</v>
      </c>
      <c r="N54" s="1">
        <v>1.18687588833143E-5</v>
      </c>
      <c r="O54" s="1">
        <v>4.0762152046948996E-6</v>
      </c>
      <c r="P54" s="1">
        <v>-1.24614815175481E-5</v>
      </c>
    </row>
    <row r="55" spans="1:16" x14ac:dyDescent="0.2">
      <c r="A55">
        <v>54</v>
      </c>
      <c r="B55">
        <v>746</v>
      </c>
      <c r="C55">
        <v>225</v>
      </c>
      <c r="D55">
        <v>0.34832998086640898</v>
      </c>
      <c r="E55">
        <v>97.161605577639904</v>
      </c>
      <c r="F55">
        <v>1.78278090957168</v>
      </c>
      <c r="G55">
        <v>-1610.3956639113867</v>
      </c>
      <c r="H55">
        <v>-1339.696394423418</v>
      </c>
      <c r="I55">
        <v>265.61855066820101</v>
      </c>
      <c r="J55">
        <v>143.284717885536</v>
      </c>
      <c r="K55">
        <v>54.500025805741203</v>
      </c>
      <c r="L55">
        <v>5.4522279488343147E-4</v>
      </c>
      <c r="M55">
        <v>1.0258935886496325E-4</v>
      </c>
      <c r="N55" s="1">
        <v>1.7142873849439301E-5</v>
      </c>
      <c r="O55" s="1">
        <v>5.8931021114028701E-6</v>
      </c>
      <c r="P55" s="1">
        <v>-1.8077084210038201E-5</v>
      </c>
    </row>
    <row r="56" spans="1:16" x14ac:dyDescent="0.2">
      <c r="A56">
        <v>55</v>
      </c>
      <c r="B56">
        <v>745</v>
      </c>
      <c r="C56">
        <v>225</v>
      </c>
      <c r="D56">
        <v>0.347621175661739</v>
      </c>
      <c r="E56">
        <v>103.646428701083</v>
      </c>
      <c r="F56">
        <v>1.8004609763056101</v>
      </c>
      <c r="G56">
        <v>-1715.463027573413</v>
      </c>
      <c r="H56">
        <v>-1429.4303537838246</v>
      </c>
      <c r="I56">
        <v>280.93969577177302</v>
      </c>
      <c r="J56">
        <v>151.947735190234</v>
      </c>
      <c r="K56">
        <v>57.566606588584101</v>
      </c>
      <c r="L56">
        <v>5.3393551029447175E-4</v>
      </c>
      <c r="M56">
        <v>1.0015612026467377E-4</v>
      </c>
      <c r="N56" s="1">
        <v>1.7902038478236299E-5</v>
      </c>
      <c r="O56" s="1">
        <v>6.0738760263372102E-6</v>
      </c>
      <c r="P56" s="1">
        <v>-1.8696154641307801E-5</v>
      </c>
    </row>
    <row r="57" spans="1:16" x14ac:dyDescent="0.2">
      <c r="A57">
        <v>56</v>
      </c>
      <c r="B57">
        <v>759</v>
      </c>
      <c r="C57">
        <v>200</v>
      </c>
      <c r="D57">
        <v>0.38406287845759102</v>
      </c>
      <c r="E57">
        <v>5.62354703037607</v>
      </c>
      <c r="F57">
        <v>0.45709298894464001</v>
      </c>
      <c r="G57">
        <v>-122.68060187731305</v>
      </c>
      <c r="H57">
        <v>-71.241918998453784</v>
      </c>
      <c r="I57">
        <v>49.839548058815502</v>
      </c>
      <c r="J57">
        <v>22.259513770639501</v>
      </c>
      <c r="K57">
        <v>12.302851206184499</v>
      </c>
      <c r="L57">
        <v>1.5302155910827998E-3</v>
      </c>
      <c r="M57">
        <v>3.4106937183510166E-4</v>
      </c>
      <c r="N57" s="1">
        <v>6.7840579259362396E-6</v>
      </c>
      <c r="O57" s="1">
        <v>5.1787187841458197E-6</v>
      </c>
      <c r="P57" s="1">
        <v>-1.3034007778091601E-5</v>
      </c>
    </row>
    <row r="58" spans="1:16" x14ac:dyDescent="0.2">
      <c r="A58">
        <v>57</v>
      </c>
      <c r="B58">
        <v>758</v>
      </c>
      <c r="C58">
        <v>200</v>
      </c>
      <c r="D58">
        <v>0.383397662803666</v>
      </c>
      <c r="E58">
        <v>5.82815524352013</v>
      </c>
      <c r="F58">
        <v>0.47066925393396303</v>
      </c>
      <c r="G58">
        <v>-126.02910908585881</v>
      </c>
      <c r="H58">
        <v>-74.174841183757508</v>
      </c>
      <c r="I58">
        <v>50.2909182319191</v>
      </c>
      <c r="J58">
        <v>22.541171029711801</v>
      </c>
      <c r="K58">
        <v>12.3826980301072</v>
      </c>
      <c r="L58">
        <v>1.5225354015690527E-3</v>
      </c>
      <c r="M58">
        <v>3.3843390661266945E-4</v>
      </c>
      <c r="N58" s="1">
        <v>6.9406603406023802E-6</v>
      </c>
      <c r="O58" s="1">
        <v>5.1730117149917597E-6</v>
      </c>
      <c r="P58" s="1">
        <v>-1.30678026478385E-5</v>
      </c>
    </row>
    <row r="59" spans="1:16" x14ac:dyDescent="0.2">
      <c r="A59">
        <v>58</v>
      </c>
      <c r="B59">
        <v>757</v>
      </c>
      <c r="C59">
        <v>200</v>
      </c>
      <c r="D59">
        <v>0.38273115565694399</v>
      </c>
      <c r="E59">
        <v>6.0318214310285203</v>
      </c>
      <c r="F59">
        <v>0.48401596167290301</v>
      </c>
      <c r="G59">
        <v>-129.36104892132931</v>
      </c>
      <c r="H59">
        <v>-77.094908400561494</v>
      </c>
      <c r="I59">
        <v>50.7395609470883</v>
      </c>
      <c r="J59">
        <v>22.8216036052421</v>
      </c>
      <c r="K59">
        <v>12.462029992111701</v>
      </c>
      <c r="L59">
        <v>1.5149900859465963E-3</v>
      </c>
      <c r="M59">
        <v>3.3583868499209558E-4</v>
      </c>
      <c r="N59" s="1">
        <v>7.0985888952327301E-6</v>
      </c>
      <c r="O59" s="1">
        <v>5.1671620869351499E-6</v>
      </c>
      <c r="P59" s="1">
        <v>-1.31013761018442E-5</v>
      </c>
    </row>
    <row r="60" spans="1:16" x14ac:dyDescent="0.2">
      <c r="A60">
        <v>59</v>
      </c>
      <c r="B60">
        <v>756</v>
      </c>
      <c r="C60">
        <v>200</v>
      </c>
      <c r="D60">
        <v>0.38206335325268598</v>
      </c>
      <c r="E60">
        <v>6.7681941683886198</v>
      </c>
      <c r="F60">
        <v>0.528416229306651</v>
      </c>
      <c r="G60">
        <v>-141.54780432197833</v>
      </c>
      <c r="H60">
        <v>-87.51225317600192</v>
      </c>
      <c r="I60">
        <v>52.508180717092699</v>
      </c>
      <c r="J60">
        <v>23.832165727528398</v>
      </c>
      <c r="K60">
        <v>12.8084524906991</v>
      </c>
      <c r="L60">
        <v>1.4851263774246313E-3</v>
      </c>
      <c r="M60">
        <v>3.2827861850879137E-4</v>
      </c>
      <c r="N60" s="1">
        <v>7.2966156817611296E-6</v>
      </c>
      <c r="O60" s="1">
        <v>5.19178130469821E-6</v>
      </c>
      <c r="P60" s="1">
        <v>-1.32126093941062E-5</v>
      </c>
    </row>
    <row r="61" spans="1:16" x14ac:dyDescent="0.2">
      <c r="A61">
        <v>60</v>
      </c>
      <c r="B61">
        <v>755</v>
      </c>
      <c r="C61">
        <v>200</v>
      </c>
      <c r="D61">
        <v>0.38139425181150599</v>
      </c>
      <c r="E61">
        <v>8.3709433396295996</v>
      </c>
      <c r="F61">
        <v>0.61601173461829395</v>
      </c>
      <c r="G61">
        <v>-168.12630750476265</v>
      </c>
      <c r="H61">
        <v>-110.1195067562692</v>
      </c>
      <c r="I61">
        <v>56.421825271137301</v>
      </c>
      <c r="J61">
        <v>26.030936418124501</v>
      </c>
      <c r="K61">
        <v>13.588934867964101</v>
      </c>
      <c r="L61">
        <v>1.4241175830024917E-3</v>
      </c>
      <c r="M61">
        <v>3.1383025760413293E-4</v>
      </c>
      <c r="N61" s="1">
        <v>7.5615032418221799E-6</v>
      </c>
      <c r="O61" s="1">
        <v>5.2656268749002299E-6</v>
      </c>
      <c r="P61" s="1">
        <v>-1.3450267057939E-5</v>
      </c>
    </row>
    <row r="62" spans="1:16" x14ac:dyDescent="0.2">
      <c r="A62">
        <v>61</v>
      </c>
      <c r="B62">
        <v>754</v>
      </c>
      <c r="C62">
        <v>200</v>
      </c>
      <c r="D62">
        <v>0.38072384753930699</v>
      </c>
      <c r="E62">
        <v>9.9802359159511091</v>
      </c>
      <c r="F62">
        <v>0.69441851375685104</v>
      </c>
      <c r="G62">
        <v>-194.79712912124563</v>
      </c>
      <c r="H62">
        <v>-132.81397615511051</v>
      </c>
      <c r="I62">
        <v>60.348058122182699</v>
      </c>
      <c r="J62">
        <v>28.239737782883001</v>
      </c>
      <c r="K62">
        <v>14.372076375034</v>
      </c>
      <c r="L62">
        <v>1.3695342873168081E-3</v>
      </c>
      <c r="M62">
        <v>3.0087865908549162E-4</v>
      </c>
      <c r="N62" s="1">
        <v>7.8318639276198202E-6</v>
      </c>
      <c r="O62" s="1">
        <v>5.3391593621241998E-6</v>
      </c>
      <c r="P62" s="1">
        <v>-1.3688772373672E-5</v>
      </c>
    </row>
    <row r="63" spans="1:16" x14ac:dyDescent="0.2">
      <c r="A63">
        <v>62</v>
      </c>
      <c r="B63">
        <v>753</v>
      </c>
      <c r="C63">
        <v>200</v>
      </c>
      <c r="D63">
        <v>0.380052136627202</v>
      </c>
      <c r="E63">
        <v>11.6021652121429</v>
      </c>
      <c r="F63">
        <v>0.76527270419513005</v>
      </c>
      <c r="G63">
        <v>-221.65975667502587</v>
      </c>
      <c r="H63">
        <v>-155.68027887845304</v>
      </c>
      <c r="I63">
        <v>64.301407301106394</v>
      </c>
      <c r="J63">
        <v>30.466688225102601</v>
      </c>
      <c r="K63">
        <v>15.1608245642909</v>
      </c>
      <c r="L63">
        <v>1.3202229521795481E-3</v>
      </c>
      <c r="M63">
        <v>2.8915743828860599E-4</v>
      </c>
      <c r="N63" s="1">
        <v>8.1080979944530106E-6</v>
      </c>
      <c r="O63" s="1">
        <v>5.4126538267267397E-6</v>
      </c>
      <c r="P63" s="1">
        <v>-1.39288354355198E-5</v>
      </c>
    </row>
    <row r="64" spans="1:16" x14ac:dyDescent="0.2">
      <c r="A64">
        <v>63</v>
      </c>
      <c r="B64">
        <v>752</v>
      </c>
      <c r="C64">
        <v>200</v>
      </c>
      <c r="D64">
        <v>0.37937911525142798</v>
      </c>
      <c r="E64">
        <v>29.642613033312799</v>
      </c>
      <c r="F64">
        <v>1.2409597537799</v>
      </c>
      <c r="G64">
        <v>-516.49110008429386</v>
      </c>
      <c r="H64">
        <v>-406.53915267850334</v>
      </c>
      <c r="I64">
        <v>107.258341020675</v>
      </c>
      <c r="J64">
        <v>54.408074956887603</v>
      </c>
      <c r="K64">
        <v>23.8868447933326</v>
      </c>
      <c r="L64">
        <v>9.7264861849669375E-4</v>
      </c>
      <c r="M64">
        <v>2.1177134215818327E-4</v>
      </c>
      <c r="N64" s="1">
        <v>9.4610544221818097E-6</v>
      </c>
      <c r="O64" s="1">
        <v>6.2341860337402501E-6</v>
      </c>
      <c r="P64" s="1">
        <v>-1.61023356790113E-5</v>
      </c>
    </row>
    <row r="65" spans="1:16" x14ac:dyDescent="0.2">
      <c r="A65">
        <v>64</v>
      </c>
      <c r="B65">
        <v>751</v>
      </c>
      <c r="C65">
        <v>200</v>
      </c>
      <c r="D65">
        <v>0.378704779573308</v>
      </c>
      <c r="E65">
        <v>81.868271448775303</v>
      </c>
      <c r="F65">
        <v>1.66975710874565</v>
      </c>
      <c r="G65">
        <v>-1365.0292578115809</v>
      </c>
      <c r="H65">
        <v>-1128.1849698359269</v>
      </c>
      <c r="I65">
        <v>231.26470998707401</v>
      </c>
      <c r="J65">
        <v>123.481836838899</v>
      </c>
      <c r="K65">
        <v>49.030048154893599</v>
      </c>
      <c r="L65">
        <v>6.6293630303037535E-4</v>
      </c>
      <c r="M65">
        <v>1.4312619616726067E-4</v>
      </c>
      <c r="N65" s="1">
        <v>1.31557279314839E-5</v>
      </c>
      <c r="O65" s="1">
        <v>8.6187890310933304E-6</v>
      </c>
      <c r="P65" s="1">
        <v>-2.2343566484393298E-5</v>
      </c>
    </row>
    <row r="66" spans="1:16" x14ac:dyDescent="0.2">
      <c r="A66">
        <v>65</v>
      </c>
      <c r="B66">
        <v>750</v>
      </c>
      <c r="C66">
        <v>200</v>
      </c>
      <c r="D66">
        <v>0.37802912573913899</v>
      </c>
      <c r="E66">
        <v>99.527719134821993</v>
      </c>
      <c r="F66">
        <v>1.73135659808376</v>
      </c>
      <c r="G66">
        <v>-1651.6272245080575</v>
      </c>
      <c r="H66">
        <v>-1372.3171869642529</v>
      </c>
      <c r="I66">
        <v>272.99615252756797</v>
      </c>
      <c r="J66">
        <v>146.83791995032601</v>
      </c>
      <c r="K66">
        <v>57.485395697788299</v>
      </c>
      <c r="L66">
        <v>6.1932669423652126E-4</v>
      </c>
      <c r="M66">
        <v>1.3317437165248955E-4</v>
      </c>
      <c r="N66" s="1">
        <v>1.4601566085E-5</v>
      </c>
      <c r="O66" s="1">
        <v>9.3963212274324605E-6</v>
      </c>
      <c r="P66" s="1">
        <v>-2.4450045353761499E-5</v>
      </c>
    </row>
    <row r="67" spans="1:16" x14ac:dyDescent="0.2">
      <c r="A67">
        <v>66</v>
      </c>
      <c r="B67">
        <v>749</v>
      </c>
      <c r="C67">
        <v>200</v>
      </c>
      <c r="D67">
        <v>0.37735214988015597</v>
      </c>
      <c r="E67">
        <v>104.316206637384</v>
      </c>
      <c r="F67">
        <v>1.74592332111477</v>
      </c>
      <c r="G67">
        <v>-1729.1214303352349</v>
      </c>
      <c r="H67">
        <v>-1438.6493252117316</v>
      </c>
      <c r="I67">
        <v>284.18355330911299</v>
      </c>
      <c r="J67">
        <v>153.19748664115599</v>
      </c>
      <c r="K67">
        <v>59.748446782175101</v>
      </c>
      <c r="L67">
        <v>6.0967421307937797E-4</v>
      </c>
      <c r="M67">
        <v>1.3069532828780624E-4</v>
      </c>
      <c r="N67" s="1">
        <v>1.5196758379043E-5</v>
      </c>
      <c r="O67" s="1">
        <v>9.5838596999165696E-6</v>
      </c>
      <c r="P67" s="1">
        <v>-2.5031296780266799E-5</v>
      </c>
    </row>
    <row r="68" spans="1:16" x14ac:dyDescent="0.2">
      <c r="A68">
        <v>67</v>
      </c>
      <c r="B68">
        <v>765</v>
      </c>
      <c r="C68">
        <v>175</v>
      </c>
      <c r="D68">
        <v>0.41451668833983701</v>
      </c>
      <c r="E68">
        <v>5.9928830979851497</v>
      </c>
      <c r="F68">
        <v>0.40990071422263102</v>
      </c>
      <c r="G68">
        <v>-131.5231067030835</v>
      </c>
      <c r="H68">
        <v>-75.517787012278816</v>
      </c>
      <c r="I68">
        <v>53.950536229368097</v>
      </c>
      <c r="J68">
        <v>23.788810550322101</v>
      </c>
      <c r="K68">
        <v>14.6203285089427</v>
      </c>
      <c r="L68">
        <v>1.6546654349248423E-3</v>
      </c>
      <c r="M68">
        <v>4.35945822597033E-4</v>
      </c>
      <c r="N68" s="1">
        <v>1.48223592519327E-6</v>
      </c>
      <c r="O68" s="1">
        <v>9.1317689327355295E-6</v>
      </c>
      <c r="P68" s="1">
        <v>-1.8504421565377398E-5</v>
      </c>
    </row>
    <row r="69" spans="1:16" x14ac:dyDescent="0.2">
      <c r="A69">
        <v>68</v>
      </c>
      <c r="B69">
        <v>764</v>
      </c>
      <c r="C69">
        <v>175</v>
      </c>
      <c r="D69">
        <v>0.41388468398978101</v>
      </c>
      <c r="E69">
        <v>6.0943718933029398</v>
      </c>
      <c r="F69">
        <v>0.41598002821209201</v>
      </c>
      <c r="G69">
        <v>-133.16296227886627</v>
      </c>
      <c r="H69">
        <v>-76.960295807841305</v>
      </c>
      <c r="I69">
        <v>54.192836353572602</v>
      </c>
      <c r="J69">
        <v>23.954040112527</v>
      </c>
      <c r="K69">
        <v>14.6506357997448</v>
      </c>
      <c r="L69">
        <v>1.6532599294309897E-3</v>
      </c>
      <c r="M69">
        <v>4.3432287577344498E-4</v>
      </c>
      <c r="N69" s="1">
        <v>1.66145072099333E-6</v>
      </c>
      <c r="O69" s="1">
        <v>9.1214793827633806E-6</v>
      </c>
      <c r="P69" s="1">
        <v>-1.8555937026547901E-5</v>
      </c>
    </row>
    <row r="70" spans="1:16" x14ac:dyDescent="0.2">
      <c r="A70">
        <v>69</v>
      </c>
      <c r="B70">
        <v>763</v>
      </c>
      <c r="C70">
        <v>175</v>
      </c>
      <c r="D70">
        <v>0.41325145973073701</v>
      </c>
      <c r="E70">
        <v>6.4347947700217496</v>
      </c>
      <c r="F70">
        <v>0.434606901159586</v>
      </c>
      <c r="G70">
        <v>-138.78019661563084</v>
      </c>
      <c r="H70">
        <v>-81.745179343728367</v>
      </c>
      <c r="I70">
        <v>55.048462508868802</v>
      </c>
      <c r="J70">
        <v>24.453966243337</v>
      </c>
      <c r="K70">
        <v>14.806011484983101</v>
      </c>
      <c r="L70">
        <v>1.6424277590462828E-3</v>
      </c>
      <c r="M70">
        <v>4.3019819414237537E-4</v>
      </c>
      <c r="N70" s="1">
        <v>1.84542800315236E-6</v>
      </c>
      <c r="O70" s="1">
        <v>9.1352886948765896E-6</v>
      </c>
      <c r="P70" s="1">
        <v>-1.8656940703996001E-5</v>
      </c>
    </row>
    <row r="71" spans="1:16" x14ac:dyDescent="0.2">
      <c r="A71">
        <v>70</v>
      </c>
      <c r="B71">
        <v>762</v>
      </c>
      <c r="C71">
        <v>175</v>
      </c>
      <c r="D71">
        <v>0.41261701202724399</v>
      </c>
      <c r="E71">
        <v>7.2794496411687</v>
      </c>
      <c r="F71">
        <v>0.47851618033814097</v>
      </c>
      <c r="G71">
        <v>-152.77114107352801</v>
      </c>
      <c r="H71">
        <v>-93.654032353524315</v>
      </c>
      <c r="I71">
        <v>57.113060450789497</v>
      </c>
      <c r="J71">
        <v>25.625734511887501</v>
      </c>
      <c r="K71">
        <v>15.2125464932548</v>
      </c>
      <c r="L71">
        <v>1.612094019909269E-3</v>
      </c>
      <c r="M71">
        <v>4.2097616817565102E-4</v>
      </c>
      <c r="N71" s="1">
        <v>2.0391753443817E-6</v>
      </c>
      <c r="O71" s="1">
        <v>9.1891465521249104E-6</v>
      </c>
      <c r="P71" s="1">
        <v>-1.8840715851540899E-5</v>
      </c>
    </row>
    <row r="72" spans="1:16" x14ac:dyDescent="0.2">
      <c r="A72">
        <v>71</v>
      </c>
      <c r="B72">
        <v>761</v>
      </c>
      <c r="C72">
        <v>175</v>
      </c>
      <c r="D72">
        <v>0.411981337330175</v>
      </c>
      <c r="E72">
        <v>8.8527819767649092</v>
      </c>
      <c r="F72">
        <v>0.55393089259933803</v>
      </c>
      <c r="G72">
        <v>-178.85544725135912</v>
      </c>
      <c r="H72">
        <v>-115.85503607245741</v>
      </c>
      <c r="I72">
        <v>60.923403406531001</v>
      </c>
      <c r="J72">
        <v>27.768680032908701</v>
      </c>
      <c r="K72">
        <v>15.981744464951101</v>
      </c>
      <c r="L72">
        <v>1.5573274414662978E-3</v>
      </c>
      <c r="M72">
        <v>4.054118296505503E-4</v>
      </c>
      <c r="N72" s="1">
        <v>2.2482061057809101E-6</v>
      </c>
      <c r="O72" s="1">
        <v>9.3005729561454805E-6</v>
      </c>
      <c r="P72" s="1">
        <v>-1.9144295569674701E-5</v>
      </c>
    </row>
    <row r="73" spans="1:16" x14ac:dyDescent="0.2">
      <c r="A73">
        <v>72</v>
      </c>
      <c r="B73">
        <v>760</v>
      </c>
      <c r="C73">
        <v>175</v>
      </c>
      <c r="D73">
        <v>0.41134443207665999</v>
      </c>
      <c r="E73">
        <v>10.4312582179665</v>
      </c>
      <c r="F73">
        <v>0.62265653474788596</v>
      </c>
      <c r="G73">
        <v>-205.00923776765111</v>
      </c>
      <c r="H73">
        <v>-138.12380869487095</v>
      </c>
      <c r="I73">
        <v>64.742783020209998</v>
      </c>
      <c r="J73">
        <v>29.919540800251699</v>
      </c>
      <c r="K73">
        <v>16.752828623552599</v>
      </c>
      <c r="L73">
        <v>1.5074579987747663E-3</v>
      </c>
      <c r="M73">
        <v>3.9120984718253593E-4</v>
      </c>
      <c r="N73" s="1">
        <v>2.4639411810771999E-6</v>
      </c>
      <c r="O73" s="1">
        <v>9.4115309084456396E-6</v>
      </c>
      <c r="P73" s="1">
        <v>-1.9449172453435798E-5</v>
      </c>
    </row>
    <row r="74" spans="1:16" x14ac:dyDescent="0.2">
      <c r="A74">
        <v>73</v>
      </c>
      <c r="B74">
        <v>759</v>
      </c>
      <c r="C74">
        <v>175</v>
      </c>
      <c r="D74">
        <v>0.41070629269001901</v>
      </c>
      <c r="E74">
        <v>12.0204447285633</v>
      </c>
      <c r="F74">
        <v>0.68576499576745298</v>
      </c>
      <c r="G74">
        <v>-231.32341765826919</v>
      </c>
      <c r="H74">
        <v>-160.53766605295414</v>
      </c>
      <c r="I74">
        <v>68.584391621188701</v>
      </c>
      <c r="J74">
        <v>32.085661271965598</v>
      </c>
      <c r="K74">
        <v>17.528518957300999</v>
      </c>
      <c r="L74">
        <v>1.4616901979267133E-3</v>
      </c>
      <c r="M74">
        <v>3.7815186106943376E-4</v>
      </c>
      <c r="N74" s="1">
        <v>2.6865356230168299E-6</v>
      </c>
      <c r="O74" s="1">
        <v>9.5224052834851503E-6</v>
      </c>
      <c r="P74" s="1">
        <v>-1.9756152171421899E-5</v>
      </c>
    </row>
    <row r="75" spans="1:16" x14ac:dyDescent="0.2">
      <c r="A75">
        <v>74</v>
      </c>
      <c r="B75">
        <v>758</v>
      </c>
      <c r="C75">
        <v>175</v>
      </c>
      <c r="D75">
        <v>0.41006691557969399</v>
      </c>
      <c r="E75">
        <v>14.2182440377691</v>
      </c>
      <c r="F75">
        <v>0.76437007736002305</v>
      </c>
      <c r="G75">
        <v>-267.5621507705365</v>
      </c>
      <c r="H75">
        <v>-191.40252116705963</v>
      </c>
      <c r="I75">
        <v>73.862508018645897</v>
      </c>
      <c r="J75">
        <v>35.052103924310103</v>
      </c>
      <c r="K75">
        <v>18.6012567196194</v>
      </c>
      <c r="L75">
        <v>1.4035375816700752E-3</v>
      </c>
      <c r="M75">
        <v>3.6193938483291009E-4</v>
      </c>
      <c r="N75" s="1">
        <v>2.92669191168672E-6</v>
      </c>
      <c r="O75" s="1">
        <v>9.6752875154438902E-6</v>
      </c>
      <c r="P75" s="1">
        <v>-2.0152912949278898E-5</v>
      </c>
    </row>
    <row r="76" spans="1:16" x14ac:dyDescent="0.2">
      <c r="A76">
        <v>75</v>
      </c>
      <c r="B76">
        <v>757</v>
      </c>
      <c r="C76">
        <v>175</v>
      </c>
      <c r="D76">
        <v>0.40942629714119499</v>
      </c>
      <c r="E76">
        <v>32.8164464623923</v>
      </c>
      <c r="F76">
        <v>1.18543536359204</v>
      </c>
      <c r="G76">
        <v>-571.47598526179763</v>
      </c>
      <c r="H76">
        <v>-450.06165910762809</v>
      </c>
      <c r="I76">
        <v>117.864900829558</v>
      </c>
      <c r="J76">
        <v>59.536147680387501</v>
      </c>
      <c r="K76">
        <v>27.683033145690601</v>
      </c>
      <c r="L76">
        <v>1.076438974896544E-3</v>
      </c>
      <c r="M76">
        <v>2.7604274690535034E-4</v>
      </c>
      <c r="N76" s="1">
        <v>3.4887097047556002E-6</v>
      </c>
      <c r="O76" s="1">
        <v>1.0972598676174999E-5</v>
      </c>
      <c r="P76" s="1">
        <v>-2.2945593199163901E-5</v>
      </c>
    </row>
    <row r="77" spans="1:16" x14ac:dyDescent="0.2">
      <c r="A77">
        <v>76</v>
      </c>
      <c r="B77">
        <v>756</v>
      </c>
      <c r="C77">
        <v>175</v>
      </c>
      <c r="D77">
        <v>0.40878443375601398</v>
      </c>
      <c r="E77">
        <v>81.663069381891603</v>
      </c>
      <c r="F77">
        <v>1.5880561704877201</v>
      </c>
      <c r="G77">
        <v>-1364.8458023042012</v>
      </c>
      <c r="H77">
        <v>-1124.9565881505098</v>
      </c>
      <c r="I77">
        <v>233.099876026418</v>
      </c>
      <c r="J77">
        <v>123.611172465991</v>
      </c>
      <c r="K77">
        <v>51.4232877271658</v>
      </c>
      <c r="L77">
        <v>7.6709871053570917E-4</v>
      </c>
      <c r="M77">
        <v>1.9523178616184591E-4</v>
      </c>
      <c r="N77" s="1">
        <v>4.7347912943271003E-6</v>
      </c>
      <c r="O77" s="1">
        <v>1.43888872040933E-5</v>
      </c>
      <c r="P77" s="1">
        <v>-3.0208644008813301E-5</v>
      </c>
    </row>
    <row r="78" spans="1:16" x14ac:dyDescent="0.2">
      <c r="A78">
        <v>77</v>
      </c>
      <c r="B78">
        <v>755</v>
      </c>
      <c r="C78">
        <v>175</v>
      </c>
      <c r="D78">
        <v>0.40814132179156798</v>
      </c>
      <c r="E78">
        <v>98.786406325928397</v>
      </c>
      <c r="F78">
        <v>1.6549204833992699</v>
      </c>
      <c r="G78">
        <v>-1642.724697654158</v>
      </c>
      <c r="H78">
        <v>-1361.7476714791501</v>
      </c>
      <c r="I78">
        <v>273.28989767504697</v>
      </c>
      <c r="J78">
        <v>146.07328582418501</v>
      </c>
      <c r="K78">
        <v>59.692539500760297</v>
      </c>
      <c r="L78">
        <v>7.1687240755002532E-4</v>
      </c>
      <c r="M78">
        <v>1.8171629663760186E-4</v>
      </c>
      <c r="N78" s="1">
        <v>5.4156810384766904E-6</v>
      </c>
      <c r="O78" s="1">
        <v>1.55452446218078E-5</v>
      </c>
      <c r="P78" s="1">
        <v>-3.2766390822040201E-5</v>
      </c>
    </row>
    <row r="79" spans="1:16" x14ac:dyDescent="0.2">
      <c r="A79">
        <v>78</v>
      </c>
      <c r="B79">
        <v>754</v>
      </c>
      <c r="C79">
        <v>175</v>
      </c>
      <c r="D79">
        <v>0.40749695760112897</v>
      </c>
      <c r="E79">
        <v>103.87948348927701</v>
      </c>
      <c r="F79">
        <v>1.67230898912311</v>
      </c>
      <c r="G79">
        <v>-1725.1597880268191</v>
      </c>
      <c r="H79">
        <v>-1432.3074867281487</v>
      </c>
      <c r="I79">
        <v>285.11747962238502</v>
      </c>
      <c r="J79">
        <v>152.78209758717099</v>
      </c>
      <c r="K79">
        <v>62.117398258887</v>
      </c>
      <c r="L79">
        <v>7.0475364202574715E-4</v>
      </c>
      <c r="M79">
        <v>1.78074262014291E-4</v>
      </c>
      <c r="N79" s="1">
        <v>5.86321530910163E-6</v>
      </c>
      <c r="O79" s="1">
        <v>1.5857964924725999E-5</v>
      </c>
      <c r="P79" s="1">
        <v>-3.3559169035060202E-5</v>
      </c>
    </row>
    <row r="80" spans="1:16" x14ac:dyDescent="0.2">
      <c r="A80">
        <v>79</v>
      </c>
      <c r="B80">
        <v>775</v>
      </c>
      <c r="C80">
        <v>150</v>
      </c>
      <c r="D80">
        <v>0.44700710776129698</v>
      </c>
      <c r="E80">
        <v>6.4032528526341004</v>
      </c>
      <c r="F80">
        <v>0.35562462570499698</v>
      </c>
      <c r="G80">
        <v>-141.52884171577966</v>
      </c>
      <c r="H80">
        <v>-80.110021697127294</v>
      </c>
      <c r="I80">
        <v>58.600853268272097</v>
      </c>
      <c r="J80">
        <v>25.058121581069798</v>
      </c>
      <c r="K80">
        <v>18.005650873980301</v>
      </c>
      <c r="L80">
        <v>1.74863251799447E-3</v>
      </c>
      <c r="M80">
        <v>5.7157698103235167E-4</v>
      </c>
      <c r="N80" s="1">
        <v>-1.0997111459086499E-5</v>
      </c>
      <c r="O80" s="1">
        <v>1.70672541356627E-5</v>
      </c>
      <c r="P80" s="1">
        <v>-2.5885506355765301E-5</v>
      </c>
    </row>
    <row r="81" spans="1:16" x14ac:dyDescent="0.2">
      <c r="A81">
        <v>80</v>
      </c>
      <c r="B81">
        <v>774</v>
      </c>
      <c r="C81">
        <v>150</v>
      </c>
      <c r="D81">
        <v>0.44641216635630598</v>
      </c>
      <c r="E81">
        <v>6.6845038074775101</v>
      </c>
      <c r="F81">
        <v>0.36880167053749302</v>
      </c>
      <c r="G81">
        <v>-146.15621406220143</v>
      </c>
      <c r="H81">
        <v>-84.069191525887774</v>
      </c>
      <c r="I81">
        <v>59.294940339299501</v>
      </c>
      <c r="J81">
        <v>25.473106009035199</v>
      </c>
      <c r="K81">
        <v>18.1249282242552</v>
      </c>
      <c r="L81">
        <v>1.7425938399422141E-3</v>
      </c>
      <c r="M81">
        <v>5.6792686135442828E-4</v>
      </c>
      <c r="N81" s="1">
        <v>-1.08756182871408E-5</v>
      </c>
      <c r="O81" s="1">
        <v>1.7083730011990299E-5</v>
      </c>
      <c r="P81" s="1">
        <v>-2.6012194394894798E-5</v>
      </c>
    </row>
    <row r="82" spans="1:16" x14ac:dyDescent="0.2">
      <c r="A82">
        <v>81</v>
      </c>
      <c r="B82">
        <v>773</v>
      </c>
      <c r="C82">
        <v>150</v>
      </c>
      <c r="D82">
        <v>0.44581608755914398</v>
      </c>
      <c r="E82">
        <v>7.0091254290142304</v>
      </c>
      <c r="F82">
        <v>0.38369967842581998</v>
      </c>
      <c r="G82">
        <v>-151.50382539160952</v>
      </c>
      <c r="H82">
        <v>-88.635162788889602</v>
      </c>
      <c r="I82">
        <v>60.098789138736301</v>
      </c>
      <c r="J82">
        <v>25.9482047194928</v>
      </c>
      <c r="K82">
        <v>18.2672173658578</v>
      </c>
      <c r="L82">
        <v>1.7351780117546797E-3</v>
      </c>
      <c r="M82">
        <v>5.6383521714098081E-4</v>
      </c>
      <c r="N82" s="1">
        <v>-1.07553967176369E-5</v>
      </c>
      <c r="O82" s="1">
        <v>1.7106934675828802E-5</v>
      </c>
      <c r="P82" s="1">
        <v>-2.6150112419599998E-5</v>
      </c>
    </row>
    <row r="83" spans="1:16" x14ac:dyDescent="0.2">
      <c r="A83">
        <v>82</v>
      </c>
      <c r="B83">
        <v>772</v>
      </c>
      <c r="C83">
        <v>150</v>
      </c>
      <c r="D83">
        <v>0.44521886810505501</v>
      </c>
      <c r="E83">
        <v>7.3340328018149199</v>
      </c>
      <c r="F83">
        <v>0.39838326061078999</v>
      </c>
      <c r="G83">
        <v>-156.85385047236846</v>
      </c>
      <c r="H83">
        <v>-93.205214877250341</v>
      </c>
      <c r="I83">
        <v>60.902581136957799</v>
      </c>
      <c r="J83">
        <v>26.4240986234494</v>
      </c>
      <c r="K83">
        <v>18.409490375099001</v>
      </c>
      <c r="L83">
        <v>1.7278791195752274E-3</v>
      </c>
      <c r="M83">
        <v>5.597970428406592E-4</v>
      </c>
      <c r="N83" s="1">
        <v>-1.0631612508458601E-5</v>
      </c>
      <c r="O83" s="1">
        <v>1.7129884911506401E-5</v>
      </c>
      <c r="P83" s="1">
        <v>-2.62886748923888E-5</v>
      </c>
    </row>
    <row r="84" spans="1:16" x14ac:dyDescent="0.2">
      <c r="A84">
        <v>83</v>
      </c>
      <c r="B84">
        <v>771</v>
      </c>
      <c r="C84">
        <v>150</v>
      </c>
      <c r="D84">
        <v>0.44462050471675502</v>
      </c>
      <c r="E84">
        <v>7.6591823545092499</v>
      </c>
      <c r="F84">
        <v>0.412855631543455</v>
      </c>
      <c r="G84">
        <v>-162.20554184917529</v>
      </c>
      <c r="H84">
        <v>-97.77873149613886</v>
      </c>
      <c r="I84">
        <v>61.706190554088899</v>
      </c>
      <c r="J84">
        <v>26.9007306812119</v>
      </c>
      <c r="K84">
        <v>18.5517206726125</v>
      </c>
      <c r="L84">
        <v>1.720695660081098E-3</v>
      </c>
      <c r="M84">
        <v>5.5581151290767534E-4</v>
      </c>
      <c r="N84" s="1">
        <v>-1.0504208298842901E-5</v>
      </c>
      <c r="O84" s="1">
        <v>1.7152567821848502E-5</v>
      </c>
      <c r="P84" s="1">
        <v>-2.64278662909103E-5</v>
      </c>
    </row>
    <row r="85" spans="1:16" x14ac:dyDescent="0.2">
      <c r="A85">
        <v>84</v>
      </c>
      <c r="B85">
        <v>770</v>
      </c>
      <c r="C85">
        <v>150</v>
      </c>
      <c r="D85">
        <v>0.44402099410439499</v>
      </c>
      <c r="E85">
        <v>7.98453147390686</v>
      </c>
      <c r="F85">
        <v>0.42712002658883702</v>
      </c>
      <c r="G85">
        <v>-167.55816811900783</v>
      </c>
      <c r="H85">
        <v>-102.35510927754402</v>
      </c>
      <c r="I85">
        <v>62.509494124143899</v>
      </c>
      <c r="J85">
        <v>27.3780452489742</v>
      </c>
      <c r="K85">
        <v>18.6938822271451</v>
      </c>
      <c r="L85">
        <v>1.7136260920612219E-3</v>
      </c>
      <c r="M85">
        <v>5.5187779526980779E-4</v>
      </c>
      <c r="N85" s="1">
        <v>-1.03731269710308E-5</v>
      </c>
      <c r="O85" s="1">
        <v>1.7174970648935199E-5</v>
      </c>
      <c r="P85" s="1">
        <v>-2.65676709782164E-5</v>
      </c>
    </row>
    <row r="86" spans="1:16" x14ac:dyDescent="0.2">
      <c r="A86">
        <v>85</v>
      </c>
      <c r="B86">
        <v>769</v>
      </c>
      <c r="C86">
        <v>150</v>
      </c>
      <c r="D86">
        <v>0.44342033296550898</v>
      </c>
      <c r="E86">
        <v>8.3100386793012593</v>
      </c>
      <c r="F86">
        <v>0.44117970344027402</v>
      </c>
      <c r="G86">
        <v>-172.91101677077248</v>
      </c>
      <c r="H86">
        <v>-106.93376018068635</v>
      </c>
      <c r="I86">
        <v>63.312371528563602</v>
      </c>
      <c r="J86">
        <v>27.855988325057599</v>
      </c>
      <c r="K86">
        <v>18.8359496470495</v>
      </c>
      <c r="L86">
        <v>1.7066688347920902E-3</v>
      </c>
      <c r="M86">
        <v>5.4799505097851656E-4</v>
      </c>
      <c r="N86" s="1">
        <v>-1.02383116984502E-5</v>
      </c>
      <c r="O86" s="1">
        <v>1.7197080798696101E-5</v>
      </c>
      <c r="P86" s="1">
        <v>-2.6708073238059002E-5</v>
      </c>
    </row>
    <row r="87" spans="1:16" x14ac:dyDescent="0.2">
      <c r="A87">
        <v>86</v>
      </c>
      <c r="B87">
        <v>768</v>
      </c>
      <c r="C87">
        <v>150</v>
      </c>
      <c r="D87">
        <v>0.442818517984921</v>
      </c>
      <c r="E87">
        <v>9.8355970993786297</v>
      </c>
      <c r="F87">
        <v>0.50215848119590401</v>
      </c>
      <c r="G87">
        <v>-198.19327520912717</v>
      </c>
      <c r="H87">
        <v>-128.46510578111881</v>
      </c>
      <c r="I87">
        <v>66.975887897490495</v>
      </c>
      <c r="J87">
        <v>29.9161401113065</v>
      </c>
      <c r="K87">
        <v>19.5866394130292</v>
      </c>
      <c r="L87">
        <v>1.6619819922273557E-3</v>
      </c>
      <c r="M87">
        <v>5.3198983642088217E-4</v>
      </c>
      <c r="N87" s="1">
        <v>-1.0194104510823801E-5</v>
      </c>
      <c r="O87" s="1">
        <v>1.7372597919862499E-5</v>
      </c>
      <c r="P87" s="1">
        <v>-2.70887178893608E-5</v>
      </c>
    </row>
    <row r="88" spans="1:16" x14ac:dyDescent="0.2">
      <c r="A88">
        <v>87</v>
      </c>
      <c r="B88">
        <v>767</v>
      </c>
      <c r="C88">
        <v>150</v>
      </c>
      <c r="D88">
        <v>0.44221554583473799</v>
      </c>
      <c r="E88">
        <v>11.3786377059724</v>
      </c>
      <c r="F88">
        <v>0.55927357724618998</v>
      </c>
      <c r="G88">
        <v>-223.75017127823702</v>
      </c>
      <c r="H88">
        <v>-150.23853064727754</v>
      </c>
      <c r="I88">
        <v>70.677750492274896</v>
      </c>
      <c r="J88">
        <v>32.000256081810598</v>
      </c>
      <c r="K88">
        <v>20.345387604398901</v>
      </c>
      <c r="L88">
        <v>1.6201469984258121E-3</v>
      </c>
      <c r="M88">
        <v>5.169854338610368E-4</v>
      </c>
      <c r="N88" s="1">
        <v>-1.0144429148232401E-5</v>
      </c>
      <c r="O88" s="1">
        <v>1.7549213339004398E-5</v>
      </c>
      <c r="P88" s="1">
        <v>-2.7474070258071101E-5</v>
      </c>
    </row>
    <row r="89" spans="1:16" x14ac:dyDescent="0.2">
      <c r="A89">
        <v>88</v>
      </c>
      <c r="B89">
        <v>766</v>
      </c>
      <c r="C89">
        <v>150</v>
      </c>
      <c r="D89">
        <v>0.44161141317423203</v>
      </c>
      <c r="E89">
        <v>12.9324519912303</v>
      </c>
      <c r="F89">
        <v>0.61265898640341698</v>
      </c>
      <c r="G89">
        <v>-249.46870870481945</v>
      </c>
      <c r="H89">
        <v>-172.15794368594837</v>
      </c>
      <c r="I89">
        <v>74.401801543508597</v>
      </c>
      <c r="J89">
        <v>34.099425991876203</v>
      </c>
      <c r="K89">
        <v>21.108728147691998</v>
      </c>
      <c r="L89">
        <v>1.5810790509639423E-3</v>
      </c>
      <c r="M89">
        <v>5.0294637338236159E-4</v>
      </c>
      <c r="N89" s="1">
        <v>-1.00885530619651E-5</v>
      </c>
      <c r="O89" s="1">
        <v>1.7725971874153899E-5</v>
      </c>
      <c r="P89" s="1">
        <v>-2.7862680194565201E-5</v>
      </c>
    </row>
    <row r="90" spans="1:16" x14ac:dyDescent="0.2">
      <c r="A90">
        <v>89</v>
      </c>
      <c r="B90">
        <v>765</v>
      </c>
      <c r="C90">
        <v>150</v>
      </c>
      <c r="D90">
        <v>0.44100611664981298</v>
      </c>
      <c r="E90">
        <v>14.5045856130762</v>
      </c>
      <c r="F90">
        <v>0.66290284661475896</v>
      </c>
      <c r="G90">
        <v>-275.47208409115547</v>
      </c>
      <c r="H90">
        <v>-194.32813256870639</v>
      </c>
      <c r="I90">
        <v>78.165837788637305</v>
      </c>
      <c r="J90">
        <v>36.223506022402098</v>
      </c>
      <c r="K90">
        <v>21.880409304540802</v>
      </c>
      <c r="L90">
        <v>1.5443242507143353E-3</v>
      </c>
      <c r="M90">
        <v>4.8971980230214161E-4</v>
      </c>
      <c r="N90" s="1">
        <v>-1.00268331995377E-5</v>
      </c>
      <c r="O90" s="1">
        <v>1.7903716766557699E-5</v>
      </c>
      <c r="P90" s="1">
        <v>-2.82559118895262E-5</v>
      </c>
    </row>
    <row r="91" spans="1:16" x14ac:dyDescent="0.2">
      <c r="A91">
        <v>90</v>
      </c>
      <c r="B91">
        <v>764</v>
      </c>
      <c r="C91">
        <v>150</v>
      </c>
      <c r="D91">
        <v>0.44039965289495597</v>
      </c>
      <c r="E91">
        <v>23.208523845585599</v>
      </c>
      <c r="F91">
        <v>0.88605101681918796</v>
      </c>
      <c r="G91">
        <v>-417.93005466498357</v>
      </c>
      <c r="H91">
        <v>-315.57615849534761</v>
      </c>
      <c r="I91">
        <v>98.691636792776805</v>
      </c>
      <c r="J91">
        <v>47.6193717317542</v>
      </c>
      <c r="K91">
        <v>26.193213940322799</v>
      </c>
      <c r="L91">
        <v>1.3657641013835621E-3</v>
      </c>
      <c r="M91">
        <v>4.313370797168405E-4</v>
      </c>
      <c r="N91" s="1">
        <v>-1.04196081759605E-5</v>
      </c>
      <c r="O91" s="1">
        <v>1.8884507235788502E-5</v>
      </c>
      <c r="P91" s="1">
        <v>-2.9924660765840999E-5</v>
      </c>
    </row>
    <row r="92" spans="1:16" x14ac:dyDescent="0.2">
      <c r="A92">
        <v>91</v>
      </c>
      <c r="B92">
        <v>763</v>
      </c>
      <c r="C92">
        <v>150</v>
      </c>
      <c r="D92">
        <v>0.43979201853014099</v>
      </c>
      <c r="E92">
        <v>37.997311094273897</v>
      </c>
      <c r="F92">
        <v>1.1338297751905</v>
      </c>
      <c r="G92">
        <v>-659.58533597298833</v>
      </c>
      <c r="H92">
        <v>-521.3198906196468</v>
      </c>
      <c r="I92">
        <v>133.44588128823801</v>
      </c>
      <c r="J92">
        <v>66.908958349825198</v>
      </c>
      <c r="K92">
        <v>33.512359549641999</v>
      </c>
      <c r="L92">
        <v>1.1659445203545445E-3</v>
      </c>
      <c r="M92">
        <v>3.6653224669069037E-4</v>
      </c>
      <c r="N92" s="1">
        <v>-1.1167786780704801E-5</v>
      </c>
      <c r="O92" s="1">
        <v>2.0534555998678901E-5</v>
      </c>
      <c r="P92" s="1">
        <v>-3.2671659221309301E-5</v>
      </c>
    </row>
    <row r="93" spans="1:16" x14ac:dyDescent="0.2">
      <c r="A93">
        <v>92</v>
      </c>
      <c r="B93">
        <v>762</v>
      </c>
      <c r="C93">
        <v>150</v>
      </c>
      <c r="D93">
        <v>0.439183210162781</v>
      </c>
      <c r="E93">
        <v>84.311514179208601</v>
      </c>
      <c r="F93">
        <v>1.4963761327507901</v>
      </c>
      <c r="G93">
        <v>-1411.3931808959453</v>
      </c>
      <c r="H93">
        <v>-1160.9112998338328</v>
      </c>
      <c r="I93">
        <v>241.98187318092201</v>
      </c>
      <c r="J93">
        <v>127.04558744807601</v>
      </c>
      <c r="K93">
        <v>56.343797748376403</v>
      </c>
      <c r="L93">
        <v>8.7542612949811601E-4</v>
      </c>
      <c r="M93">
        <v>2.7335504335024129E-4</v>
      </c>
      <c r="N93" s="1">
        <v>-1.38450369523409E-5</v>
      </c>
      <c r="O93" s="1">
        <v>2.5731026457725E-5</v>
      </c>
      <c r="P93" s="1">
        <v>-4.1106195825118303E-5</v>
      </c>
    </row>
    <row r="94" spans="1:16" x14ac:dyDescent="0.2">
      <c r="A94">
        <v>93</v>
      </c>
      <c r="B94">
        <v>761</v>
      </c>
      <c r="C94">
        <v>150</v>
      </c>
      <c r="D94">
        <v>0.43857322438717999</v>
      </c>
      <c r="E94">
        <v>98.670726122831695</v>
      </c>
      <c r="F94">
        <v>1.5572026523875799</v>
      </c>
      <c r="G94">
        <v>-1644.3688869959228</v>
      </c>
      <c r="H94">
        <v>-1359.5332166077053</v>
      </c>
      <c r="I94">
        <v>275.43555386992699</v>
      </c>
      <c r="J94">
        <v>145.702134029386</v>
      </c>
      <c r="K94">
        <v>63.364088143277101</v>
      </c>
      <c r="L94">
        <v>8.2821068794188967E-4</v>
      </c>
      <c r="M94">
        <v>2.5762659845596046E-4</v>
      </c>
      <c r="N94" s="1">
        <v>-1.44312289812002E-5</v>
      </c>
      <c r="O94" s="1">
        <v>2.72846637284463E-5</v>
      </c>
      <c r="P94" s="1">
        <v>-4.3766733555037399E-5</v>
      </c>
    </row>
    <row r="95" spans="1:16" x14ac:dyDescent="0.2">
      <c r="A95">
        <v>94</v>
      </c>
      <c r="B95">
        <v>760</v>
      </c>
      <c r="C95">
        <v>150</v>
      </c>
      <c r="D95">
        <v>0.43796205778444602</v>
      </c>
      <c r="E95">
        <v>103.633513643871</v>
      </c>
      <c r="F95">
        <v>1.5761497034801399</v>
      </c>
      <c r="G95">
        <v>-1724.6841128160279</v>
      </c>
      <c r="H95">
        <v>-1428.3002579121619</v>
      </c>
      <c r="I95">
        <v>286.87991463767401</v>
      </c>
      <c r="J95">
        <v>152.17970938568499</v>
      </c>
      <c r="K95">
        <v>65.751059950110005</v>
      </c>
      <c r="L95">
        <v>8.1478519885876881E-4</v>
      </c>
      <c r="M95">
        <v>2.5263275194028448E-4</v>
      </c>
      <c r="N95" s="1">
        <v>-1.44187104353717E-5</v>
      </c>
      <c r="O95" s="1">
        <v>2.77829593353966E-5</v>
      </c>
      <c r="P95" s="1">
        <v>-4.4749296010651498E-5</v>
      </c>
    </row>
    <row r="96" spans="1:16" x14ac:dyDescent="0.2">
      <c r="A96">
        <v>95</v>
      </c>
      <c r="B96">
        <v>788</v>
      </c>
      <c r="C96">
        <v>125</v>
      </c>
      <c r="D96">
        <v>0.48055458700466802</v>
      </c>
      <c r="E96">
        <v>6.8512802711523699</v>
      </c>
      <c r="F96">
        <v>0.29456293014801499</v>
      </c>
      <c r="G96">
        <v>-152.78242387486151</v>
      </c>
      <c r="H96">
        <v>-84.915209734366769</v>
      </c>
      <c r="I96">
        <v>63.959981966529398</v>
      </c>
      <c r="J96">
        <v>25.863890931521301</v>
      </c>
      <c r="K96">
        <v>23.259139456922298</v>
      </c>
      <c r="L96">
        <v>1.7755161207574587E-3</v>
      </c>
      <c r="M96">
        <v>7.6194404098586799E-4</v>
      </c>
      <c r="N96" s="1">
        <v>-3.1233815915649901E-5</v>
      </c>
      <c r="O96" s="1">
        <v>3.4064125086703397E-5</v>
      </c>
      <c r="P96" s="1">
        <v>-3.57093223472669E-5</v>
      </c>
    </row>
    <row r="97" spans="1:16" x14ac:dyDescent="0.2">
      <c r="A97">
        <v>96</v>
      </c>
      <c r="B97">
        <v>787</v>
      </c>
      <c r="C97">
        <v>125</v>
      </c>
      <c r="D97">
        <v>0.479998585105882</v>
      </c>
      <c r="E97">
        <v>7.0487284730108604</v>
      </c>
      <c r="F97">
        <v>0.30218460483059401</v>
      </c>
      <c r="G97">
        <v>-156.00779643704902</v>
      </c>
      <c r="H97">
        <v>-87.70310411944341</v>
      </c>
      <c r="I97">
        <v>64.432975579203003</v>
      </c>
      <c r="J97">
        <v>26.160428844101698</v>
      </c>
      <c r="K97">
        <v>23.325901982870299</v>
      </c>
      <c r="L97">
        <v>1.7745853023621626E-3</v>
      </c>
      <c r="M97">
        <v>7.5940016559366001E-4</v>
      </c>
      <c r="N97" s="1">
        <v>-3.1261448633642102E-5</v>
      </c>
      <c r="O97" s="1">
        <v>3.4075412384298098E-5</v>
      </c>
      <c r="P97" s="1">
        <v>-3.5847741242724201E-5</v>
      </c>
    </row>
    <row r="98" spans="1:16" x14ac:dyDescent="0.2">
      <c r="A98">
        <v>97</v>
      </c>
      <c r="B98">
        <v>786</v>
      </c>
      <c r="C98">
        <v>125</v>
      </c>
      <c r="D98">
        <v>0.47944153330501299</v>
      </c>
      <c r="E98">
        <v>7.3581291036636696</v>
      </c>
      <c r="F98">
        <v>0.313724553942412</v>
      </c>
      <c r="G98">
        <v>-161.09708768237059</v>
      </c>
      <c r="H98">
        <v>-92.056967149917213</v>
      </c>
      <c r="I98">
        <v>65.188176151489799</v>
      </c>
      <c r="J98">
        <v>26.608530693217499</v>
      </c>
      <c r="K98">
        <v>23.4541065122188</v>
      </c>
      <c r="L98">
        <v>1.7706323446137703E-3</v>
      </c>
      <c r="M98">
        <v>7.555501683977478E-4</v>
      </c>
      <c r="N98" s="1">
        <v>-3.1315098381871898E-5</v>
      </c>
      <c r="O98" s="1">
        <v>3.4116607408089297E-5</v>
      </c>
      <c r="P98" s="1">
        <v>-3.60188361871563E-5</v>
      </c>
    </row>
    <row r="99" spans="1:16" x14ac:dyDescent="0.2">
      <c r="A99">
        <v>98</v>
      </c>
      <c r="B99">
        <v>785</v>
      </c>
      <c r="C99">
        <v>125</v>
      </c>
      <c r="D99">
        <v>0.47888342862543298</v>
      </c>
      <c r="E99">
        <v>7.6676576940499004</v>
      </c>
      <c r="F99">
        <v>0.325146112319604</v>
      </c>
      <c r="G99">
        <v>-166.18635050233758</v>
      </c>
      <c r="H99">
        <v>-96.412727253106695</v>
      </c>
      <c r="I99">
        <v>65.942984443675996</v>
      </c>
      <c r="J99">
        <v>27.057200310460502</v>
      </c>
      <c r="K99">
        <v>23.582190909030199</v>
      </c>
      <c r="L99">
        <v>1.7667397302065088E-3</v>
      </c>
      <c r="M99">
        <v>7.5173600940205772E-4</v>
      </c>
      <c r="N99" s="1">
        <v>-3.13665831660809E-5</v>
      </c>
      <c r="O99" s="1">
        <v>3.41575543422134E-5</v>
      </c>
      <c r="P99" s="1">
        <v>-3.6191009446326702E-5</v>
      </c>
    </row>
    <row r="100" spans="1:16" x14ac:dyDescent="0.2">
      <c r="A100">
        <v>99</v>
      </c>
      <c r="B100">
        <v>784</v>
      </c>
      <c r="C100">
        <v>125</v>
      </c>
      <c r="D100">
        <v>0.47832426807926898</v>
      </c>
      <c r="E100">
        <v>7.97727625196831</v>
      </c>
      <c r="F100">
        <v>0.33645011015881299</v>
      </c>
      <c r="G100">
        <v>-171.2749363926745</v>
      </c>
      <c r="H100">
        <v>-100.76984805211465</v>
      </c>
      <c r="I100">
        <v>66.697293275271306</v>
      </c>
      <c r="J100">
        <v>27.506389326162601</v>
      </c>
      <c r="K100">
        <v>23.710131193604902</v>
      </c>
      <c r="L100">
        <v>1.7629073623792462E-3</v>
      </c>
      <c r="M100">
        <v>7.47957436735201E-4</v>
      </c>
      <c r="N100" s="1">
        <v>-3.1415832928348699E-5</v>
      </c>
      <c r="O100" s="1">
        <v>3.4198236670630698E-5</v>
      </c>
      <c r="P100" s="1">
        <v>-3.6364255446560802E-5</v>
      </c>
    </row>
    <row r="101" spans="1:16" x14ac:dyDescent="0.2">
      <c r="A101">
        <v>100</v>
      </c>
      <c r="B101">
        <v>783</v>
      </c>
      <c r="C101">
        <v>125</v>
      </c>
      <c r="D101">
        <v>0.47776404866733202</v>
      </c>
      <c r="E101">
        <v>8.2869475435541595</v>
      </c>
      <c r="F101">
        <v>0.34763742641845002</v>
      </c>
      <c r="G101">
        <v>-176.36220968934524</v>
      </c>
      <c r="H101">
        <v>-105.12780344837839</v>
      </c>
      <c r="I101">
        <v>67.450997485574504</v>
      </c>
      <c r="J101">
        <v>27.9560504449558</v>
      </c>
      <c r="K101">
        <v>23.8379038440446</v>
      </c>
      <c r="L101">
        <v>1.7591351025040265E-3</v>
      </c>
      <c r="M101">
        <v>7.4421418099291715E-4</v>
      </c>
      <c r="N101" s="1">
        <v>-3.1462776760502901E-5</v>
      </c>
      <c r="O101" s="1">
        <v>3.4238638052694501E-5</v>
      </c>
      <c r="P101" s="1">
        <v>-3.6538568676848302E-5</v>
      </c>
    </row>
    <row r="102" spans="1:16" x14ac:dyDescent="0.2">
      <c r="A102">
        <v>101</v>
      </c>
      <c r="B102">
        <v>782</v>
      </c>
      <c r="C102">
        <v>125</v>
      </c>
      <c r="D102">
        <v>0.47720276737904699</v>
      </c>
      <c r="E102">
        <v>8.5966352148093392</v>
      </c>
      <c r="F102">
        <v>0.35870898942678198</v>
      </c>
      <c r="G102">
        <v>-181.44754955354995</v>
      </c>
      <c r="H102">
        <v>-109.48607929817987</v>
      </c>
      <c r="I102">
        <v>68.203994235611006</v>
      </c>
      <c r="J102">
        <v>28.4061376138059</v>
      </c>
      <c r="K102">
        <v>23.9654858623609</v>
      </c>
      <c r="L102">
        <v>1.7554227689118647E-3</v>
      </c>
      <c r="M102">
        <v>7.4050595499304322E-4</v>
      </c>
      <c r="N102" s="1">
        <v>-3.1507342930520998E-5</v>
      </c>
      <c r="O102" s="1">
        <v>3.4278742352053899E-5</v>
      </c>
      <c r="P102" s="1">
        <v>-3.6713943718787197E-5</v>
      </c>
    </row>
    <row r="103" spans="1:16" x14ac:dyDescent="0.2">
      <c r="A103">
        <v>102</v>
      </c>
      <c r="B103">
        <v>781</v>
      </c>
      <c r="C103">
        <v>125</v>
      </c>
      <c r="D103">
        <v>0.476640421192431</v>
      </c>
      <c r="E103">
        <v>8.9063039194407292</v>
      </c>
      <c r="F103">
        <v>0.36966577756351698</v>
      </c>
      <c r="G103">
        <v>-186.53035205547638</v>
      </c>
      <c r="H103">
        <v>-113.84417517518001</v>
      </c>
      <c r="I103">
        <v>68.956183323864906</v>
      </c>
      <c r="J103">
        <v>28.856606198453001</v>
      </c>
      <c r="K103">
        <v>24.092854843482002</v>
      </c>
      <c r="L103">
        <v>1.7517701356421244E-3</v>
      </c>
      <c r="M103">
        <v>7.3683245350665203E-4</v>
      </c>
      <c r="N103" s="1">
        <v>-3.1549458910263E-5</v>
      </c>
      <c r="O103" s="1">
        <v>3.4318533666328697E-5</v>
      </c>
      <c r="P103" s="1">
        <v>-3.6890375277983501E-5</v>
      </c>
    </row>
    <row r="104" spans="1:16" x14ac:dyDescent="0.2">
      <c r="A104">
        <v>103</v>
      </c>
      <c r="B104">
        <v>780</v>
      </c>
      <c r="C104">
        <v>125</v>
      </c>
      <c r="D104">
        <v>0.47607700707401701</v>
      </c>
      <c r="E104">
        <v>9.2159194451690691</v>
      </c>
      <c r="F104">
        <v>0.38050881975658102</v>
      </c>
      <c r="G104">
        <v>-191.61003222644749</v>
      </c>
      <c r="H104">
        <v>-118.2016061098342</v>
      </c>
      <c r="I104">
        <v>69.707467495753704</v>
      </c>
      <c r="J104">
        <v>29.3074131576459</v>
      </c>
      <c r="K104">
        <v>24.2199890427366</v>
      </c>
      <c r="L104">
        <v>1.7481769313162307E-3</v>
      </c>
      <c r="M104">
        <v>7.3319335305139881E-4</v>
      </c>
      <c r="N104" s="1">
        <v>-3.1589051402375302E-5</v>
      </c>
      <c r="O104" s="1">
        <v>3.4357996355267202E-5</v>
      </c>
      <c r="P104" s="1">
        <v>-3.7067858214479303E-5</v>
      </c>
    </row>
    <row r="105" spans="1:16" x14ac:dyDescent="0.2">
      <c r="A105">
        <v>104</v>
      </c>
      <c r="B105">
        <v>779</v>
      </c>
      <c r="C105">
        <v>125</v>
      </c>
      <c r="D105">
        <v>0.475512521978807</v>
      </c>
      <c r="E105">
        <v>9.5254488392997008</v>
      </c>
      <c r="F105">
        <v>0.39123919583726902</v>
      </c>
      <c r="G105">
        <v>-196.68602609275649</v>
      </c>
      <c r="H105">
        <v>-122.55790431665194</v>
      </c>
      <c r="I105">
        <v>70.457752749015398</v>
      </c>
      <c r="J105">
        <v>29.758517216292301</v>
      </c>
      <c r="K105">
        <v>24.346867442345101</v>
      </c>
      <c r="L105">
        <v>1.7446428381055537E-3</v>
      </c>
      <c r="M105">
        <v>7.2958831173324055E-4</v>
      </c>
      <c r="N105" s="1">
        <v>-3.1626046366737203E-5</v>
      </c>
      <c r="O105" s="1">
        <v>3.4397115067764598E-5</v>
      </c>
      <c r="P105" s="1">
        <v>-3.7246387572586297E-5</v>
      </c>
    </row>
    <row r="106" spans="1:16" x14ac:dyDescent="0.2">
      <c r="A106">
        <v>105</v>
      </c>
      <c r="B106">
        <v>778</v>
      </c>
      <c r="C106">
        <v>125</v>
      </c>
      <c r="D106">
        <v>0.47494696285021398</v>
      </c>
      <c r="E106">
        <v>9.8348605383078702</v>
      </c>
      <c r="F106">
        <v>0.401858036917706</v>
      </c>
      <c r="G106">
        <v>-201.75779276999481</v>
      </c>
      <c r="H106">
        <v>-126.91262097510722</v>
      </c>
      <c r="I106">
        <v>71.206948647348895</v>
      </c>
      <c r="J106">
        <v>30.209879044072899</v>
      </c>
      <c r="K106">
        <v>24.473469819696199</v>
      </c>
      <c r="L106">
        <v>1.7411674906648163E-3</v>
      </c>
      <c r="M106">
        <v>7.260169690812637E-4</v>
      </c>
      <c r="N106" s="1">
        <v>-3.1660369047787398E-5</v>
      </c>
      <c r="O106" s="1">
        <v>3.44358747692713E-5</v>
      </c>
      <c r="P106" s="1">
        <v>-3.7425958611789599E-5</v>
      </c>
    </row>
    <row r="107" spans="1:16" x14ac:dyDescent="0.2">
      <c r="A107">
        <v>106</v>
      </c>
      <c r="B107">
        <v>777</v>
      </c>
      <c r="C107">
        <v>125</v>
      </c>
      <c r="D107">
        <v>0.47438032662001101</v>
      </c>
      <c r="E107">
        <v>10.956080067002199</v>
      </c>
      <c r="F107">
        <v>0.43784153949875398</v>
      </c>
      <c r="G107">
        <v>-220.31397907134635</v>
      </c>
      <c r="H107">
        <v>-142.73334621524279</v>
      </c>
      <c r="I107">
        <v>73.879612558257605</v>
      </c>
      <c r="J107">
        <v>31.717379671543199</v>
      </c>
      <c r="K107">
        <v>25.022934277877901</v>
      </c>
      <c r="L107">
        <v>1.717225713102779E-3</v>
      </c>
      <c r="M107">
        <v>7.1390020087962246E-4</v>
      </c>
      <c r="N107" s="1">
        <v>-3.1855647116825497E-5</v>
      </c>
      <c r="O107" s="1">
        <v>3.4650036642529501E-5</v>
      </c>
      <c r="P107" s="1">
        <v>-3.7798303214243698E-5</v>
      </c>
    </row>
    <row r="108" spans="1:16" x14ac:dyDescent="0.2">
      <c r="A108">
        <v>107</v>
      </c>
      <c r="B108">
        <v>776</v>
      </c>
      <c r="C108">
        <v>125</v>
      </c>
      <c r="D108">
        <v>0.47381261020826598</v>
      </c>
      <c r="E108">
        <v>12.458259057620801</v>
      </c>
      <c r="F108">
        <v>0.48343872995769699</v>
      </c>
      <c r="G108">
        <v>-245.18550800650621</v>
      </c>
      <c r="H108">
        <v>-163.930450833355</v>
      </c>
      <c r="I108">
        <v>77.452355727279397</v>
      </c>
      <c r="J108">
        <v>33.721007327867703</v>
      </c>
      <c r="K108">
        <v>25.7700889184262</v>
      </c>
      <c r="L108">
        <v>1.6853543750209993E-3</v>
      </c>
      <c r="M108">
        <v>6.9853687075783176E-4</v>
      </c>
      <c r="N108" s="1">
        <v>-3.2124155192841697E-5</v>
      </c>
      <c r="O108" s="1">
        <v>3.49453704048472E-5</v>
      </c>
      <c r="P108" s="1">
        <v>-3.8262405126165803E-5</v>
      </c>
    </row>
    <row r="109" spans="1:16" x14ac:dyDescent="0.2">
      <c r="A109">
        <v>108</v>
      </c>
      <c r="B109">
        <v>775</v>
      </c>
      <c r="C109">
        <v>125</v>
      </c>
      <c r="D109">
        <v>0.473243810523307</v>
      </c>
      <c r="E109">
        <v>13.9717238668646</v>
      </c>
      <c r="F109">
        <v>0.52679566476464001</v>
      </c>
      <c r="G109">
        <v>-270.22742990848099</v>
      </c>
      <c r="H109">
        <v>-185.28068303772039</v>
      </c>
      <c r="I109">
        <v>81.048388575498294</v>
      </c>
      <c r="J109">
        <v>35.740008947189601</v>
      </c>
      <c r="K109">
        <v>26.522093482122401</v>
      </c>
      <c r="L109">
        <v>1.6550886660385723E-3</v>
      </c>
      <c r="M109">
        <v>6.8391793344434995E-4</v>
      </c>
      <c r="N109" s="1">
        <v>-3.2390978278403503E-5</v>
      </c>
      <c r="O109" s="1">
        <v>3.5241533073650899E-5</v>
      </c>
      <c r="P109" s="1">
        <v>-3.8731001906089502E-5</v>
      </c>
    </row>
    <row r="110" spans="1:16" x14ac:dyDescent="0.2">
      <c r="A110">
        <v>109</v>
      </c>
      <c r="B110">
        <v>774</v>
      </c>
      <c r="C110">
        <v>125</v>
      </c>
      <c r="D110">
        <v>0.47267392446163797</v>
      </c>
      <c r="E110">
        <v>15.5039912755859</v>
      </c>
      <c r="F110">
        <v>0.56827038401476104</v>
      </c>
      <c r="G110">
        <v>-295.56251649513246</v>
      </c>
      <c r="H110">
        <v>-206.88842001758937</v>
      </c>
      <c r="I110">
        <v>84.685344265634001</v>
      </c>
      <c r="J110">
        <v>37.784073859619198</v>
      </c>
      <c r="K110">
        <v>27.2827719193319</v>
      </c>
      <c r="L110">
        <v>1.6261517782715023E-3</v>
      </c>
      <c r="M110">
        <v>6.699226880672902E-4</v>
      </c>
      <c r="N110" s="1">
        <v>-3.2657331090821903E-5</v>
      </c>
      <c r="O110" s="1">
        <v>3.5539953092624998E-5</v>
      </c>
      <c r="P110" s="1">
        <v>-3.9205722089826099E-5</v>
      </c>
    </row>
    <row r="111" spans="1:16" x14ac:dyDescent="0.2">
      <c r="A111">
        <v>110</v>
      </c>
      <c r="B111">
        <v>773</v>
      </c>
      <c r="C111">
        <v>125</v>
      </c>
      <c r="D111">
        <v>0.472102948907902</v>
      </c>
      <c r="E111">
        <v>17.065815104503599</v>
      </c>
      <c r="F111">
        <v>0.60824223233144104</v>
      </c>
      <c r="G111">
        <v>-321.36633897976611</v>
      </c>
      <c r="H111">
        <v>-228.9029594896366</v>
      </c>
      <c r="I111">
        <v>88.388454845910701</v>
      </c>
      <c r="J111">
        <v>39.867068567380301</v>
      </c>
      <c r="K111">
        <v>28.0575964597015</v>
      </c>
      <c r="L111">
        <v>1.5982455095976871E-3</v>
      </c>
      <c r="M111">
        <v>6.5642286488096127E-4</v>
      </c>
      <c r="N111" s="1">
        <v>-3.2925001311338097E-5</v>
      </c>
      <c r="O111" s="1">
        <v>3.58426774811477E-5</v>
      </c>
      <c r="P111" s="1">
        <v>-3.9688903637689703E-5</v>
      </c>
    </row>
    <row r="112" spans="1:16" x14ac:dyDescent="0.2">
      <c r="A112">
        <v>111</v>
      </c>
      <c r="B112">
        <v>772</v>
      </c>
      <c r="C112">
        <v>125</v>
      </c>
      <c r="D112">
        <v>0.47153088073482102</v>
      </c>
      <c r="E112">
        <v>28.697805340964901</v>
      </c>
      <c r="F112">
        <v>0.84528749432768302</v>
      </c>
      <c r="G112">
        <v>-511.63829901592874</v>
      </c>
      <c r="H112">
        <v>-390.80420203269654</v>
      </c>
      <c r="I112">
        <v>115.618394574352</v>
      </c>
      <c r="J112">
        <v>54.876569550623003</v>
      </c>
      <c r="K112">
        <v>33.950348885488097</v>
      </c>
      <c r="L112">
        <v>1.407529392667844E-3</v>
      </c>
      <c r="M112">
        <v>5.7571807860556273E-4</v>
      </c>
      <c r="N112" s="1">
        <v>-3.4964969069699099E-5</v>
      </c>
      <c r="O112" s="1">
        <v>3.8059098041223702E-5</v>
      </c>
      <c r="P112" s="1">
        <v>-4.2302822650833701E-5</v>
      </c>
    </row>
    <row r="113" spans="1:16" x14ac:dyDescent="0.2">
      <c r="A113">
        <v>112</v>
      </c>
      <c r="B113">
        <v>771</v>
      </c>
      <c r="C113">
        <v>125</v>
      </c>
      <c r="D113">
        <v>0.47095771680314102</v>
      </c>
      <c r="E113">
        <v>52.831501264616001</v>
      </c>
      <c r="F113">
        <v>1.1447665653840899</v>
      </c>
      <c r="G113">
        <v>-904.34813936105024</v>
      </c>
      <c r="H113">
        <v>-724.81329269139769</v>
      </c>
      <c r="I113">
        <v>171.948341327658</v>
      </c>
      <c r="J113">
        <v>85.883569477060504</v>
      </c>
      <c r="K113">
        <v>46.1504579729665</v>
      </c>
      <c r="L113">
        <v>1.1659128496959617E-3</v>
      </c>
      <c r="M113">
        <v>4.7450895014265054E-4</v>
      </c>
      <c r="N113" s="1">
        <v>-3.9204792228527503E-5</v>
      </c>
      <c r="O113" s="1">
        <v>4.2653840658994598E-5</v>
      </c>
      <c r="P113" s="1">
        <v>-4.7590203606506597E-5</v>
      </c>
    </row>
    <row r="114" spans="1:16" x14ac:dyDescent="0.2">
      <c r="A114">
        <v>113</v>
      </c>
      <c r="B114">
        <v>770</v>
      </c>
      <c r="C114">
        <v>125</v>
      </c>
      <c r="D114">
        <v>0.47038345396155901</v>
      </c>
      <c r="E114">
        <v>80.869667174851102</v>
      </c>
      <c r="F114">
        <v>1.34188256746624</v>
      </c>
      <c r="G114">
        <v>-1359.7069678822772</v>
      </c>
      <c r="H114">
        <v>-1112.2891654815542</v>
      </c>
      <c r="I114">
        <v>237.188750579116</v>
      </c>
      <c r="J114">
        <v>121.847025878769</v>
      </c>
      <c r="K114">
        <v>60.265830360662598</v>
      </c>
      <c r="L114">
        <v>1.0080080532733355E-3</v>
      </c>
      <c r="M114">
        <v>4.0827176798958272E-4</v>
      </c>
      <c r="N114" s="1">
        <v>-4.4076603805894901E-5</v>
      </c>
      <c r="O114" s="1">
        <v>4.7941853281208901E-5</v>
      </c>
      <c r="P114" s="1">
        <v>-5.36945957912241E-5</v>
      </c>
    </row>
    <row r="115" spans="1:16" x14ac:dyDescent="0.2">
      <c r="A115">
        <v>114</v>
      </c>
      <c r="B115">
        <v>769</v>
      </c>
      <c r="C115">
        <v>125</v>
      </c>
      <c r="D115">
        <v>0.46980808904668597</v>
      </c>
      <c r="E115">
        <v>96.382691368516106</v>
      </c>
      <c r="F115">
        <v>1.4169741690752</v>
      </c>
      <c r="G115">
        <v>-1611.4553386299351</v>
      </c>
      <c r="H115">
        <v>-1326.8252552299689</v>
      </c>
      <c r="I115">
        <v>273.12389856187599</v>
      </c>
      <c r="J115">
        <v>141.74774902791501</v>
      </c>
      <c r="K115">
        <v>68.020076492587506</v>
      </c>
      <c r="L115">
        <v>9.4940608844431478E-4</v>
      </c>
      <c r="M115">
        <v>3.8308340873689019E-4</v>
      </c>
      <c r="N115" s="1">
        <v>-4.6693314863693402E-5</v>
      </c>
      <c r="O115" s="1">
        <v>5.0805111582155502E-5</v>
      </c>
      <c r="P115" s="1">
        <v>-5.7120014824122997E-5</v>
      </c>
    </row>
    <row r="116" spans="1:16" x14ac:dyDescent="0.2">
      <c r="A116">
        <v>115</v>
      </c>
      <c r="B116">
        <v>768</v>
      </c>
      <c r="C116">
        <v>125</v>
      </c>
      <c r="D116">
        <v>0.46923161888296799</v>
      </c>
      <c r="E116">
        <v>102.394138337906</v>
      </c>
      <c r="F116">
        <v>1.44261900550461</v>
      </c>
      <c r="G116">
        <v>-1708.8098090307292</v>
      </c>
      <c r="H116">
        <v>-1410.0755625480783</v>
      </c>
      <c r="I116">
        <v>286.93307087306403</v>
      </c>
      <c r="J116">
        <v>149.48652792770301</v>
      </c>
      <c r="K116">
        <v>70.977949096192603</v>
      </c>
      <c r="L116">
        <v>9.3105707984792124E-4</v>
      </c>
      <c r="M116">
        <v>3.7446938704548995E-4</v>
      </c>
      <c r="N116" s="1">
        <v>-4.76350412557531E-5</v>
      </c>
      <c r="O116" s="1">
        <v>5.1864486731578399E-5</v>
      </c>
      <c r="P116" s="1">
        <v>-5.8536177929053202E-5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17A5A-3A6E-4CAC-BBD0-B16C7FD8194E}">
  <sheetPr codeName="Sheet6"/>
  <dimension ref="A1:AN3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21</v>
      </c>
      <c r="B2">
        <v>738</v>
      </c>
      <c r="C2">
        <v>275</v>
      </c>
      <c r="D2">
        <v>0.28822677149780002</v>
      </c>
      <c r="E2">
        <v>1.5939830702067899E-2</v>
      </c>
      <c r="F2">
        <v>4.6583855808595001</v>
      </c>
      <c r="G2">
        <v>-0.1508035181118714</v>
      </c>
      <c r="H2">
        <v>-0.12254530321902878</v>
      </c>
      <c r="I2">
        <v>2.7946610189232599E-2</v>
      </c>
      <c r="J2">
        <v>1.46081122021942E-2</v>
      </c>
      <c r="K2">
        <v>3.42174996581689E-3</v>
      </c>
      <c r="L2">
        <v>3.1703458826179746E-5</v>
      </c>
      <c r="M2">
        <v>5.5301846445494531E-7</v>
      </c>
      <c r="N2" s="1">
        <v>1.6313388804282199E-11</v>
      </c>
      <c r="O2" s="1">
        <v>7.47782318432296E-15</v>
      </c>
      <c r="P2" s="1">
        <v>2.7754703870954101E-14</v>
      </c>
      <c r="R2">
        <v>47.346792370520603</v>
      </c>
      <c r="S2">
        <v>2.1474792867325698</v>
      </c>
      <c r="T2">
        <v>9.8198979760032294</v>
      </c>
      <c r="V2">
        <v>37.731591925468102</v>
      </c>
      <c r="W2">
        <v>0.54916477011371601</v>
      </c>
      <c r="X2">
        <v>2.4050736711616798</v>
      </c>
      <c r="AJ2">
        <v>8.8385860431397706E-2</v>
      </c>
      <c r="AK2">
        <v>9.1081493249065795E-2</v>
      </c>
      <c r="AL2">
        <v>0.77786993714005803</v>
      </c>
      <c r="AM2">
        <v>1.1466589691657701E-2</v>
      </c>
      <c r="AN2">
        <v>3.11961194878204E-2</v>
      </c>
    </row>
    <row r="3" spans="1:40" x14ac:dyDescent="0.2">
      <c r="A3">
        <v>40</v>
      </c>
      <c r="B3">
        <v>741</v>
      </c>
      <c r="C3">
        <v>250</v>
      </c>
      <c r="D3">
        <v>0.31765567223783697</v>
      </c>
      <c r="E3">
        <v>1.71181354625679E-2</v>
      </c>
      <c r="F3">
        <v>4.6563127760581802</v>
      </c>
      <c r="G3">
        <v>-0.16244601054834756</v>
      </c>
      <c r="H3">
        <v>-0.13191966432629706</v>
      </c>
      <c r="I3">
        <v>3.0100425205394101E-2</v>
      </c>
      <c r="J3">
        <v>1.5694517548401302E-2</v>
      </c>
      <c r="K3">
        <v>3.6763285212681501E-3</v>
      </c>
      <c r="L3">
        <v>3.1632762745749934E-5</v>
      </c>
      <c r="M3">
        <v>5.5321285968473435E-7</v>
      </c>
      <c r="N3" s="1">
        <v>1.8098547968814699E-11</v>
      </c>
      <c r="O3" s="1">
        <v>8.0250596647430999E-15</v>
      </c>
      <c r="P3" s="1">
        <v>2.9974250197794E-14</v>
      </c>
      <c r="R3">
        <v>47.341201298875298</v>
      </c>
      <c r="S3">
        <v>2.1345928507008498</v>
      </c>
      <c r="T3">
        <v>9.9379404208561493</v>
      </c>
      <c r="V3">
        <v>37.296029536135002</v>
      </c>
      <c r="W3">
        <v>0.76794457869574295</v>
      </c>
      <c r="X3">
        <v>2.52229131473685</v>
      </c>
      <c r="AJ3">
        <v>9.2619112171477599E-2</v>
      </c>
      <c r="AK3">
        <v>9.2102308194282306E-2</v>
      </c>
      <c r="AL3">
        <v>0.76827272938239899</v>
      </c>
      <c r="AM3">
        <v>1.6021841892084498E-2</v>
      </c>
      <c r="AN3">
        <v>3.0984008359755798E-2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96652-0C71-442B-8848-B11849EE2CB5}">
  <sheetPr codeName="Sheet7"/>
  <dimension ref="A1:AN20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20</v>
      </c>
      <c r="B2">
        <v>739</v>
      </c>
      <c r="C2">
        <v>275</v>
      </c>
      <c r="D2">
        <v>0.28899916020352701</v>
      </c>
      <c r="E2">
        <v>0.42491057665617898</v>
      </c>
      <c r="F2">
        <v>4.9456774239342298</v>
      </c>
      <c r="G2">
        <v>-2.8212182778364103</v>
      </c>
      <c r="H2">
        <v>-2.0656185852111335</v>
      </c>
      <c r="I2">
        <v>0.74652936089045796</v>
      </c>
      <c r="J2">
        <v>0.37636134416058198</v>
      </c>
      <c r="K2">
        <v>8.5915546088763395E-2</v>
      </c>
      <c r="L2">
        <v>3.6439128529087521E-5</v>
      </c>
      <c r="M2">
        <v>4.2331844894230493E-7</v>
      </c>
      <c r="N2" s="1">
        <v>1.7103572514132501E-9</v>
      </c>
      <c r="O2" s="1">
        <v>2.1162589551988301E-13</v>
      </c>
      <c r="P2">
        <v>0</v>
      </c>
      <c r="R2">
        <v>8.4713584593355407</v>
      </c>
      <c r="S2">
        <v>1.76506700441339</v>
      </c>
      <c r="T2">
        <v>51.013330010608001</v>
      </c>
      <c r="V2">
        <v>37.881512284687197</v>
      </c>
      <c r="X2">
        <v>0.86873224095576096</v>
      </c>
      <c r="AJ2">
        <v>0</v>
      </c>
      <c r="AK2">
        <v>-9.5828156972214192E-3</v>
      </c>
      <c r="AL2">
        <v>0.72145121288736302</v>
      </c>
      <c r="AM2">
        <v>4.8678868758665499E-2</v>
      </c>
      <c r="AN2">
        <v>0.239452734051192</v>
      </c>
    </row>
    <row r="3" spans="1:40" x14ac:dyDescent="0.2">
      <c r="A3">
        <v>21</v>
      </c>
      <c r="B3">
        <v>738</v>
      </c>
      <c r="C3">
        <v>275</v>
      </c>
      <c r="D3">
        <v>0.28822677149780002</v>
      </c>
      <c r="E3">
        <v>0.52937718087616803</v>
      </c>
      <c r="F3">
        <v>4.9400042146310996</v>
      </c>
      <c r="G3">
        <v>-3.5329533853647592</v>
      </c>
      <c r="H3">
        <v>-2.5916279240107074</v>
      </c>
      <c r="I3">
        <v>0.93094541992192203</v>
      </c>
      <c r="J3">
        <v>0.46901414865784802</v>
      </c>
      <c r="K3">
        <v>0.107161281220829</v>
      </c>
      <c r="L3">
        <v>3.5610176422668723E-5</v>
      </c>
      <c r="M3">
        <v>4.1427112449128866E-7</v>
      </c>
      <c r="N3" s="1">
        <v>2.08449433075603E-9</v>
      </c>
      <c r="O3" s="1">
        <v>2.5760657349821098E-13</v>
      </c>
      <c r="P3">
        <v>0</v>
      </c>
      <c r="R3">
        <v>9.10384090521808</v>
      </c>
      <c r="S3">
        <v>1.7349760554993501</v>
      </c>
      <c r="T3">
        <v>49.842995011190297</v>
      </c>
      <c r="V3">
        <v>38.4216105696852</v>
      </c>
      <c r="X3">
        <v>0.89657745840700198</v>
      </c>
      <c r="AJ3">
        <v>0</v>
      </c>
      <c r="AK3">
        <v>-1.1801827496608901E-2</v>
      </c>
      <c r="AL3">
        <v>0.70443494522378203</v>
      </c>
      <c r="AM3">
        <v>5.0206023003962097E-2</v>
      </c>
      <c r="AN3">
        <v>0.25716085926886401</v>
      </c>
    </row>
    <row r="4" spans="1:40" x14ac:dyDescent="0.2">
      <c r="A4">
        <v>39</v>
      </c>
      <c r="B4">
        <v>742</v>
      </c>
      <c r="C4">
        <v>250</v>
      </c>
      <c r="D4">
        <v>0.318396788651924</v>
      </c>
      <c r="E4">
        <v>0.53422871241242598</v>
      </c>
      <c r="F4">
        <v>4.93623199336756</v>
      </c>
      <c r="G4">
        <v>-3.5776835845982142</v>
      </c>
      <c r="H4">
        <v>-2.6215453589374142</v>
      </c>
      <c r="I4">
        <v>0.94186891164931197</v>
      </c>
      <c r="J4">
        <v>0.47355667114426597</v>
      </c>
      <c r="K4">
        <v>0.108226013917139</v>
      </c>
      <c r="L4">
        <v>3.5580665595608782E-5</v>
      </c>
      <c r="M4">
        <v>4.1404234811138633E-7</v>
      </c>
      <c r="N4" s="1">
        <v>2.0971958021059601E-9</v>
      </c>
      <c r="O4" s="1">
        <v>2.5880620594253001E-13</v>
      </c>
      <c r="P4">
        <v>0</v>
      </c>
      <c r="R4">
        <v>9.2566323355671507</v>
      </c>
      <c r="S4">
        <v>1.6974812453517201</v>
      </c>
      <c r="T4">
        <v>49.6203549958732</v>
      </c>
      <c r="V4">
        <v>38.476749909998098</v>
      </c>
      <c r="X4">
        <v>0.94878151320965698</v>
      </c>
      <c r="AJ4">
        <v>0</v>
      </c>
      <c r="AK4">
        <v>-1.5549800152585599E-2</v>
      </c>
      <c r="AL4">
        <v>0.70105039848996498</v>
      </c>
      <c r="AM4">
        <v>5.3111287700464298E-2</v>
      </c>
      <c r="AN4">
        <v>0.261388113962156</v>
      </c>
    </row>
    <row r="5" spans="1:40" x14ac:dyDescent="0.2">
      <c r="A5">
        <v>40</v>
      </c>
      <c r="B5">
        <v>741</v>
      </c>
      <c r="C5">
        <v>250</v>
      </c>
      <c r="D5">
        <v>0.31765567223783697</v>
      </c>
      <c r="E5">
        <v>0.55833802805028399</v>
      </c>
      <c r="F5">
        <v>4.9372284878157497</v>
      </c>
      <c r="G5">
        <v>-3.7356320755180672</v>
      </c>
      <c r="H5">
        <v>-2.7380074662283378</v>
      </c>
      <c r="I5">
        <v>0.98370518097887805</v>
      </c>
      <c r="J5">
        <v>0.49490778433237298</v>
      </c>
      <c r="K5">
        <v>0.113087338256304</v>
      </c>
      <c r="L5">
        <v>3.5706083547362117E-5</v>
      </c>
      <c r="M5">
        <v>4.1564408790233524E-7</v>
      </c>
      <c r="N5" s="1">
        <v>2.2006745637468102E-9</v>
      </c>
      <c r="O5" s="1">
        <v>2.7165404015373502E-13</v>
      </c>
      <c r="P5">
        <v>0</v>
      </c>
      <c r="R5">
        <v>9.1214396763594401</v>
      </c>
      <c r="S5">
        <v>1.73382647578099</v>
      </c>
      <c r="T5">
        <v>49.834644741244396</v>
      </c>
      <c r="V5">
        <v>38.368555680647802</v>
      </c>
      <c r="X5">
        <v>0.94153342596729495</v>
      </c>
      <c r="AJ5">
        <v>0</v>
      </c>
      <c r="AK5">
        <v>-1.43396205440175E-2</v>
      </c>
      <c r="AL5">
        <v>0.70406792939393603</v>
      </c>
      <c r="AM5">
        <v>5.27048015346935E-2</v>
      </c>
      <c r="AN5">
        <v>0.25756688961538698</v>
      </c>
    </row>
    <row r="6" spans="1:40" x14ac:dyDescent="0.2">
      <c r="A6">
        <v>54</v>
      </c>
      <c r="B6">
        <v>746</v>
      </c>
      <c r="C6">
        <v>225</v>
      </c>
      <c r="D6">
        <v>0.34832998086640898</v>
      </c>
      <c r="E6">
        <v>0.53191647197734404</v>
      </c>
      <c r="F6">
        <v>4.9371645521058598</v>
      </c>
      <c r="G6">
        <v>-3.5593283014434336</v>
      </c>
      <c r="H6">
        <v>-2.6022380676133845</v>
      </c>
      <c r="I6">
        <v>0.93910634727964404</v>
      </c>
      <c r="J6">
        <v>0.47166864312601497</v>
      </c>
      <c r="K6">
        <v>0.107737237915326</v>
      </c>
      <c r="L6">
        <v>3.6233803716725683E-5</v>
      </c>
      <c r="M6">
        <v>4.2142311901197584E-7</v>
      </c>
      <c r="N6" s="1">
        <v>2.1210687341821002E-9</v>
      </c>
      <c r="O6" s="1">
        <v>2.6167323266207999E-13</v>
      </c>
      <c r="P6">
        <v>0</v>
      </c>
      <c r="R6">
        <v>8.8563218713337104</v>
      </c>
      <c r="S6">
        <v>1.7138925764320401</v>
      </c>
      <c r="T6">
        <v>50.388132974081898</v>
      </c>
      <c r="V6">
        <v>38.066116247184603</v>
      </c>
      <c r="X6">
        <v>0.97553633096761205</v>
      </c>
      <c r="AJ6">
        <v>0</v>
      </c>
      <c r="AK6">
        <v>-1.6685904813880201E-2</v>
      </c>
      <c r="AL6">
        <v>0.71196428546207702</v>
      </c>
      <c r="AM6">
        <v>5.4614081418164102E-2</v>
      </c>
      <c r="AN6">
        <v>0.25010753793363799</v>
      </c>
    </row>
    <row r="7" spans="1:40" x14ac:dyDescent="0.2">
      <c r="A7">
        <v>55</v>
      </c>
      <c r="B7">
        <v>745</v>
      </c>
      <c r="C7">
        <v>225</v>
      </c>
      <c r="D7">
        <v>0.347621175661739</v>
      </c>
      <c r="E7">
        <v>0.58118726485946404</v>
      </c>
      <c r="F7">
        <v>4.9301867076721404</v>
      </c>
      <c r="G7">
        <v>-3.9132759260139629</v>
      </c>
      <c r="H7">
        <v>-2.8672975048641409</v>
      </c>
      <c r="I7">
        <v>1.0273323391934599</v>
      </c>
      <c r="J7">
        <v>0.51549745586290896</v>
      </c>
      <c r="K7">
        <v>0.117883418888588</v>
      </c>
      <c r="L7">
        <v>3.5248014019546109E-5</v>
      </c>
      <c r="M7">
        <v>4.1066033592453699E-7</v>
      </c>
      <c r="N7" s="1">
        <v>2.25680680922464E-9</v>
      </c>
      <c r="O7" s="1">
        <v>2.7795492545906899E-13</v>
      </c>
      <c r="P7">
        <v>0</v>
      </c>
      <c r="R7">
        <v>9.6171920977121896</v>
      </c>
      <c r="S7">
        <v>1.6748700595986701</v>
      </c>
      <c r="T7">
        <v>48.985854875407099</v>
      </c>
      <c r="V7">
        <v>38.708780391268697</v>
      </c>
      <c r="X7">
        <v>1.01330257601318</v>
      </c>
      <c r="AJ7">
        <v>0</v>
      </c>
      <c r="AK7">
        <v>-1.9647840276430399E-2</v>
      </c>
      <c r="AL7">
        <v>0.69159031921529801</v>
      </c>
      <c r="AM7">
        <v>5.6682448786887898E-2</v>
      </c>
      <c r="AN7">
        <v>0.27137507227424401</v>
      </c>
    </row>
    <row r="8" spans="1:40" x14ac:dyDescent="0.2">
      <c r="A8">
        <v>64</v>
      </c>
      <c r="B8">
        <v>751</v>
      </c>
      <c r="C8">
        <v>200</v>
      </c>
      <c r="D8">
        <v>0.378704779573308</v>
      </c>
      <c r="E8">
        <v>0.42788180893644701</v>
      </c>
      <c r="F8">
        <v>4.94744012263582</v>
      </c>
      <c r="G8">
        <v>-2.835203585569587</v>
      </c>
      <c r="H8">
        <v>-2.0620565145313838</v>
      </c>
      <c r="I8">
        <v>0.75491585318381405</v>
      </c>
      <c r="J8">
        <v>0.37933016389304702</v>
      </c>
      <c r="K8">
        <v>8.6485495191498396E-2</v>
      </c>
      <c r="L8">
        <v>3.8363526697458344E-5</v>
      </c>
      <c r="M8">
        <v>4.4503188726619765E-7</v>
      </c>
      <c r="N8" s="1">
        <v>1.7997725445881899E-9</v>
      </c>
      <c r="O8" s="1">
        <v>2.22456937554844E-13</v>
      </c>
      <c r="P8">
        <v>0</v>
      </c>
      <c r="R8">
        <v>7.2972804707261298</v>
      </c>
      <c r="S8">
        <v>1.8262320332638999</v>
      </c>
      <c r="T8">
        <v>53.251830088692998</v>
      </c>
      <c r="V8">
        <v>36.673766106461102</v>
      </c>
      <c r="X8">
        <v>0.95089130085578499</v>
      </c>
      <c r="AJ8">
        <v>0</v>
      </c>
      <c r="AK8">
        <v>-1.2833982547082999E-2</v>
      </c>
      <c r="AL8">
        <v>0.75324012484458103</v>
      </c>
      <c r="AM8">
        <v>5.3291878249843501E-2</v>
      </c>
      <c r="AN8">
        <v>0.20630197945265699</v>
      </c>
    </row>
    <row r="9" spans="1:40" x14ac:dyDescent="0.2">
      <c r="A9">
        <v>65</v>
      </c>
      <c r="B9">
        <v>750</v>
      </c>
      <c r="C9">
        <v>200</v>
      </c>
      <c r="D9">
        <v>0.37802912573913899</v>
      </c>
      <c r="E9">
        <v>0.55776697724669699</v>
      </c>
      <c r="F9">
        <v>4.9340886804723496</v>
      </c>
      <c r="G9">
        <v>-3.742803236534979</v>
      </c>
      <c r="H9">
        <v>-2.7328972483559513</v>
      </c>
      <c r="I9">
        <v>0.98705564988420802</v>
      </c>
      <c r="J9">
        <v>0.494860590162154</v>
      </c>
      <c r="K9">
        <v>0.11304356556341801</v>
      </c>
      <c r="L9">
        <v>3.6350737908485234E-5</v>
      </c>
      <c r="M9">
        <v>4.2283867802953166E-7</v>
      </c>
      <c r="N9" s="1">
        <v>2.2263488473448399E-9</v>
      </c>
      <c r="O9" s="1">
        <v>2.7432291477587901E-13</v>
      </c>
      <c r="P9">
        <v>0</v>
      </c>
      <c r="R9">
        <v>8.8812385856744207</v>
      </c>
      <c r="S9">
        <v>1.70604733287425</v>
      </c>
      <c r="T9">
        <v>50.375769725672399</v>
      </c>
      <c r="V9">
        <v>38.0123035151598</v>
      </c>
      <c r="X9">
        <v>1.02464084061898</v>
      </c>
      <c r="AJ9">
        <v>0</v>
      </c>
      <c r="AK9">
        <v>-1.9601602730185599E-2</v>
      </c>
      <c r="AL9">
        <v>0.71153674576812398</v>
      </c>
      <c r="AM9">
        <v>5.7342753606061801E-2</v>
      </c>
      <c r="AN9">
        <v>0.25072210335599898</v>
      </c>
    </row>
    <row r="10" spans="1:40" x14ac:dyDescent="0.2">
      <c r="A10">
        <v>66</v>
      </c>
      <c r="B10">
        <v>749</v>
      </c>
      <c r="C10">
        <v>200</v>
      </c>
      <c r="D10">
        <v>0.37735214988015597</v>
      </c>
      <c r="E10">
        <v>0.59372370900050997</v>
      </c>
      <c r="F10">
        <v>4.9283118890200797</v>
      </c>
      <c r="G10">
        <v>-4.0046550764853741</v>
      </c>
      <c r="H10">
        <v>-2.9296993678037562</v>
      </c>
      <c r="I10">
        <v>1.0516614084836999</v>
      </c>
      <c r="J10">
        <v>0.52688194132441801</v>
      </c>
      <c r="K10">
        <v>0.120472024167805</v>
      </c>
      <c r="L10">
        <v>3.5532165253382672E-5</v>
      </c>
      <c r="M10">
        <v>4.1395076230254898E-7</v>
      </c>
      <c r="N10" s="1">
        <v>2.3186451807439601E-9</v>
      </c>
      <c r="O10" s="1">
        <v>2.8528928036771002E-13</v>
      </c>
      <c r="P10">
        <v>0</v>
      </c>
      <c r="R10">
        <v>9.5077373854120708</v>
      </c>
      <c r="S10">
        <v>1.6780527553932501</v>
      </c>
      <c r="T10">
        <v>49.216810781863899</v>
      </c>
      <c r="V10">
        <v>38.540666978909599</v>
      </c>
      <c r="X10">
        <v>1.05673209842107</v>
      </c>
      <c r="AJ10">
        <v>0</v>
      </c>
      <c r="AK10">
        <v>-2.20015043628526E-2</v>
      </c>
      <c r="AL10">
        <v>0.694682540155803</v>
      </c>
      <c r="AM10">
        <v>5.9097493076310299E-2</v>
      </c>
      <c r="AN10">
        <v>0.26822147113073802</v>
      </c>
    </row>
    <row r="11" spans="1:40" x14ac:dyDescent="0.2">
      <c r="A11">
        <v>76</v>
      </c>
      <c r="B11">
        <v>756</v>
      </c>
      <c r="C11">
        <v>175</v>
      </c>
      <c r="D11">
        <v>0.40878443375601398</v>
      </c>
      <c r="E11">
        <v>0.43558534965859602</v>
      </c>
      <c r="F11">
        <v>4.9466494219522001</v>
      </c>
      <c r="G11">
        <v>-2.887815747011794</v>
      </c>
      <c r="H11">
        <v>-2.0952360522920985</v>
      </c>
      <c r="I11">
        <v>0.77013039374211201</v>
      </c>
      <c r="J11">
        <v>0.38632468761155297</v>
      </c>
      <c r="K11">
        <v>8.8056644508818102E-2</v>
      </c>
      <c r="L11">
        <v>3.8903492434049419E-5</v>
      </c>
      <c r="M11">
        <v>4.5091167310907237E-7</v>
      </c>
      <c r="N11" s="1">
        <v>1.85262708410901E-9</v>
      </c>
      <c r="O11" s="1">
        <v>2.2885516126662502E-13</v>
      </c>
      <c r="P11">
        <v>0</v>
      </c>
      <c r="R11">
        <v>7.00441034869226</v>
      </c>
      <c r="S11">
        <v>1.84451617402691</v>
      </c>
      <c r="T11">
        <v>53.814567405237902</v>
      </c>
      <c r="V11">
        <v>36.350467732372401</v>
      </c>
      <c r="X11">
        <v>0.98603833967041998</v>
      </c>
      <c r="AJ11">
        <v>0</v>
      </c>
      <c r="AK11">
        <v>-1.4397479493175099E-2</v>
      </c>
      <c r="AL11">
        <v>0.76113515655389696</v>
      </c>
      <c r="AM11">
        <v>5.5256958218302399E-2</v>
      </c>
      <c r="AN11">
        <v>0.19800536472097399</v>
      </c>
    </row>
    <row r="12" spans="1:40" x14ac:dyDescent="0.2">
      <c r="A12">
        <v>77</v>
      </c>
      <c r="B12">
        <v>755</v>
      </c>
      <c r="C12">
        <v>175</v>
      </c>
      <c r="D12">
        <v>0.40814132179156798</v>
      </c>
      <c r="E12">
        <v>0.55960286828660399</v>
      </c>
      <c r="F12">
        <v>4.93377270927766</v>
      </c>
      <c r="G12">
        <v>-3.7562672670770509</v>
      </c>
      <c r="H12">
        <v>-2.7359640914886496</v>
      </c>
      <c r="I12">
        <v>0.99236801593969803</v>
      </c>
      <c r="J12">
        <v>0.49671998260577299</v>
      </c>
      <c r="K12">
        <v>0.113422912092059</v>
      </c>
      <c r="L12">
        <v>3.6921606775549105E-5</v>
      </c>
      <c r="M12">
        <v>4.2909615749245345E-7</v>
      </c>
      <c r="N12" s="1">
        <v>2.2620876203604499E-9</v>
      </c>
      <c r="O12" s="1">
        <v>2.7857456923249702E-13</v>
      </c>
      <c r="P12">
        <v>0</v>
      </c>
      <c r="R12">
        <v>8.56313990187566</v>
      </c>
      <c r="S12">
        <v>1.7227892186108</v>
      </c>
      <c r="T12">
        <v>50.988700349145198</v>
      </c>
      <c r="V12">
        <v>37.666162688782002</v>
      </c>
      <c r="X12">
        <v>1.0592078415861399</v>
      </c>
      <c r="AJ12">
        <v>0</v>
      </c>
      <c r="AK12">
        <v>-2.1164729678264299E-2</v>
      </c>
      <c r="AL12">
        <v>0.72015981413521701</v>
      </c>
      <c r="AM12">
        <v>5.9274428052939199E-2</v>
      </c>
      <c r="AN12">
        <v>0.241730487490107</v>
      </c>
    </row>
    <row r="13" spans="1:40" x14ac:dyDescent="0.2">
      <c r="A13">
        <v>78</v>
      </c>
      <c r="B13">
        <v>754</v>
      </c>
      <c r="C13">
        <v>175</v>
      </c>
      <c r="D13">
        <v>0.40749695760112897</v>
      </c>
      <c r="E13">
        <v>0.597389783595902</v>
      </c>
      <c r="F13">
        <v>4.9275905372223701</v>
      </c>
      <c r="G13">
        <v>-4.0323915895626037</v>
      </c>
      <c r="H13">
        <v>-2.9431003727663136</v>
      </c>
      <c r="I13">
        <v>1.0604986776968199</v>
      </c>
      <c r="J13">
        <v>0.53040696925432695</v>
      </c>
      <c r="K13">
        <v>0.121233649403962</v>
      </c>
      <c r="L13">
        <v>3.6032808317569776E-5</v>
      </c>
      <c r="M13">
        <v>4.1944556103426619E-7</v>
      </c>
      <c r="N13" s="1">
        <v>2.35890196169528E-9</v>
      </c>
      <c r="O13" s="1">
        <v>2.9004536637875502E-13</v>
      </c>
      <c r="P13">
        <v>0</v>
      </c>
      <c r="R13">
        <v>9.2457272855000294</v>
      </c>
      <c r="S13">
        <v>1.68889059669699</v>
      </c>
      <c r="T13">
        <v>49.730239091762101</v>
      </c>
      <c r="V13">
        <v>38.240487128750701</v>
      </c>
      <c r="X13">
        <v>1.09465589729006</v>
      </c>
      <c r="AJ13">
        <v>0</v>
      </c>
      <c r="AK13">
        <v>-2.3880528578343701E-2</v>
      </c>
      <c r="AL13">
        <v>0.70186279592573697</v>
      </c>
      <c r="AM13">
        <v>6.1212559567810597E-2</v>
      </c>
      <c r="AN13">
        <v>0.260805173084796</v>
      </c>
    </row>
    <row r="14" spans="1:40" x14ac:dyDescent="0.2">
      <c r="A14">
        <v>92</v>
      </c>
      <c r="B14">
        <v>762</v>
      </c>
      <c r="C14">
        <v>150</v>
      </c>
      <c r="D14">
        <v>0.439183210162781</v>
      </c>
      <c r="E14">
        <v>0.46183395478519601</v>
      </c>
      <c r="F14">
        <v>4.9437753699164704</v>
      </c>
      <c r="G14">
        <v>-3.0698686025202213</v>
      </c>
      <c r="H14">
        <v>-2.2220191623944978</v>
      </c>
      <c r="I14">
        <v>0.81905949874484196</v>
      </c>
      <c r="J14">
        <v>0.409870432377757</v>
      </c>
      <c r="K14">
        <v>9.3417261147324293E-2</v>
      </c>
      <c r="L14">
        <v>3.9202351052762274E-5</v>
      </c>
      <c r="M14">
        <v>4.5388628305530475E-7</v>
      </c>
      <c r="N14" s="1">
        <v>1.9729730961733101E-9</v>
      </c>
      <c r="O14" s="1">
        <v>2.4346991461536798E-13</v>
      </c>
      <c r="P14">
        <v>0</v>
      </c>
      <c r="R14">
        <v>6.9198049450794104</v>
      </c>
      <c r="S14">
        <v>1.8498452810353101</v>
      </c>
      <c r="T14">
        <v>53.997275838800597</v>
      </c>
      <c r="V14">
        <v>36.199461185500198</v>
      </c>
      <c r="X14">
        <v>1.0336127495844001</v>
      </c>
      <c r="AJ14">
        <v>0</v>
      </c>
      <c r="AK14">
        <v>-1.6940208824590301E-2</v>
      </c>
      <c r="AL14">
        <v>0.76348223595089604</v>
      </c>
      <c r="AM14">
        <v>5.79050162539246E-2</v>
      </c>
      <c r="AN14">
        <v>0.19555295661976799</v>
      </c>
    </row>
    <row r="15" spans="1:40" x14ac:dyDescent="0.2">
      <c r="A15">
        <v>93</v>
      </c>
      <c r="B15">
        <v>761</v>
      </c>
      <c r="C15">
        <v>150</v>
      </c>
      <c r="D15">
        <v>0.43857322438717999</v>
      </c>
      <c r="E15">
        <v>0.56523197885786503</v>
      </c>
      <c r="F15">
        <v>4.9323711869513396</v>
      </c>
      <c r="G15">
        <v>-3.7990328076908386</v>
      </c>
      <c r="H15">
        <v>-2.7596088607994105</v>
      </c>
      <c r="I15">
        <v>1.00509978909387</v>
      </c>
      <c r="J15">
        <v>0.50201043276256796</v>
      </c>
      <c r="K15">
        <v>0.11459639946668899</v>
      </c>
      <c r="L15">
        <v>3.7423958495503288E-5</v>
      </c>
      <c r="M15">
        <v>4.343809299900059E-7</v>
      </c>
      <c r="N15" s="1">
        <v>2.3081254606873201E-9</v>
      </c>
      <c r="O15" s="1">
        <v>2.8402581676242298E-13</v>
      </c>
      <c r="P15">
        <v>0</v>
      </c>
      <c r="R15">
        <v>8.3149273764844391</v>
      </c>
      <c r="S15">
        <v>1.74098417087359</v>
      </c>
      <c r="T15">
        <v>51.4687355878281</v>
      </c>
      <c r="V15">
        <v>37.37472506788</v>
      </c>
      <c r="X15">
        <v>1.1006277969337499</v>
      </c>
      <c r="AJ15">
        <v>0</v>
      </c>
      <c r="AK15">
        <v>-2.3076093627195399E-2</v>
      </c>
      <c r="AL15">
        <v>0.72681214176682896</v>
      </c>
      <c r="AM15">
        <v>6.1581518711985098E-2</v>
      </c>
      <c r="AN15">
        <v>0.23468243314838</v>
      </c>
    </row>
    <row r="16" spans="1:40" x14ac:dyDescent="0.2">
      <c r="A16">
        <v>94</v>
      </c>
      <c r="B16">
        <v>760</v>
      </c>
      <c r="C16">
        <v>150</v>
      </c>
      <c r="D16">
        <v>0.43796205778444602</v>
      </c>
      <c r="E16">
        <v>0.60190290402705104</v>
      </c>
      <c r="F16">
        <v>4.9262021612119602</v>
      </c>
      <c r="G16">
        <v>-4.0684215484664081</v>
      </c>
      <c r="H16">
        <v>-2.9614299582039814</v>
      </c>
      <c r="I16">
        <v>1.07147228404629</v>
      </c>
      <c r="J16">
        <v>0.53474060249537303</v>
      </c>
      <c r="K16">
        <v>0.122183963290489</v>
      </c>
      <c r="L16">
        <v>3.6524076214933702E-5</v>
      </c>
      <c r="M16">
        <v>4.2463185927036268E-7</v>
      </c>
      <c r="N16" s="1">
        <v>2.4009560370839899E-9</v>
      </c>
      <c r="O16" s="1">
        <v>2.9497803442478598E-13</v>
      </c>
      <c r="P16">
        <v>0</v>
      </c>
      <c r="R16">
        <v>9.0061575789340491</v>
      </c>
      <c r="S16">
        <v>1.70491326514509</v>
      </c>
      <c r="T16">
        <v>50.196755284867201</v>
      </c>
      <c r="V16">
        <v>37.954970924081898</v>
      </c>
      <c r="X16">
        <v>1.13720294697166</v>
      </c>
      <c r="AJ16">
        <v>0</v>
      </c>
      <c r="AK16">
        <v>-2.59008892591828E-2</v>
      </c>
      <c r="AL16">
        <v>0.70831909111058999</v>
      </c>
      <c r="AM16">
        <v>6.35802925973699E-2</v>
      </c>
      <c r="AN16">
        <v>0.25400150555122197</v>
      </c>
    </row>
    <row r="17" spans="1:40" x14ac:dyDescent="0.2">
      <c r="A17">
        <v>112</v>
      </c>
      <c r="B17">
        <v>771</v>
      </c>
      <c r="C17">
        <v>125</v>
      </c>
      <c r="D17">
        <v>0.47095771680314102</v>
      </c>
      <c r="E17">
        <v>0.19582323881765801</v>
      </c>
      <c r="F17">
        <v>4.9565770878119801</v>
      </c>
      <c r="G17">
        <v>-1.2858325966288553</v>
      </c>
      <c r="H17">
        <v>-0.92324458619701044</v>
      </c>
      <c r="I17">
        <v>0.347256630208155</v>
      </c>
      <c r="J17">
        <v>0.17364794974969</v>
      </c>
      <c r="K17">
        <v>3.95077561285547E-2</v>
      </c>
      <c r="L17">
        <v>4.1610012150671104E-5</v>
      </c>
      <c r="M17">
        <v>4.7871104742171718E-7</v>
      </c>
      <c r="N17" s="1">
        <v>8.8342693135843797E-10</v>
      </c>
      <c r="O17" s="1">
        <v>1.09476559399069E-13</v>
      </c>
      <c r="P17">
        <v>0</v>
      </c>
      <c r="R17">
        <v>5.0856222734230201</v>
      </c>
      <c r="S17">
        <v>2.0249356520896802</v>
      </c>
      <c r="T17">
        <v>57.262369803622498</v>
      </c>
      <c r="V17">
        <v>34.721618571771003</v>
      </c>
      <c r="X17">
        <v>0.90545369909369799</v>
      </c>
      <c r="AJ17">
        <v>0</v>
      </c>
      <c r="AK17">
        <v>-5.8936642762208204E-3</v>
      </c>
      <c r="AL17">
        <v>0.81110046814171399</v>
      </c>
      <c r="AM17">
        <v>5.0816274888063701E-2</v>
      </c>
      <c r="AN17">
        <v>0.14397692124644201</v>
      </c>
    </row>
    <row r="18" spans="1:40" x14ac:dyDescent="0.2">
      <c r="A18">
        <v>113</v>
      </c>
      <c r="B18">
        <v>770</v>
      </c>
      <c r="C18">
        <v>125</v>
      </c>
      <c r="D18">
        <v>0.47038345396155901</v>
      </c>
      <c r="E18">
        <v>0.44193322359068499</v>
      </c>
      <c r="F18">
        <v>4.9436254946871303</v>
      </c>
      <c r="G18">
        <v>-2.9369667702971611</v>
      </c>
      <c r="H18">
        <v>-2.1168961242513507</v>
      </c>
      <c r="I18">
        <v>0.78614834496075403</v>
      </c>
      <c r="J18">
        <v>0.39241623605111797</v>
      </c>
      <c r="K18">
        <v>8.9394559532396903E-2</v>
      </c>
      <c r="L18">
        <v>4.0113268508181388E-5</v>
      </c>
      <c r="M18">
        <v>4.6320016617076029E-7</v>
      </c>
      <c r="N18" s="1">
        <v>1.92327674301366E-9</v>
      </c>
      <c r="O18" s="1">
        <v>2.3726632966996998E-13</v>
      </c>
      <c r="P18">
        <v>0</v>
      </c>
      <c r="R18">
        <v>6.3797667036242904</v>
      </c>
      <c r="S18">
        <v>1.90587113526332</v>
      </c>
      <c r="T18">
        <v>54.991031562162703</v>
      </c>
      <c r="V18">
        <v>35.657652580811899</v>
      </c>
      <c r="X18">
        <v>1.0656780181376799</v>
      </c>
      <c r="AJ18">
        <v>0</v>
      </c>
      <c r="AK18">
        <v>-1.7495346827004401E-2</v>
      </c>
      <c r="AL18">
        <v>0.77750969834324202</v>
      </c>
      <c r="AM18">
        <v>5.9699569538242202E-2</v>
      </c>
      <c r="AN18">
        <v>0.18028607894552001</v>
      </c>
    </row>
    <row r="19" spans="1:40" x14ac:dyDescent="0.2">
      <c r="A19">
        <v>114</v>
      </c>
      <c r="B19">
        <v>769</v>
      </c>
      <c r="C19">
        <v>125</v>
      </c>
      <c r="D19">
        <v>0.46980808904668597</v>
      </c>
      <c r="E19">
        <v>0.55366009843310504</v>
      </c>
      <c r="F19">
        <v>4.9326284234935098</v>
      </c>
      <c r="G19">
        <v>-3.7203433896983751</v>
      </c>
      <c r="H19">
        <v>-2.6911427110877142</v>
      </c>
      <c r="I19">
        <v>0.98757441693677495</v>
      </c>
      <c r="J19">
        <v>0.49202391898807302</v>
      </c>
      <c r="K19">
        <v>0.112244436616407</v>
      </c>
      <c r="L19">
        <v>3.8321089598920596E-5</v>
      </c>
      <c r="M19">
        <v>4.43599134012375E-7</v>
      </c>
      <c r="N19" s="1">
        <v>2.3046931498106E-9</v>
      </c>
      <c r="O19" s="1">
        <v>2.8352919983228898E-13</v>
      </c>
      <c r="P19">
        <v>0</v>
      </c>
      <c r="R19">
        <v>7.7857406759952603</v>
      </c>
      <c r="S19">
        <v>1.78756944984822</v>
      </c>
      <c r="T19">
        <v>52.452594299584398</v>
      </c>
      <c r="V19">
        <v>36.841498623909601</v>
      </c>
      <c r="X19">
        <v>1.1325969506623701</v>
      </c>
      <c r="AJ19">
        <v>0</v>
      </c>
      <c r="AK19">
        <v>-2.3834767167236402E-2</v>
      </c>
      <c r="AL19">
        <v>0.74071457200382995</v>
      </c>
      <c r="AM19">
        <v>6.3370998053484007E-2</v>
      </c>
      <c r="AN19">
        <v>0.219749197109921</v>
      </c>
    </row>
    <row r="20" spans="1:40" x14ac:dyDescent="0.2">
      <c r="A20">
        <v>115</v>
      </c>
      <c r="B20">
        <v>768</v>
      </c>
      <c r="C20">
        <v>125</v>
      </c>
      <c r="D20">
        <v>0.46923161888296799</v>
      </c>
      <c r="E20">
        <v>0.59809080988121999</v>
      </c>
      <c r="F20">
        <v>4.9256477627245703</v>
      </c>
      <c r="G20">
        <v>-4.0453477573750112</v>
      </c>
      <c r="H20">
        <v>-2.9331082181816597</v>
      </c>
      <c r="I20">
        <v>1.0682798244185201</v>
      </c>
      <c r="J20">
        <v>0.53171810830952404</v>
      </c>
      <c r="K20">
        <v>0.121423788036031</v>
      </c>
      <c r="L20">
        <v>3.7271075039738918E-5</v>
      </c>
      <c r="M20">
        <v>4.3222521322137471E-7</v>
      </c>
      <c r="N20" s="1">
        <v>2.4237019155812E-9</v>
      </c>
      <c r="O20" s="1">
        <v>2.9761983590450901E-13</v>
      </c>
      <c r="P20">
        <v>0</v>
      </c>
      <c r="R20">
        <v>8.5968243713864503</v>
      </c>
      <c r="S20">
        <v>1.73755338962692</v>
      </c>
      <c r="T20">
        <v>50.969121745924497</v>
      </c>
      <c r="V20">
        <v>37.520956113787499</v>
      </c>
      <c r="X20">
        <v>1.17554437927446</v>
      </c>
      <c r="AJ20">
        <v>0</v>
      </c>
      <c r="AK20">
        <v>-2.7321105025236998E-2</v>
      </c>
      <c r="AL20">
        <v>0.71916343676282002</v>
      </c>
      <c r="AM20">
        <v>6.5718966013441293E-2</v>
      </c>
      <c r="AN20">
        <v>0.24243870224897399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56CE3-5466-4F05-8B99-072FCBE64C86}">
  <sheetPr codeName="Sheet8"/>
  <dimension ref="A1:AP1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20</v>
      </c>
      <c r="B2">
        <v>739</v>
      </c>
      <c r="C2">
        <v>275</v>
      </c>
      <c r="D2">
        <v>0.28899916020352701</v>
      </c>
      <c r="E2">
        <v>0.33618502472730299</v>
      </c>
      <c r="F2">
        <v>3.5811388118983301</v>
      </c>
      <c r="G2">
        <v>-4.2851124457191032</v>
      </c>
      <c r="H2">
        <v>-3.6405007009949726</v>
      </c>
      <c r="I2">
        <v>0.63687372891778005</v>
      </c>
      <c r="J2">
        <v>0.37513987545995198</v>
      </c>
      <c r="K2">
        <v>9.3876568987029493E-2</v>
      </c>
      <c r="L2">
        <v>4.4354358678678944E-5</v>
      </c>
      <c r="M2">
        <v>9.1507548513542283E-7</v>
      </c>
      <c r="N2" s="1">
        <v>4.58630801624952E-10</v>
      </c>
      <c r="O2" s="1">
        <v>9.0253784483941699E-14</v>
      </c>
      <c r="P2" s="1">
        <v>1.29768421265379E-13</v>
      </c>
      <c r="Q2">
        <v>49.942351674255299</v>
      </c>
      <c r="R2">
        <v>1.34926105575216E-2</v>
      </c>
      <c r="S2">
        <v>1.8251593320306601</v>
      </c>
      <c r="T2">
        <v>0.52535057269353602</v>
      </c>
      <c r="V2">
        <v>32.146201031058098</v>
      </c>
      <c r="X2">
        <v>15.1792919655717</v>
      </c>
      <c r="AA2">
        <v>0.35181821129861501</v>
      </c>
      <c r="AB2">
        <v>1.6334602534336402E-2</v>
      </c>
      <c r="AJ2">
        <v>-1.0847152524732899</v>
      </c>
      <c r="AK2">
        <v>0.98404159937900004</v>
      </c>
      <c r="AL2">
        <v>1.04993401059489</v>
      </c>
      <c r="AM2">
        <v>3.4063263665717498E-2</v>
      </c>
      <c r="AN2">
        <v>-3.3270720210489102E-2</v>
      </c>
      <c r="AO2">
        <v>4.8710207039392897E-2</v>
      </c>
      <c r="AP2">
        <v>1.23689200477651E-3</v>
      </c>
    </row>
    <row r="3" spans="1:42" x14ac:dyDescent="0.2">
      <c r="A3">
        <v>21</v>
      </c>
      <c r="B3">
        <v>738</v>
      </c>
      <c r="C3">
        <v>275</v>
      </c>
      <c r="D3">
        <v>0.28822677149780002</v>
      </c>
      <c r="E3">
        <v>0.46291878379562201</v>
      </c>
      <c r="F3">
        <v>3.5774368076533398</v>
      </c>
      <c r="G3">
        <v>-5.914963497035223</v>
      </c>
      <c r="H3">
        <v>-5.0282383784341311</v>
      </c>
      <c r="I3">
        <v>0.87694715779171495</v>
      </c>
      <c r="J3">
        <v>0.51731142184704604</v>
      </c>
      <c r="K3">
        <v>0.12939956977165401</v>
      </c>
      <c r="L3">
        <v>4.4360882673127923E-5</v>
      </c>
      <c r="M3">
        <v>9.1408234513474428E-7</v>
      </c>
      <c r="N3" s="1">
        <v>6.1960099267854604E-10</v>
      </c>
      <c r="O3" s="1">
        <v>1.25745606973473E-13</v>
      </c>
      <c r="P3" s="1">
        <v>1.1607329128584199E-13</v>
      </c>
      <c r="Q3">
        <v>50.007123076876098</v>
      </c>
      <c r="R3">
        <v>1.5072477490828601E-2</v>
      </c>
      <c r="S3">
        <v>1.84778000614702</v>
      </c>
      <c r="T3">
        <v>0.51288261660627399</v>
      </c>
      <c r="V3">
        <v>31.878265290632299</v>
      </c>
      <c r="X3">
        <v>15.381818852122599</v>
      </c>
      <c r="AA3">
        <v>0.34072346077346399</v>
      </c>
      <c r="AB3">
        <v>1.6334219351238001E-2</v>
      </c>
      <c r="AJ3">
        <v>-1.07524586397497</v>
      </c>
      <c r="AK3">
        <v>0.98452841587463502</v>
      </c>
      <c r="AL3">
        <v>1.03966839043767</v>
      </c>
      <c r="AM3">
        <v>3.4762852185908501E-2</v>
      </c>
      <c r="AN3">
        <v>-3.3878796637025498E-2</v>
      </c>
      <c r="AO3">
        <v>4.89299382754151E-2</v>
      </c>
      <c r="AP3">
        <v>1.23506383836295E-3</v>
      </c>
    </row>
    <row r="4" spans="1:42" x14ac:dyDescent="0.2">
      <c r="A4">
        <v>39</v>
      </c>
      <c r="B4">
        <v>742</v>
      </c>
      <c r="C4">
        <v>250</v>
      </c>
      <c r="D4">
        <v>0.318396788651924</v>
      </c>
      <c r="E4">
        <v>0.41339777332036198</v>
      </c>
      <c r="F4">
        <v>3.5663623544562801</v>
      </c>
      <c r="G4">
        <v>-5.316856744727839</v>
      </c>
      <c r="H4">
        <v>-4.5188511232397852</v>
      </c>
      <c r="I4">
        <v>0.78609626310205805</v>
      </c>
      <c r="J4">
        <v>0.46347277105519002</v>
      </c>
      <c r="K4">
        <v>0.115915807826932</v>
      </c>
      <c r="L4">
        <v>4.4365184707150826E-5</v>
      </c>
      <c r="M4">
        <v>9.1208064679165839E-7</v>
      </c>
      <c r="N4" s="1">
        <v>5.1280472458303499E-10</v>
      </c>
      <c r="O4" s="1">
        <v>1.13523027259941E-13</v>
      </c>
      <c r="P4" s="1">
        <v>4.2912146434904198E-13</v>
      </c>
      <c r="Q4">
        <v>50.241120319463597</v>
      </c>
      <c r="R4">
        <v>1.51576965664636E-2</v>
      </c>
      <c r="S4">
        <v>1.7274654504087099</v>
      </c>
      <c r="T4">
        <v>0.49330789706278599</v>
      </c>
      <c r="V4">
        <v>31.2896655570379</v>
      </c>
      <c r="X4">
        <v>15.851975657270801</v>
      </c>
      <c r="AA4">
        <v>0.36517754172322398</v>
      </c>
      <c r="AB4">
        <v>1.6129880466417199E-2</v>
      </c>
      <c r="AJ4">
        <v>-1.0487955433293501</v>
      </c>
      <c r="AK4">
        <v>0.98357206608757897</v>
      </c>
      <c r="AL4">
        <v>1.0173773583341501</v>
      </c>
      <c r="AM4">
        <v>3.2197406561387497E-2</v>
      </c>
      <c r="AN4">
        <v>-3.1311048688068499E-2</v>
      </c>
      <c r="AO4">
        <v>4.5743846193823302E-2</v>
      </c>
      <c r="AP4">
        <v>1.2159148404727899E-3</v>
      </c>
    </row>
    <row r="5" spans="1:42" x14ac:dyDescent="0.2">
      <c r="A5">
        <v>40</v>
      </c>
      <c r="B5">
        <v>741</v>
      </c>
      <c r="C5">
        <v>250</v>
      </c>
      <c r="D5">
        <v>0.31765567223783697</v>
      </c>
      <c r="E5">
        <v>0.46814962406322602</v>
      </c>
      <c r="F5">
        <v>3.5682318024069</v>
      </c>
      <c r="G5">
        <v>-6.0155681015342282</v>
      </c>
      <c r="H5">
        <v>-5.1134606734292793</v>
      </c>
      <c r="I5">
        <v>0.889520710057632</v>
      </c>
      <c r="J5">
        <v>0.52466087215205803</v>
      </c>
      <c r="K5">
        <v>0.131199330645347</v>
      </c>
      <c r="L5">
        <v>4.4365406919275883E-5</v>
      </c>
      <c r="M5">
        <v>9.122938451916439E-7</v>
      </c>
      <c r="N5" s="1">
        <v>5.8991306863371601E-10</v>
      </c>
      <c r="O5" s="1">
        <v>1.28802801107135E-13</v>
      </c>
      <c r="P5" s="1">
        <v>3.4189753342697299E-13</v>
      </c>
      <c r="Q5">
        <v>50.184178456932401</v>
      </c>
      <c r="R5">
        <v>1.51787548342834E-2</v>
      </c>
      <c r="S5">
        <v>1.7819950933590201</v>
      </c>
      <c r="T5">
        <v>0.50090865019230801</v>
      </c>
      <c r="V5">
        <v>31.374628654603999</v>
      </c>
      <c r="X5">
        <v>15.7785898393042</v>
      </c>
      <c r="AA5">
        <v>0.34860202152466102</v>
      </c>
      <c r="AB5">
        <v>1.5918529248937201E-2</v>
      </c>
      <c r="AJ5">
        <v>-1.0540629217564399</v>
      </c>
      <c r="AK5">
        <v>0.98427183313297195</v>
      </c>
      <c r="AL5">
        <v>1.02057099355953</v>
      </c>
      <c r="AM5">
        <v>3.33582385047538E-2</v>
      </c>
      <c r="AN5">
        <v>-3.2470274167867803E-2</v>
      </c>
      <c r="AO5">
        <v>4.7131641051624498E-2</v>
      </c>
      <c r="AP5">
        <v>1.2004896754266501E-3</v>
      </c>
    </row>
    <row r="6" spans="1:42" x14ac:dyDescent="0.2">
      <c r="A6">
        <v>54</v>
      </c>
      <c r="B6">
        <v>746</v>
      </c>
      <c r="C6">
        <v>225</v>
      </c>
      <c r="D6">
        <v>0.34832998086640898</v>
      </c>
      <c r="E6">
        <v>0.38564772918074702</v>
      </c>
      <c r="F6">
        <v>3.5595953238050102</v>
      </c>
      <c r="G6">
        <v>-4.9800742741603541</v>
      </c>
      <c r="H6">
        <v>-4.2303157980538399</v>
      </c>
      <c r="I6">
        <v>0.73567038817300101</v>
      </c>
      <c r="J6">
        <v>0.43318952017364298</v>
      </c>
      <c r="K6">
        <v>0.108340329194643</v>
      </c>
      <c r="L6">
        <v>4.4354526119706919E-5</v>
      </c>
      <c r="M6">
        <v>9.1086195472281576E-7</v>
      </c>
      <c r="N6" s="1">
        <v>4.6033512152052398E-10</v>
      </c>
      <c r="O6" s="1">
        <v>1.06287612042419E-13</v>
      </c>
      <c r="P6" s="1">
        <v>6.1716014218092304E-13</v>
      </c>
      <c r="Q6">
        <v>50.373185803744803</v>
      </c>
      <c r="R6">
        <v>1.4205598862221201E-2</v>
      </c>
      <c r="S6">
        <v>1.6500043047476101</v>
      </c>
      <c r="T6">
        <v>0.49020593377108501</v>
      </c>
      <c r="V6">
        <v>30.962830917983101</v>
      </c>
      <c r="X6">
        <v>16.1136096534544</v>
      </c>
      <c r="AA6">
        <v>0.38020326696088402</v>
      </c>
      <c r="AB6">
        <v>1.5754520475770702E-2</v>
      </c>
      <c r="AJ6">
        <v>-1.0340022909119699</v>
      </c>
      <c r="AK6">
        <v>0.98300249601235401</v>
      </c>
      <c r="AL6">
        <v>1.00509154767631</v>
      </c>
      <c r="AM6">
        <v>3.04041738319826E-2</v>
      </c>
      <c r="AN6">
        <v>-2.95748593347211E-2</v>
      </c>
      <c r="AO6">
        <v>4.3893270424082503E-2</v>
      </c>
      <c r="AP6">
        <v>1.1856623019602199E-3</v>
      </c>
    </row>
    <row r="7" spans="1:42" x14ac:dyDescent="0.2">
      <c r="A7">
        <v>55</v>
      </c>
      <c r="B7">
        <v>745</v>
      </c>
      <c r="C7">
        <v>225</v>
      </c>
      <c r="D7">
        <v>0.347621175661739</v>
      </c>
      <c r="E7">
        <v>0.43635416387131398</v>
      </c>
      <c r="F7">
        <v>3.5549273591228201</v>
      </c>
      <c r="G7">
        <v>-5.6515631372319657</v>
      </c>
      <c r="H7">
        <v>-4.803949606390379</v>
      </c>
      <c r="I7">
        <v>0.83250359067090995</v>
      </c>
      <c r="J7">
        <v>0.490914538080375</v>
      </c>
      <c r="K7">
        <v>0.122746295434566</v>
      </c>
      <c r="L7">
        <v>4.4333242926146339E-5</v>
      </c>
      <c r="M7">
        <v>9.0959042546686226E-7</v>
      </c>
      <c r="N7" s="1">
        <v>5.1466313953467998E-10</v>
      </c>
      <c r="O7" s="1">
        <v>1.21778342920852E-13</v>
      </c>
      <c r="P7" s="1">
        <v>6.5701261690095804E-13</v>
      </c>
      <c r="Q7">
        <v>50.461222040273903</v>
      </c>
      <c r="R7">
        <v>1.6086825658467099E-2</v>
      </c>
      <c r="S7">
        <v>1.66055543507033</v>
      </c>
      <c r="T7">
        <v>0.47522176082144602</v>
      </c>
      <c r="V7">
        <v>30.6347879515165</v>
      </c>
      <c r="X7">
        <v>16.361141461050199</v>
      </c>
      <c r="AA7">
        <v>0.37519201096679899</v>
      </c>
      <c r="AB7">
        <v>1.5792514642166501E-2</v>
      </c>
      <c r="AJ7">
        <v>-1.02185324607818</v>
      </c>
      <c r="AK7">
        <v>0.98323732166306999</v>
      </c>
      <c r="AL7">
        <v>0.99270900952561003</v>
      </c>
      <c r="AM7">
        <v>3.0863928391330502E-2</v>
      </c>
      <c r="AN7">
        <v>-2.9926426417329399E-2</v>
      </c>
      <c r="AO7">
        <v>4.3782963474094397E-2</v>
      </c>
      <c r="AP7">
        <v>1.186449441404E-3</v>
      </c>
    </row>
    <row r="8" spans="1:42" x14ac:dyDescent="0.2">
      <c r="A8">
        <v>64</v>
      </c>
      <c r="B8">
        <v>751</v>
      </c>
      <c r="C8">
        <v>200</v>
      </c>
      <c r="D8">
        <v>0.378704779573308</v>
      </c>
      <c r="E8">
        <v>0.240072618872992</v>
      </c>
      <c r="F8">
        <v>3.5605987628953701</v>
      </c>
      <c r="G8">
        <v>-3.0982839308041892</v>
      </c>
      <c r="H8">
        <v>-2.6280160159930306</v>
      </c>
      <c r="I8">
        <v>0.45917874804585102</v>
      </c>
      <c r="J8">
        <v>0.26954578507442301</v>
      </c>
      <c r="K8">
        <v>6.7424788598693997E-2</v>
      </c>
      <c r="L8">
        <v>4.4367660725593023E-5</v>
      </c>
      <c r="M8">
        <v>9.1145150930633004E-7</v>
      </c>
      <c r="N8" s="1">
        <v>2.8612301893940598E-10</v>
      </c>
      <c r="O8" s="1">
        <v>6.5401843699850606E-14</v>
      </c>
      <c r="P8" s="1">
        <v>4.8113220954248696E-13</v>
      </c>
      <c r="Q8">
        <v>50.338797987090899</v>
      </c>
      <c r="R8">
        <v>1.09867104154742E-2</v>
      </c>
      <c r="S8">
        <v>1.6046953027187301</v>
      </c>
      <c r="T8">
        <v>0.515531175994146</v>
      </c>
      <c r="V8">
        <v>31.1459407013018</v>
      </c>
      <c r="X8">
        <v>15.98483328795</v>
      </c>
      <c r="AA8">
        <v>0.38397901350137198</v>
      </c>
      <c r="AB8">
        <v>1.52358210275219E-2</v>
      </c>
      <c r="AJ8">
        <v>-1.0401277987170501</v>
      </c>
      <c r="AK8">
        <v>0.98286672514548201</v>
      </c>
      <c r="AL8">
        <v>1.01208593514193</v>
      </c>
      <c r="AM8">
        <v>2.8953541336784201E-2</v>
      </c>
      <c r="AN8">
        <v>-2.8311477269409399E-2</v>
      </c>
      <c r="AO8">
        <v>4.3385257335766002E-2</v>
      </c>
      <c r="AP8">
        <v>1.14781702650653E-3</v>
      </c>
    </row>
    <row r="9" spans="1:42" x14ac:dyDescent="0.2">
      <c r="A9">
        <v>65</v>
      </c>
      <c r="B9">
        <v>750</v>
      </c>
      <c r="C9">
        <v>200</v>
      </c>
      <c r="D9">
        <v>0.37802912573913899</v>
      </c>
      <c r="E9">
        <v>0.38839664292192499</v>
      </c>
      <c r="F9">
        <v>3.5500989818151898</v>
      </c>
      <c r="G9">
        <v>-5.0446276175819378</v>
      </c>
      <c r="H9">
        <v>-4.2838440815672074</v>
      </c>
      <c r="I9">
        <v>0.74356989299196696</v>
      </c>
      <c r="J9">
        <v>0.43748811737687199</v>
      </c>
      <c r="K9">
        <v>0.109404454611385</v>
      </c>
      <c r="L9">
        <v>4.4317642494476509E-5</v>
      </c>
      <c r="M9">
        <v>9.0884280012235954E-7</v>
      </c>
      <c r="N9" s="1">
        <v>4.4793488895589302E-10</v>
      </c>
      <c r="O9" s="1">
        <v>1.07995346044158E-13</v>
      </c>
      <c r="P9" s="1">
        <v>8.3302478675577298E-13</v>
      </c>
      <c r="Q9">
        <v>50.555639918269101</v>
      </c>
      <c r="R9">
        <v>1.42722050956283E-2</v>
      </c>
      <c r="S9">
        <v>1.5760438525299401</v>
      </c>
      <c r="T9">
        <v>0.47949933773299702</v>
      </c>
      <c r="V9">
        <v>30.4497003036035</v>
      </c>
      <c r="X9">
        <v>16.5131865576843</v>
      </c>
      <c r="AA9">
        <v>0.39621201267988898</v>
      </c>
      <c r="AB9">
        <v>1.54458124045165E-2</v>
      </c>
      <c r="AJ9">
        <v>-1.0121893610025501</v>
      </c>
      <c r="AK9">
        <v>0.98240612189002496</v>
      </c>
      <c r="AL9">
        <v>0.98584804727400799</v>
      </c>
      <c r="AM9">
        <v>2.8806773690307499E-2</v>
      </c>
      <c r="AN9">
        <v>-2.79757511819324E-2</v>
      </c>
      <c r="AO9">
        <v>4.1944781928074701E-2</v>
      </c>
      <c r="AP9">
        <v>1.1593874020738801E-3</v>
      </c>
    </row>
    <row r="10" spans="1:42" x14ac:dyDescent="0.2">
      <c r="A10">
        <v>66</v>
      </c>
      <c r="B10">
        <v>749</v>
      </c>
      <c r="C10">
        <v>200</v>
      </c>
      <c r="D10">
        <v>0.37735214988015597</v>
      </c>
      <c r="E10">
        <v>0.42724435463078803</v>
      </c>
      <c r="F10">
        <v>3.5464075870543099</v>
      </c>
      <c r="G10">
        <v>-5.5622890132572902</v>
      </c>
      <c r="H10">
        <v>-4.7262341822612441</v>
      </c>
      <c r="I10">
        <v>0.81793751503795598</v>
      </c>
      <c r="J10">
        <v>0.481833753452171</v>
      </c>
      <c r="K10">
        <v>0.12047243418674899</v>
      </c>
      <c r="L10">
        <v>4.4291650685233349E-5</v>
      </c>
      <c r="M10">
        <v>9.0777248232110853E-7</v>
      </c>
      <c r="N10" s="1">
        <v>4.9127928579803098E-10</v>
      </c>
      <c r="O10" s="1">
        <v>1.20082113828206E-13</v>
      </c>
      <c r="P10" s="1">
        <v>8.6194324075825495E-13</v>
      </c>
      <c r="Q10">
        <v>50.623150605019198</v>
      </c>
      <c r="R10">
        <v>1.58703484177227E-2</v>
      </c>
      <c r="S10">
        <v>1.5906143639399499</v>
      </c>
      <c r="T10">
        <v>0.468074966319033</v>
      </c>
      <c r="V10">
        <v>30.1839491775829</v>
      </c>
      <c r="X10">
        <v>16.712614849982799</v>
      </c>
      <c r="AA10">
        <v>0.39027540692380702</v>
      </c>
      <c r="AB10">
        <v>1.5450281814449299E-2</v>
      </c>
      <c r="AJ10">
        <v>-1.00262722573331</v>
      </c>
      <c r="AK10">
        <v>0.98267650901717496</v>
      </c>
      <c r="AL10">
        <v>0.97586512488575705</v>
      </c>
      <c r="AM10">
        <v>2.9310536120331899E-2</v>
      </c>
      <c r="AN10">
        <v>-2.8387762971311001E-2</v>
      </c>
      <c r="AO10">
        <v>4.2004732164846098E-2</v>
      </c>
      <c r="AP10">
        <v>1.1580865165160699E-3</v>
      </c>
    </row>
    <row r="11" spans="1:42" x14ac:dyDescent="0.2">
      <c r="A11">
        <v>76</v>
      </c>
      <c r="B11">
        <v>756</v>
      </c>
      <c r="C11">
        <v>175</v>
      </c>
      <c r="D11">
        <v>0.40878443375601398</v>
      </c>
      <c r="E11">
        <v>0.21556085977532599</v>
      </c>
      <c r="F11">
        <v>3.5530515798331401</v>
      </c>
      <c r="G11">
        <v>-2.794914670814229</v>
      </c>
      <c r="H11">
        <v>-2.368968343924128</v>
      </c>
      <c r="I11">
        <v>0.41388167603371701</v>
      </c>
      <c r="J11">
        <v>0.242573612601094</v>
      </c>
      <c r="K11">
        <v>6.0669217694117997E-2</v>
      </c>
      <c r="L11">
        <v>4.4348055039295031E-5</v>
      </c>
      <c r="M11">
        <v>9.0991945760579047E-7</v>
      </c>
      <c r="N11" s="1">
        <v>2.49579179429412E-10</v>
      </c>
      <c r="O11" s="1">
        <v>5.8964746852864194E-14</v>
      </c>
      <c r="P11" s="1">
        <v>5.5051746659948703E-13</v>
      </c>
      <c r="Q11">
        <v>50.477198472379897</v>
      </c>
      <c r="R11">
        <v>1.0442748055382501E-2</v>
      </c>
      <c r="S11">
        <v>1.53822294513671</v>
      </c>
      <c r="T11">
        <v>0.513232358496862</v>
      </c>
      <c r="V11">
        <v>30.768531534591201</v>
      </c>
      <c r="X11">
        <v>16.2807401288661</v>
      </c>
      <c r="AA11">
        <v>0.39668689657753697</v>
      </c>
      <c r="AB11">
        <v>1.4944915896168601E-2</v>
      </c>
      <c r="AJ11">
        <v>-1.0238202500728699</v>
      </c>
      <c r="AK11">
        <v>0.98239320187384105</v>
      </c>
      <c r="AL11">
        <v>0.99791745340702198</v>
      </c>
      <c r="AM11">
        <v>2.7407860566017201E-2</v>
      </c>
      <c r="AN11">
        <v>-2.6798748223186199E-2</v>
      </c>
      <c r="AO11">
        <v>4.17767260252273E-2</v>
      </c>
      <c r="AP11">
        <v>1.1237564239490799E-3</v>
      </c>
    </row>
    <row r="12" spans="1:42" x14ac:dyDescent="0.2">
      <c r="A12">
        <v>77</v>
      </c>
      <c r="B12">
        <v>755</v>
      </c>
      <c r="C12">
        <v>175</v>
      </c>
      <c r="D12">
        <v>0.40814132179156798</v>
      </c>
      <c r="E12">
        <v>0.36633833300559199</v>
      </c>
      <c r="F12">
        <v>3.5427760344889698</v>
      </c>
      <c r="G12">
        <v>-4.7794797140824867</v>
      </c>
      <c r="H12">
        <v>-4.0556410656442603</v>
      </c>
      <c r="I12">
        <v>0.70402047214727903</v>
      </c>
      <c r="J12">
        <v>0.41349915400825099</v>
      </c>
      <c r="K12">
        <v>0.103404316118005</v>
      </c>
      <c r="L12">
        <v>4.4278731835647447E-5</v>
      </c>
      <c r="M12">
        <v>9.0729547782470419E-7</v>
      </c>
      <c r="N12" s="1">
        <v>4.1623200888221298E-10</v>
      </c>
      <c r="O12" s="1">
        <v>1.0211012069162701E-13</v>
      </c>
      <c r="P12" s="1">
        <v>9.8741582669203496E-13</v>
      </c>
      <c r="Q12">
        <v>50.689970909683403</v>
      </c>
      <c r="R12">
        <v>1.36020411974794E-2</v>
      </c>
      <c r="S12">
        <v>1.50810425636062</v>
      </c>
      <c r="T12">
        <v>0.47807804909483398</v>
      </c>
      <c r="V12">
        <v>30.086504496372999</v>
      </c>
      <c r="X12">
        <v>16.795048756550401</v>
      </c>
      <c r="AA12">
        <v>0.41355797146976497</v>
      </c>
      <c r="AB12">
        <v>1.513351927026E-2</v>
      </c>
      <c r="AJ12">
        <v>-0.996328100478164</v>
      </c>
      <c r="AK12">
        <v>0.98174313340469599</v>
      </c>
      <c r="AL12">
        <v>0.972328195017784</v>
      </c>
      <c r="AM12">
        <v>2.7220432244674599E-2</v>
      </c>
      <c r="AN12">
        <v>-2.6429862877237201E-2</v>
      </c>
      <c r="AO12">
        <v>4.0332310030809601E-2</v>
      </c>
      <c r="AP12">
        <v>1.1338926574364001E-3</v>
      </c>
    </row>
    <row r="13" spans="1:42" x14ac:dyDescent="0.2">
      <c r="A13">
        <v>78</v>
      </c>
      <c r="B13">
        <v>754</v>
      </c>
      <c r="C13">
        <v>175</v>
      </c>
      <c r="D13">
        <v>0.40749695760112897</v>
      </c>
      <c r="E13">
        <v>0.40953326138756801</v>
      </c>
      <c r="F13">
        <v>3.5386829519189198</v>
      </c>
      <c r="G13">
        <v>-5.3568019969684295</v>
      </c>
      <c r="H13">
        <v>-4.5483591296405486</v>
      </c>
      <c r="I13">
        <v>0.78707381329687098</v>
      </c>
      <c r="J13">
        <v>0.46285008115730703</v>
      </c>
      <c r="K13">
        <v>0.11573041918476699</v>
      </c>
      <c r="L13">
        <v>4.4242662381020558E-5</v>
      </c>
      <c r="M13">
        <v>9.061049622299688E-7</v>
      </c>
      <c r="N13" s="1">
        <v>4.6575802454334103E-10</v>
      </c>
      <c r="O13" s="1">
        <v>1.15410552002349E-13</v>
      </c>
      <c r="P13" s="1">
        <v>1.05793245314764E-12</v>
      </c>
      <c r="Q13">
        <v>50.767134175540299</v>
      </c>
      <c r="R13">
        <v>1.5276233086651299E-2</v>
      </c>
      <c r="S13">
        <v>1.5181801953971199</v>
      </c>
      <c r="T13">
        <v>0.46538571836474601</v>
      </c>
      <c r="V13">
        <v>29.795493766376399</v>
      </c>
      <c r="X13">
        <v>17.013527072509302</v>
      </c>
      <c r="AA13">
        <v>0.40985369336023197</v>
      </c>
      <c r="AB13">
        <v>1.51491453650867E-2</v>
      </c>
      <c r="AJ13">
        <v>-0.98565424485796505</v>
      </c>
      <c r="AK13">
        <v>0.98192312695494899</v>
      </c>
      <c r="AL13">
        <v>0.96144521088696799</v>
      </c>
      <c r="AM13">
        <v>2.7640005028361499E-2</v>
      </c>
      <c r="AN13">
        <v>-2.67534922893417E-2</v>
      </c>
      <c r="AO13">
        <v>4.0266073241800197E-2</v>
      </c>
      <c r="AP13">
        <v>1.13332103522682E-3</v>
      </c>
    </row>
    <row r="14" spans="1:42" x14ac:dyDescent="0.2">
      <c r="A14">
        <v>92</v>
      </c>
      <c r="B14">
        <v>762</v>
      </c>
      <c r="C14">
        <v>150</v>
      </c>
      <c r="D14">
        <v>0.439183210162781</v>
      </c>
      <c r="E14">
        <v>0.21703104039610499</v>
      </c>
      <c r="F14">
        <v>3.5440427097160798</v>
      </c>
      <c r="G14">
        <v>-2.8297748134499008</v>
      </c>
      <c r="H14">
        <v>-2.3964400173855038</v>
      </c>
      <c r="I14">
        <v>0.41862029277341001</v>
      </c>
      <c r="J14">
        <v>0.24488886597804699</v>
      </c>
      <c r="K14">
        <v>6.1238268884601502E-2</v>
      </c>
      <c r="L14">
        <v>4.4306528976232024E-5</v>
      </c>
      <c r="M14">
        <v>9.0792206473548338E-7</v>
      </c>
      <c r="N14" s="1">
        <v>2.4707756678350702E-10</v>
      </c>
      <c r="O14" s="1">
        <v>5.9637151317293905E-14</v>
      </c>
      <c r="P14" s="1">
        <v>6.8438918220052898E-13</v>
      </c>
      <c r="Q14">
        <v>50.639272829622499</v>
      </c>
      <c r="R14">
        <v>1.03393830537864E-2</v>
      </c>
      <c r="S14">
        <v>1.47155101041807</v>
      </c>
      <c r="T14">
        <v>0.50925514737491595</v>
      </c>
      <c r="V14">
        <v>30.300518940177</v>
      </c>
      <c r="X14">
        <v>16.639440689553499</v>
      </c>
      <c r="AA14">
        <v>0.414898850199725</v>
      </c>
      <c r="AB14">
        <v>1.47231496003506E-2</v>
      </c>
      <c r="AJ14">
        <v>-1.0039441428104601</v>
      </c>
      <c r="AK14">
        <v>0.98169623615583601</v>
      </c>
      <c r="AL14">
        <v>0.98042986717192104</v>
      </c>
      <c r="AM14">
        <v>2.5886562060117101E-2</v>
      </c>
      <c r="AN14">
        <v>-2.52848955443861E-2</v>
      </c>
      <c r="AO14">
        <v>4.0111892462507397E-2</v>
      </c>
      <c r="AP14">
        <v>1.1044805044721101E-3</v>
      </c>
    </row>
    <row r="15" spans="1:42" x14ac:dyDescent="0.2">
      <c r="A15">
        <v>93</v>
      </c>
      <c r="B15">
        <v>761</v>
      </c>
      <c r="C15">
        <v>150</v>
      </c>
      <c r="D15">
        <v>0.43857322438717999</v>
      </c>
      <c r="E15">
        <v>0.34929157250355303</v>
      </c>
      <c r="F15">
        <v>3.5349377254976502</v>
      </c>
      <c r="G15">
        <v>-4.5793289799305015</v>
      </c>
      <c r="H15">
        <v>-3.8820624614755999</v>
      </c>
      <c r="I15">
        <v>0.67424118208664297</v>
      </c>
      <c r="J15">
        <v>0.39515238374786399</v>
      </c>
      <c r="K15">
        <v>9.8811237885210498E-2</v>
      </c>
      <c r="L15">
        <v>4.4225763817023896E-5</v>
      </c>
      <c r="M15">
        <v>9.0550512498374164E-7</v>
      </c>
      <c r="N15" s="1">
        <v>3.9662951513377099E-10</v>
      </c>
      <c r="O15" s="1">
        <v>9.7529360898506403E-14</v>
      </c>
      <c r="P15" s="1">
        <v>1.13632864938799E-12</v>
      </c>
      <c r="Q15">
        <v>50.827322509107198</v>
      </c>
      <c r="R15">
        <v>1.3158979099639799E-2</v>
      </c>
      <c r="S15">
        <v>1.44616918696355</v>
      </c>
      <c r="T15">
        <v>0.47831272971980798</v>
      </c>
      <c r="V15">
        <v>29.6925617918135</v>
      </c>
      <c r="X15">
        <v>17.094844416436199</v>
      </c>
      <c r="AA15">
        <v>0.43276325344854299</v>
      </c>
      <c r="AB15">
        <v>1.48671334114906E-2</v>
      </c>
      <c r="AJ15">
        <v>-0.97948269233114904</v>
      </c>
      <c r="AK15">
        <v>0.98100493711980596</v>
      </c>
      <c r="AL15">
        <v>0.95773025901256403</v>
      </c>
      <c r="AM15">
        <v>2.5753514019895202E-2</v>
      </c>
      <c r="AN15">
        <v>-2.49901837441933E-2</v>
      </c>
      <c r="AO15">
        <v>3.8872399274274799E-2</v>
      </c>
      <c r="AP15">
        <v>1.1117666488011399E-3</v>
      </c>
    </row>
    <row r="16" spans="1:42" x14ac:dyDescent="0.2">
      <c r="A16">
        <v>94</v>
      </c>
      <c r="B16">
        <v>760</v>
      </c>
      <c r="C16">
        <v>150</v>
      </c>
      <c r="D16">
        <v>0.43796205778444602</v>
      </c>
      <c r="E16">
        <v>0.39335366902851698</v>
      </c>
      <c r="F16">
        <v>3.5307791434380298</v>
      </c>
      <c r="G16">
        <v>-5.1703852969829995</v>
      </c>
      <c r="H16">
        <v>-4.3858670836514175</v>
      </c>
      <c r="I16">
        <v>0.75934589685097098</v>
      </c>
      <c r="J16">
        <v>0.44556010636370602</v>
      </c>
      <c r="K16">
        <v>0.111407044464836</v>
      </c>
      <c r="L16">
        <v>4.4181673615517847E-5</v>
      </c>
      <c r="M16">
        <v>9.0427448218836672E-7</v>
      </c>
      <c r="N16" s="1">
        <v>4.4922545065803102E-10</v>
      </c>
      <c r="O16" s="1">
        <v>1.1100693278266E-13</v>
      </c>
      <c r="P16" s="1">
        <v>1.23799269156969E-12</v>
      </c>
      <c r="Q16">
        <v>50.906867948518503</v>
      </c>
      <c r="R16">
        <v>1.4821428894345399E-2</v>
      </c>
      <c r="S16">
        <v>1.45370605365607</v>
      </c>
      <c r="T16">
        <v>0.46540542696619203</v>
      </c>
      <c r="V16">
        <v>29.3977395080707</v>
      </c>
      <c r="X16">
        <v>17.315869346156202</v>
      </c>
      <c r="AA16">
        <v>0.43070816251529898</v>
      </c>
      <c r="AB16">
        <v>1.4882125222544699E-2</v>
      </c>
      <c r="AJ16">
        <v>-0.96858866531148702</v>
      </c>
      <c r="AK16">
        <v>0.98111800336008004</v>
      </c>
      <c r="AL16">
        <v>0.94675349844112699</v>
      </c>
      <c r="AM16">
        <v>2.6119296922934201E-2</v>
      </c>
      <c r="AN16">
        <v>-2.5260861150803199E-2</v>
      </c>
      <c r="AO16">
        <v>3.8747562109851502E-2</v>
      </c>
      <c r="AP16">
        <v>1.1111656282972401E-3</v>
      </c>
    </row>
    <row r="17" spans="1:42" x14ac:dyDescent="0.2">
      <c r="A17">
        <v>113</v>
      </c>
      <c r="B17">
        <v>770</v>
      </c>
      <c r="C17">
        <v>125</v>
      </c>
      <c r="D17">
        <v>0.47038345396155901</v>
      </c>
      <c r="E17">
        <v>0.159349995698716</v>
      </c>
      <c r="F17">
        <v>3.5379034620771699</v>
      </c>
      <c r="G17">
        <v>-2.0860299365151294</v>
      </c>
      <c r="H17">
        <v>-1.7637168961643723</v>
      </c>
      <c r="I17">
        <v>0.30898053046134899</v>
      </c>
      <c r="J17">
        <v>0.180157367466308</v>
      </c>
      <c r="K17">
        <v>4.5040798146922398E-2</v>
      </c>
      <c r="L17">
        <v>4.4278786942180458E-5</v>
      </c>
      <c r="M17">
        <v>9.0652779033199026E-7</v>
      </c>
      <c r="N17" s="1">
        <v>1.8221628368471599E-10</v>
      </c>
      <c r="O17" s="1">
        <v>4.3682722141258002E-14</v>
      </c>
      <c r="P17" s="1">
        <v>5.9158941070371295E-13</v>
      </c>
      <c r="Q17">
        <v>50.7301304028571</v>
      </c>
      <c r="R17">
        <v>9.4608049217350006E-3</v>
      </c>
      <c r="S17">
        <v>1.42422834807194</v>
      </c>
      <c r="T17">
        <v>0.52119955311902699</v>
      </c>
      <c r="V17">
        <v>30.030038128610599</v>
      </c>
      <c r="X17">
        <v>16.843775630099199</v>
      </c>
      <c r="AA17">
        <v>0.42665342189081201</v>
      </c>
      <c r="AB17">
        <v>1.4513710429513301E-2</v>
      </c>
      <c r="AJ17">
        <v>-0.99249560271162496</v>
      </c>
      <c r="AK17">
        <v>0.981248978511847</v>
      </c>
      <c r="AL17">
        <v>0.97042000570181697</v>
      </c>
      <c r="AM17">
        <v>2.4584145356679299E-2</v>
      </c>
      <c r="AN17">
        <v>-2.4034317554894401E-2</v>
      </c>
      <c r="AO17">
        <v>3.9189431142325599E-2</v>
      </c>
      <c r="AP17">
        <v>1.08735955384962E-3</v>
      </c>
    </row>
    <row r="18" spans="1:42" x14ac:dyDescent="0.2">
      <c r="A18">
        <v>114</v>
      </c>
      <c r="B18">
        <v>769</v>
      </c>
      <c r="C18">
        <v>125</v>
      </c>
      <c r="D18">
        <v>0.46980808904668597</v>
      </c>
      <c r="E18">
        <v>0.31122617649955697</v>
      </c>
      <c r="F18">
        <v>3.5287393609140998</v>
      </c>
      <c r="G18">
        <v>-4.0965902463188657</v>
      </c>
      <c r="H18">
        <v>-3.4671983019052757</v>
      </c>
      <c r="I18">
        <v>0.60393604031434001</v>
      </c>
      <c r="J18">
        <v>0.35275021119203998</v>
      </c>
      <c r="K18">
        <v>8.8197552912759103E-2</v>
      </c>
      <c r="L18">
        <v>4.4183827082748948E-5</v>
      </c>
      <c r="M18">
        <v>9.0406729880507031E-7</v>
      </c>
      <c r="N18" s="1">
        <v>3.5814671477334599E-10</v>
      </c>
      <c r="O18" s="1">
        <v>8.6547131945152704E-14</v>
      </c>
      <c r="P18" s="1">
        <v>1.1974570571365699E-12</v>
      </c>
      <c r="Q18">
        <v>50.921009560594101</v>
      </c>
      <c r="R18">
        <v>1.21969819244814E-2</v>
      </c>
      <c r="S18">
        <v>1.3939738974287901</v>
      </c>
      <c r="T18">
        <v>0.48916575159098302</v>
      </c>
      <c r="V18">
        <v>29.420134822298799</v>
      </c>
      <c r="X18">
        <v>17.296598418801999</v>
      </c>
      <c r="AA18">
        <v>0.45228293392160801</v>
      </c>
      <c r="AB18">
        <v>1.4637633439083499E-2</v>
      </c>
      <c r="AJ18">
        <v>-0.96759974888566602</v>
      </c>
      <c r="AK18">
        <v>0.980240821526418</v>
      </c>
      <c r="AL18">
        <v>0.94772755750387905</v>
      </c>
      <c r="AM18">
        <v>2.4359148046117801E-2</v>
      </c>
      <c r="AN18">
        <v>-2.36525279550425E-2</v>
      </c>
      <c r="AO18">
        <v>3.7831547353658901E-2</v>
      </c>
      <c r="AP18">
        <v>1.0932024106337899E-3</v>
      </c>
    </row>
    <row r="19" spans="1:42" x14ac:dyDescent="0.2">
      <c r="A19">
        <v>115</v>
      </c>
      <c r="B19">
        <v>768</v>
      </c>
      <c r="C19">
        <v>125</v>
      </c>
      <c r="D19">
        <v>0.46923161888296799</v>
      </c>
      <c r="E19">
        <v>0.36780203242584603</v>
      </c>
      <c r="F19">
        <v>3.5237254506303102</v>
      </c>
      <c r="G19">
        <v>-4.8561713206846813</v>
      </c>
      <c r="H19">
        <v>-4.1129368561071544</v>
      </c>
      <c r="I19">
        <v>0.713859160137854</v>
      </c>
      <c r="J19">
        <v>0.41747521561268303</v>
      </c>
      <c r="K19">
        <v>0.104378742776357</v>
      </c>
      <c r="L19">
        <v>4.4124187799143193E-5</v>
      </c>
      <c r="M19">
        <v>9.0259462698452782E-7</v>
      </c>
      <c r="N19" s="1">
        <v>4.2771679350108099E-10</v>
      </c>
      <c r="O19" s="1">
        <v>1.03402944192684E-13</v>
      </c>
      <c r="P19" s="1">
        <v>1.38999305897207E-12</v>
      </c>
      <c r="Q19">
        <v>51.0203238329252</v>
      </c>
      <c r="R19">
        <v>1.40352088061342E-2</v>
      </c>
      <c r="S19">
        <v>1.39361229474175</v>
      </c>
      <c r="T19">
        <v>0.47307707746808902</v>
      </c>
      <c r="V19">
        <v>29.071286580462001</v>
      </c>
      <c r="X19">
        <v>17.557313676176701</v>
      </c>
      <c r="AA19">
        <v>0.45568022205821701</v>
      </c>
      <c r="AB19">
        <v>1.46711073617782E-2</v>
      </c>
      <c r="AJ19">
        <v>-0.95429751486113201</v>
      </c>
      <c r="AK19">
        <v>0.98013423118767595</v>
      </c>
      <c r="AL19">
        <v>0.93479038142017301</v>
      </c>
      <c r="AM19">
        <v>2.4591402809567502E-2</v>
      </c>
      <c r="AN19">
        <v>-2.3779762492826501E-2</v>
      </c>
      <c r="AO19">
        <v>3.7467548012748597E-2</v>
      </c>
      <c r="AP19">
        <v>1.0937139237935001E-3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CF3E6-AEBE-4C05-83BB-69B101474191}">
  <sheetPr codeName="Sheet9"/>
  <dimension ref="A1:AL6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741</v>
      </c>
      <c r="C2">
        <v>275</v>
      </c>
      <c r="D2">
        <v>0.29053936794360102</v>
      </c>
      <c r="E2">
        <v>0.63262060565075096</v>
      </c>
      <c r="F2">
        <v>2.5255482338050501</v>
      </c>
      <c r="G2">
        <v>-9.9242169509184812</v>
      </c>
      <c r="H2">
        <v>-8.6142164715716554</v>
      </c>
      <c r="I2">
        <v>1.2917226044932399</v>
      </c>
      <c r="J2">
        <v>0.74972299069999304</v>
      </c>
      <c r="K2">
        <v>0.25048842749584999</v>
      </c>
      <c r="L2">
        <v>2.8088837789024176E-5</v>
      </c>
      <c r="M2">
        <v>1.7834234634393749E-6</v>
      </c>
      <c r="N2" s="1">
        <v>-5.28692771966482E-9</v>
      </c>
      <c r="O2" s="1">
        <v>2.3991253752860299E-12</v>
      </c>
      <c r="P2" s="1">
        <v>2.02677652161688E-11</v>
      </c>
      <c r="Q2">
        <v>65.699666941258997</v>
      </c>
      <c r="S2">
        <v>18.913356022693399</v>
      </c>
      <c r="AA2">
        <v>0.273593267238469</v>
      </c>
      <c r="AB2">
        <v>3.6569296774127902</v>
      </c>
      <c r="AC2">
        <v>11.4564540913962</v>
      </c>
      <c r="AJ2">
        <v>0.32232068191157898</v>
      </c>
      <c r="AK2">
        <v>1.33256303030922E-2</v>
      </c>
      <c r="AL2">
        <v>0.664353687785328</v>
      </c>
    </row>
    <row r="3" spans="1:38" x14ac:dyDescent="0.2">
      <c r="A3">
        <v>19</v>
      </c>
      <c r="B3">
        <v>740</v>
      </c>
      <c r="C3">
        <v>275</v>
      </c>
      <c r="D3">
        <v>0.28977002418201098</v>
      </c>
      <c r="E3">
        <v>8.0981128513786995</v>
      </c>
      <c r="F3">
        <v>2.52578662188305</v>
      </c>
      <c r="G3">
        <v>-127.05511945527972</v>
      </c>
      <c r="H3">
        <v>-110.30635192418022</v>
      </c>
      <c r="I3">
        <v>16.531379885603801</v>
      </c>
      <c r="J3">
        <v>9.6026582198740105</v>
      </c>
      <c r="K3">
        <v>3.2061745759589502</v>
      </c>
      <c r="L3">
        <v>2.8151949178411476E-5</v>
      </c>
      <c r="M3">
        <v>1.7838969843503826E-6</v>
      </c>
      <c r="N3" s="1">
        <v>-7.1568155080999804E-8</v>
      </c>
      <c r="O3" s="1">
        <v>3.06613634081189E-11</v>
      </c>
      <c r="P3" s="1">
        <v>2.7062960435326602E-10</v>
      </c>
      <c r="Q3">
        <v>65.705220829434595</v>
      </c>
      <c r="S3">
        <v>18.9283801669113</v>
      </c>
      <c r="AA3">
        <v>0.28469241617388902</v>
      </c>
      <c r="AB3">
        <v>3.7086939667635299</v>
      </c>
      <c r="AC3">
        <v>11.373012620716599</v>
      </c>
      <c r="AJ3">
        <v>0.32679677967882698</v>
      </c>
      <c r="AK3">
        <v>1.3862560644721401E-2</v>
      </c>
      <c r="AL3">
        <v>0.65934065967644995</v>
      </c>
    </row>
    <row r="4" spans="1:38" x14ac:dyDescent="0.2">
      <c r="A4">
        <v>20</v>
      </c>
      <c r="B4">
        <v>739</v>
      </c>
      <c r="C4">
        <v>275</v>
      </c>
      <c r="D4">
        <v>0.28899916020352701</v>
      </c>
      <c r="E4">
        <v>31.5351644308539</v>
      </c>
      <c r="F4">
        <v>2.52581432546752</v>
      </c>
      <c r="G4">
        <v>-494.77239626954861</v>
      </c>
      <c r="H4">
        <v>-429.63929216834458</v>
      </c>
      <c r="I4">
        <v>64.351236576795998</v>
      </c>
      <c r="J4">
        <v>37.411180949498601</v>
      </c>
      <c r="K4">
        <v>12.4851475078306</v>
      </c>
      <c r="L4">
        <v>2.8205237087944568E-5</v>
      </c>
      <c r="M4">
        <v>1.7844625980026164E-6</v>
      </c>
      <c r="N4" s="1">
        <v>-2.9262649977474303E-7</v>
      </c>
      <c r="O4" s="1">
        <v>1.19269185427608E-10</v>
      </c>
      <c r="P4" s="1">
        <v>1.0937667666486901E-9</v>
      </c>
      <c r="Q4">
        <v>65.720070081902605</v>
      </c>
      <c r="S4">
        <v>18.9283928069047</v>
      </c>
      <c r="AA4">
        <v>0.28123797423673902</v>
      </c>
      <c r="AB4">
        <v>3.7418178670894702</v>
      </c>
      <c r="AC4">
        <v>11.3284812698663</v>
      </c>
      <c r="AJ4">
        <v>0.32965986422925297</v>
      </c>
      <c r="AK4">
        <v>1.3692040730689199E-2</v>
      </c>
      <c r="AL4">
        <v>0.65664809504005694</v>
      </c>
    </row>
    <row r="5" spans="1:38" x14ac:dyDescent="0.2">
      <c r="A5">
        <v>21</v>
      </c>
      <c r="B5">
        <v>738</v>
      </c>
      <c r="C5">
        <v>275</v>
      </c>
      <c r="D5">
        <v>0.28822677149780002</v>
      </c>
      <c r="E5">
        <v>37.796653013114501</v>
      </c>
      <c r="F5">
        <v>2.5258485241361401</v>
      </c>
      <c r="G5">
        <v>-592.93850492134447</v>
      </c>
      <c r="H5">
        <v>-514.99374923421908</v>
      </c>
      <c r="I5">
        <v>77.0852550928402</v>
      </c>
      <c r="J5">
        <v>44.850676504323701</v>
      </c>
      <c r="K5">
        <v>14.963942869868299</v>
      </c>
      <c r="L5">
        <v>2.8233337949494495E-5</v>
      </c>
      <c r="M5">
        <v>1.7846858876743468E-6</v>
      </c>
      <c r="N5" s="1">
        <v>-3.64356171120525E-7</v>
      </c>
      <c r="O5" s="1">
        <v>1.4284429740049701E-10</v>
      </c>
      <c r="P5" s="1">
        <v>1.3497522833644399E-9</v>
      </c>
      <c r="Q5">
        <v>65.723857288981506</v>
      </c>
      <c r="S5">
        <v>18.926310265422099</v>
      </c>
      <c r="AA5">
        <v>0.27863616319271201</v>
      </c>
      <c r="AB5">
        <v>3.7447978017574499</v>
      </c>
      <c r="AC5">
        <v>11.3263984806461</v>
      </c>
      <c r="AJ5">
        <v>0.32991740595004998</v>
      </c>
      <c r="AK5">
        <v>1.35651664563537E-2</v>
      </c>
      <c r="AL5">
        <v>0.65651742759359499</v>
      </c>
    </row>
    <row r="6" spans="1:38" x14ac:dyDescent="0.2">
      <c r="A6">
        <v>37</v>
      </c>
      <c r="B6">
        <v>744</v>
      </c>
      <c r="C6">
        <v>250</v>
      </c>
      <c r="D6">
        <v>0.31987464975667701</v>
      </c>
      <c r="E6">
        <v>5.0667267997470304</v>
      </c>
      <c r="F6">
        <v>2.5245481039745701</v>
      </c>
      <c r="G6">
        <v>-79.635404914347774</v>
      </c>
      <c r="H6">
        <v>-69.080376333998601</v>
      </c>
      <c r="I6">
        <v>10.3770619676047</v>
      </c>
      <c r="J6">
        <v>6.0079782161693398</v>
      </c>
      <c r="K6">
        <v>2.0069836624503701</v>
      </c>
      <c r="L6">
        <v>2.8144224362092734E-5</v>
      </c>
      <c r="M6">
        <v>1.7862721910237916E-6</v>
      </c>
      <c r="N6" s="1">
        <v>-3.9340681473232003E-8</v>
      </c>
      <c r="O6" s="1">
        <v>1.9209036904177301E-11</v>
      </c>
      <c r="P6" s="1">
        <v>1.5386744897629799E-10</v>
      </c>
      <c r="Q6">
        <v>65.741280822085599</v>
      </c>
      <c r="S6">
        <v>18.9498499239218</v>
      </c>
      <c r="AA6">
        <v>0.293991079226885</v>
      </c>
      <c r="AB6">
        <v>3.8453374861887499</v>
      </c>
      <c r="AC6">
        <v>11.1695406885768</v>
      </c>
      <c r="AJ6">
        <v>0.33860124066881198</v>
      </c>
      <c r="AK6">
        <v>1.4305367733092799E-2</v>
      </c>
      <c r="AL6">
        <v>0.64709339159809398</v>
      </c>
    </row>
    <row r="7" spans="1:38" x14ac:dyDescent="0.2">
      <c r="A7">
        <v>38</v>
      </c>
      <c r="B7">
        <v>743</v>
      </c>
      <c r="C7">
        <v>250</v>
      </c>
      <c r="D7">
        <v>0.31913644639078897</v>
      </c>
      <c r="E7">
        <v>12.8527226552771</v>
      </c>
      <c r="F7">
        <v>2.52458169106009</v>
      </c>
      <c r="G7">
        <v>-201.96684566337871</v>
      </c>
      <c r="H7">
        <v>-175.236614980746</v>
      </c>
      <c r="I7">
        <v>26.3053984969076</v>
      </c>
      <c r="J7">
        <v>15.241324034635401</v>
      </c>
      <c r="K7">
        <v>5.0910306055020902</v>
      </c>
      <c r="L7">
        <v>2.8150486664943594E-5</v>
      </c>
      <c r="M7">
        <v>1.7862429656254007E-6</v>
      </c>
      <c r="N7" s="1">
        <v>-1.0297113885204399E-7</v>
      </c>
      <c r="O7" s="1">
        <v>4.8708787874194402E-11</v>
      </c>
      <c r="P7" s="1">
        <v>3.9936120195550002E-10</v>
      </c>
      <c r="Q7">
        <v>65.737399302842704</v>
      </c>
      <c r="S7">
        <v>18.9461839350923</v>
      </c>
      <c r="AA7">
        <v>0.29187230035738598</v>
      </c>
      <c r="AB7">
        <v>3.8270768623470701</v>
      </c>
      <c r="AC7">
        <v>11.197467599360399</v>
      </c>
      <c r="AJ7">
        <v>0.33702468724540102</v>
      </c>
      <c r="AK7">
        <v>1.4203592405307001E-2</v>
      </c>
      <c r="AL7">
        <v>0.64877172034929098</v>
      </c>
    </row>
    <row r="8" spans="1:38" x14ac:dyDescent="0.2">
      <c r="A8">
        <v>39</v>
      </c>
      <c r="B8">
        <v>742</v>
      </c>
      <c r="C8">
        <v>250</v>
      </c>
      <c r="D8">
        <v>0.318396788651924</v>
      </c>
      <c r="E8">
        <v>36.758896417132</v>
      </c>
      <c r="F8">
        <v>2.5246159615272199</v>
      </c>
      <c r="G8">
        <v>-577.51130152732617</v>
      </c>
      <c r="H8">
        <v>-501.18850314357366</v>
      </c>
      <c r="I8">
        <v>75.183764353792498</v>
      </c>
      <c r="J8">
        <v>43.594344699944998</v>
      </c>
      <c r="K8">
        <v>14.5601933035769</v>
      </c>
      <c r="L8">
        <v>2.8160336528637671E-5</v>
      </c>
      <c r="M8">
        <v>1.7862566726872115E-6</v>
      </c>
      <c r="N8" s="1">
        <v>-3.0423212078190202E-7</v>
      </c>
      <c r="O8" s="1">
        <v>1.3924616553424301E-10</v>
      </c>
      <c r="P8" s="1">
        <v>1.1699061064245201E-9</v>
      </c>
      <c r="Q8">
        <v>65.734821222045994</v>
      </c>
      <c r="S8">
        <v>18.942800713226099</v>
      </c>
      <c r="AA8">
        <v>0.28968266758557698</v>
      </c>
      <c r="AB8">
        <v>3.81246219155156</v>
      </c>
      <c r="AC8">
        <v>11.2202332055907</v>
      </c>
      <c r="AJ8">
        <v>0.33576270373129902</v>
      </c>
      <c r="AK8">
        <v>1.40980877484522E-2</v>
      </c>
      <c r="AL8">
        <v>0.65013920852024798</v>
      </c>
    </row>
    <row r="9" spans="1:38" x14ac:dyDescent="0.2">
      <c r="A9">
        <v>40</v>
      </c>
      <c r="B9">
        <v>741</v>
      </c>
      <c r="C9">
        <v>250</v>
      </c>
      <c r="D9">
        <v>0.31765567223783697</v>
      </c>
      <c r="E9">
        <v>39.1246051218478</v>
      </c>
      <c r="F9">
        <v>2.5246505893233602</v>
      </c>
      <c r="G9">
        <v>-614.56634142770895</v>
      </c>
      <c r="H9">
        <v>-533.46352735935159</v>
      </c>
      <c r="I9">
        <v>79.971221287144303</v>
      </c>
      <c r="J9">
        <v>46.405886502658802</v>
      </c>
      <c r="K9">
        <v>15.4970376048487</v>
      </c>
      <c r="L9">
        <v>2.8174267653620819E-5</v>
      </c>
      <c r="M9">
        <v>1.7863188603359514E-6</v>
      </c>
      <c r="N9" s="1">
        <v>-3.3496131318131601E-7</v>
      </c>
      <c r="O9" s="1">
        <v>1.4813251507737101E-10</v>
      </c>
      <c r="P9" s="1">
        <v>1.2769649765852801E-9</v>
      </c>
      <c r="Q9">
        <v>65.733721939428804</v>
      </c>
      <c r="S9">
        <v>18.939729965888599</v>
      </c>
      <c r="AA9">
        <v>0.28740577216082203</v>
      </c>
      <c r="AB9">
        <v>3.8019621358109199</v>
      </c>
      <c r="AC9">
        <v>11.237180186710701</v>
      </c>
      <c r="AJ9">
        <v>0.33485590812872201</v>
      </c>
      <c r="AK9">
        <v>1.3988026777666199E-2</v>
      </c>
      <c r="AL9">
        <v>0.65115606509361101</v>
      </c>
    </row>
    <row r="10" spans="1:38" x14ac:dyDescent="0.2">
      <c r="A10">
        <v>50</v>
      </c>
      <c r="B10">
        <v>750</v>
      </c>
      <c r="C10">
        <v>225</v>
      </c>
      <c r="D10">
        <v>0.35115134633240402</v>
      </c>
      <c r="E10">
        <v>0.38992732181226097</v>
      </c>
      <c r="F10">
        <v>2.5883544809138499</v>
      </c>
      <c r="G10">
        <v>-6.3252130913968063</v>
      </c>
      <c r="H10">
        <v>-5.4909398279283126</v>
      </c>
      <c r="I10">
        <v>0.81539682692517601</v>
      </c>
      <c r="J10">
        <v>0.47583424738183799</v>
      </c>
      <c r="K10">
        <v>0.150646800771505</v>
      </c>
      <c r="L10">
        <v>3.0724099459114914E-5</v>
      </c>
      <c r="M10">
        <v>1.7733365151433447E-6</v>
      </c>
      <c r="N10" s="1">
        <v>-6.4150938719334798E-9</v>
      </c>
      <c r="O10" s="1">
        <v>1.2897477044265499E-12</v>
      </c>
      <c r="P10" s="1">
        <v>2.1917470394043101E-11</v>
      </c>
      <c r="Q10">
        <v>63.4886811188804</v>
      </c>
      <c r="S10">
        <v>22.656019670179099</v>
      </c>
      <c r="AA10">
        <v>3.8772324137642298</v>
      </c>
      <c r="AB10">
        <v>8.5417456519182</v>
      </c>
      <c r="AC10">
        <v>1.4363211452578799</v>
      </c>
      <c r="AJ10">
        <v>0.73450225963848603</v>
      </c>
      <c r="AK10">
        <v>0.18423796418101701</v>
      </c>
      <c r="AL10">
        <v>8.1259776180495596E-2</v>
      </c>
    </row>
    <row r="11" spans="1:38" x14ac:dyDescent="0.2">
      <c r="A11">
        <v>51</v>
      </c>
      <c r="B11">
        <v>749</v>
      </c>
      <c r="C11">
        <v>225</v>
      </c>
      <c r="D11">
        <v>0.350448075135744</v>
      </c>
      <c r="E11">
        <v>1.25471778770105</v>
      </c>
      <c r="F11">
        <v>2.5871786838237298</v>
      </c>
      <c r="G11">
        <v>-20.345418928658088</v>
      </c>
      <c r="H11">
        <v>-17.664488570432912</v>
      </c>
      <c r="I11">
        <v>2.6228345724455</v>
      </c>
      <c r="J11">
        <v>1.53178206694556</v>
      </c>
      <c r="K11">
        <v>0.48497531134828398</v>
      </c>
      <c r="L11">
        <v>3.0809972481931201E-5</v>
      </c>
      <c r="M11">
        <v>1.7759997609047214E-6</v>
      </c>
      <c r="N11" s="1">
        <v>-2.1328803212983899E-8</v>
      </c>
      <c r="O11" s="1">
        <v>4.1553849282863296E-12</v>
      </c>
      <c r="P11" s="1">
        <v>7.2485740461435399E-11</v>
      </c>
      <c r="Q11">
        <v>63.603627074339599</v>
      </c>
      <c r="S11">
        <v>22.560670990780999</v>
      </c>
      <c r="AA11">
        <v>3.7717477096738601</v>
      </c>
      <c r="AB11">
        <v>8.5479275912869692</v>
      </c>
      <c r="AC11">
        <v>1.5160266339183901</v>
      </c>
      <c r="AJ11">
        <v>0.73501289213172005</v>
      </c>
      <c r="AK11">
        <v>0.17922044348668101</v>
      </c>
      <c r="AL11">
        <v>8.5766664381598107E-2</v>
      </c>
    </row>
    <row r="12" spans="1:38" x14ac:dyDescent="0.2">
      <c r="A12">
        <v>52</v>
      </c>
      <c r="B12">
        <v>748</v>
      </c>
      <c r="C12">
        <v>225</v>
      </c>
      <c r="D12">
        <v>0.34974342652891699</v>
      </c>
      <c r="E12">
        <v>3.67023752223202</v>
      </c>
      <c r="F12">
        <v>2.58682306015496</v>
      </c>
      <c r="G12">
        <v>-59.498441162128827</v>
      </c>
      <c r="H12">
        <v>-51.66806755995453</v>
      </c>
      <c r="I12">
        <v>7.6681913550157104</v>
      </c>
      <c r="J12">
        <v>4.48225272557998</v>
      </c>
      <c r="K12">
        <v>1.41882047472243</v>
      </c>
      <c r="L12">
        <v>3.086036532931417E-5</v>
      </c>
      <c r="M12">
        <v>1.7768383820643791E-6</v>
      </c>
      <c r="N12" s="1">
        <v>-6.4340964020134696E-8</v>
      </c>
      <c r="O12" s="1">
        <v>1.2149581251139001E-11</v>
      </c>
      <c r="P12" s="1">
        <v>2.17605833426609E-10</v>
      </c>
      <c r="Q12">
        <v>63.6362054558696</v>
      </c>
      <c r="S12">
        <v>22.5300971930237</v>
      </c>
      <c r="AA12">
        <v>3.7389222935184301</v>
      </c>
      <c r="AB12">
        <v>8.5403735820578106</v>
      </c>
      <c r="AC12">
        <v>1.5544014755303199</v>
      </c>
      <c r="AJ12">
        <v>0.73439147577181196</v>
      </c>
      <c r="AK12">
        <v>0.17766749879603799</v>
      </c>
      <c r="AL12">
        <v>8.7941025432149295E-2</v>
      </c>
    </row>
    <row r="13" spans="1:38" x14ac:dyDescent="0.2">
      <c r="A13">
        <v>53</v>
      </c>
      <c r="B13">
        <v>747</v>
      </c>
      <c r="C13">
        <v>225</v>
      </c>
      <c r="D13">
        <v>0.34903739646130499</v>
      </c>
      <c r="E13">
        <v>7.0004379723186201</v>
      </c>
      <c r="F13">
        <v>2.5874848806927702</v>
      </c>
      <c r="G13">
        <v>-113.47931433011087</v>
      </c>
      <c r="H13">
        <v>-98.568876344760568</v>
      </c>
      <c r="I13">
        <v>14.6159270551882</v>
      </c>
      <c r="J13">
        <v>8.5519921822293394</v>
      </c>
      <c r="K13">
        <v>2.7054990831267398</v>
      </c>
      <c r="L13">
        <v>3.0875995981611317E-5</v>
      </c>
      <c r="M13">
        <v>1.7756440661123002E-6</v>
      </c>
      <c r="N13" s="1">
        <v>-1.2642444316170599E-7</v>
      </c>
      <c r="O13" s="1">
        <v>2.31137556220441E-11</v>
      </c>
      <c r="P13" s="1">
        <v>4.2565153801045998E-10</v>
      </c>
      <c r="Q13">
        <v>63.574216236380202</v>
      </c>
      <c r="S13">
        <v>22.577027738230601</v>
      </c>
      <c r="AA13">
        <v>3.7921048107653998</v>
      </c>
      <c r="AB13">
        <v>8.5252684558017506</v>
      </c>
      <c r="AC13">
        <v>1.53138275882195</v>
      </c>
      <c r="AJ13">
        <v>0.73314686472337398</v>
      </c>
      <c r="AK13">
        <v>0.180207989232055</v>
      </c>
      <c r="AL13">
        <v>8.6645146044569396E-2</v>
      </c>
    </row>
    <row r="14" spans="1:38" x14ac:dyDescent="0.2">
      <c r="A14">
        <v>54</v>
      </c>
      <c r="B14">
        <v>746</v>
      </c>
      <c r="C14">
        <v>225</v>
      </c>
      <c r="D14">
        <v>0.34832998086640898</v>
      </c>
      <c r="E14">
        <v>18.013457934821702</v>
      </c>
      <c r="F14">
        <v>2.5889701062452399</v>
      </c>
      <c r="G14">
        <v>-292.01658092958803</v>
      </c>
      <c r="H14">
        <v>-253.71993906021146</v>
      </c>
      <c r="I14">
        <v>37.577041524188203</v>
      </c>
      <c r="J14">
        <v>22.009138098191102</v>
      </c>
      <c r="K14">
        <v>6.9577697677423096</v>
      </c>
      <c r="L14">
        <v>3.0839031470631169E-5</v>
      </c>
      <c r="M14">
        <v>1.7722478875485113E-6</v>
      </c>
      <c r="N14" s="1">
        <v>-3.33753761358375E-7</v>
      </c>
      <c r="O14" s="1">
        <v>5.9224564640006004E-11</v>
      </c>
      <c r="P14" s="1">
        <v>1.1194108785004199E-9</v>
      </c>
      <c r="Q14">
        <v>63.417439564009101</v>
      </c>
      <c r="S14">
        <v>22.692929910994302</v>
      </c>
      <c r="AA14">
        <v>3.9243069832622002</v>
      </c>
      <c r="AB14">
        <v>8.47975266166263</v>
      </c>
      <c r="AC14">
        <v>1.48557088007166</v>
      </c>
      <c r="AJ14">
        <v>0.72939584332836505</v>
      </c>
      <c r="AK14">
        <v>0.18653222158389701</v>
      </c>
      <c r="AL14">
        <v>8.4071935087737998E-2</v>
      </c>
    </row>
    <row r="15" spans="1:38" x14ac:dyDescent="0.2">
      <c r="A15">
        <v>55</v>
      </c>
      <c r="B15">
        <v>745</v>
      </c>
      <c r="C15">
        <v>225</v>
      </c>
      <c r="D15">
        <v>0.347621175661739</v>
      </c>
      <c r="E15">
        <v>19.2571099295191</v>
      </c>
      <c r="F15">
        <v>2.5892555681379101</v>
      </c>
      <c r="G15">
        <v>-312.14941317475518</v>
      </c>
      <c r="H15">
        <v>-271.27392660487681</v>
      </c>
      <c r="I15">
        <v>40.146821755024597</v>
      </c>
      <c r="J15">
        <v>23.538670869415</v>
      </c>
      <c r="K15">
        <v>7.4373152524947796</v>
      </c>
      <c r="L15">
        <v>3.0880371586260015E-5</v>
      </c>
      <c r="M15">
        <v>1.7720275827988063E-6</v>
      </c>
      <c r="N15" s="1">
        <v>-3.6825925581649602E-7</v>
      </c>
      <c r="O15" s="1">
        <v>6.3190208014687E-11</v>
      </c>
      <c r="P15" s="1">
        <v>1.22945066205956E-9</v>
      </c>
      <c r="Q15">
        <v>63.397481287138099</v>
      </c>
      <c r="S15">
        <v>22.708951271744599</v>
      </c>
      <c r="AA15">
        <v>3.9421817609874501</v>
      </c>
      <c r="AB15">
        <v>8.4772787919015293</v>
      </c>
      <c r="AC15">
        <v>1.47410688822822</v>
      </c>
      <c r="AJ15">
        <v>0.72919175242399203</v>
      </c>
      <c r="AK15">
        <v>0.187384091081534</v>
      </c>
      <c r="AL15">
        <v>8.34241564944736E-2</v>
      </c>
    </row>
    <row r="16" spans="1:38" x14ac:dyDescent="0.2">
      <c r="A16">
        <v>59</v>
      </c>
      <c r="B16">
        <v>756</v>
      </c>
      <c r="C16">
        <v>200</v>
      </c>
      <c r="D16">
        <v>0.38206335325268598</v>
      </c>
      <c r="E16">
        <v>0.31915913425201498</v>
      </c>
      <c r="F16">
        <v>2.5867857101701901</v>
      </c>
      <c r="G16">
        <v>-5.1849893214304359</v>
      </c>
      <c r="H16">
        <v>-4.4956518993956296</v>
      </c>
      <c r="I16">
        <v>0.66981239084176702</v>
      </c>
      <c r="J16">
        <v>0.38865686270314198</v>
      </c>
      <c r="K16">
        <v>0.123380585023804</v>
      </c>
      <c r="L16">
        <v>3.0473035009994481E-5</v>
      </c>
      <c r="M16">
        <v>1.7742448616972302E-6</v>
      </c>
      <c r="N16" s="1">
        <v>-4.26883033904321E-9</v>
      </c>
      <c r="O16" s="1">
        <v>1.06397180163624E-12</v>
      </c>
      <c r="P16" s="1">
        <v>1.5113165606766601E-11</v>
      </c>
      <c r="Q16">
        <v>63.509558992940697</v>
      </c>
      <c r="S16">
        <v>22.651703103084898</v>
      </c>
      <c r="AA16">
        <v>3.8687996352202401</v>
      </c>
      <c r="AB16">
        <v>8.5769544330052003</v>
      </c>
      <c r="AC16">
        <v>1.39298383574879</v>
      </c>
      <c r="AJ16">
        <v>0.73740074885718598</v>
      </c>
      <c r="AK16">
        <v>0.18380507570021201</v>
      </c>
      <c r="AL16">
        <v>7.8794175442600894E-2</v>
      </c>
    </row>
    <row r="17" spans="1:38" x14ac:dyDescent="0.2">
      <c r="A17">
        <v>60</v>
      </c>
      <c r="B17">
        <v>755</v>
      </c>
      <c r="C17">
        <v>200</v>
      </c>
      <c r="D17">
        <v>0.38139425181150599</v>
      </c>
      <c r="E17">
        <v>1.16115707396593</v>
      </c>
      <c r="F17">
        <v>2.5857007614942198</v>
      </c>
      <c r="G17">
        <v>-18.856950418870035</v>
      </c>
      <c r="H17">
        <v>-16.352391266613125</v>
      </c>
      <c r="I17">
        <v>2.4359861423497602</v>
      </c>
      <c r="J17">
        <v>1.41446894948472</v>
      </c>
      <c r="K17">
        <v>0.44906862049068702</v>
      </c>
      <c r="L17">
        <v>3.0549118025714041E-5</v>
      </c>
      <c r="M17">
        <v>1.7767436797006888E-6</v>
      </c>
      <c r="N17" s="1">
        <v>-1.6045341655613899E-8</v>
      </c>
      <c r="O17" s="1">
        <v>3.8759744926920902E-12</v>
      </c>
      <c r="P17" s="1">
        <v>5.6459633261434697E-11</v>
      </c>
      <c r="Q17">
        <v>63.617349013818803</v>
      </c>
      <c r="S17">
        <v>22.562879604848298</v>
      </c>
      <c r="AA17">
        <v>3.7703680119072298</v>
      </c>
      <c r="AB17">
        <v>8.5842963665920102</v>
      </c>
      <c r="AC17">
        <v>1.46510700283357</v>
      </c>
      <c r="AJ17">
        <v>0.73800656421241595</v>
      </c>
      <c r="AK17">
        <v>0.17912246380371599</v>
      </c>
      <c r="AL17">
        <v>8.2870971983866504E-2</v>
      </c>
    </row>
    <row r="18" spans="1:38" x14ac:dyDescent="0.2">
      <c r="A18">
        <v>61</v>
      </c>
      <c r="B18">
        <v>754</v>
      </c>
      <c r="C18">
        <v>200</v>
      </c>
      <c r="D18">
        <v>0.38072384753930699</v>
      </c>
      <c r="E18">
        <v>2.0136231469225998</v>
      </c>
      <c r="F18">
        <v>2.5845735582675098</v>
      </c>
      <c r="G18">
        <v>-32.688062845545502</v>
      </c>
      <c r="H18">
        <v>-28.350653455158106</v>
      </c>
      <c r="I18">
        <v>4.22276141789163</v>
      </c>
      <c r="J18">
        <v>2.4536849329503099</v>
      </c>
      <c r="K18">
        <v>0.77909299214233696</v>
      </c>
      <c r="L18">
        <v>3.0623192734527842E-5</v>
      </c>
      <c r="M18">
        <v>1.7792081188589211E-6</v>
      </c>
      <c r="N18" s="1">
        <v>-2.8730729163817499E-8</v>
      </c>
      <c r="O18" s="1">
        <v>6.7306111946880598E-12</v>
      </c>
      <c r="P18" s="1">
        <v>1.00503178794238E-10</v>
      </c>
      <c r="Q18">
        <v>63.725066802752401</v>
      </c>
      <c r="S18">
        <v>22.472506428652899</v>
      </c>
      <c r="AA18">
        <v>3.6706747427475901</v>
      </c>
      <c r="AB18">
        <v>8.5874146529228099</v>
      </c>
      <c r="AC18">
        <v>1.5443373729241601</v>
      </c>
      <c r="AJ18">
        <v>0.73826477396105195</v>
      </c>
      <c r="AK18">
        <v>0.174383908258714</v>
      </c>
      <c r="AL18">
        <v>8.7351317780233195E-2</v>
      </c>
    </row>
    <row r="19" spans="1:38" x14ac:dyDescent="0.2">
      <c r="A19">
        <v>62</v>
      </c>
      <c r="B19">
        <v>753</v>
      </c>
      <c r="C19">
        <v>200</v>
      </c>
      <c r="D19">
        <v>0.380052136627202</v>
      </c>
      <c r="E19">
        <v>2.8803094742744202</v>
      </c>
      <c r="F19">
        <v>2.5833905746977601</v>
      </c>
      <c r="G19">
        <v>-46.737885876749054</v>
      </c>
      <c r="H19">
        <v>-40.54205972447285</v>
      </c>
      <c r="I19">
        <v>6.0379341736356302</v>
      </c>
      <c r="J19">
        <v>3.5108376490282498</v>
      </c>
      <c r="K19">
        <v>1.1149338015260799</v>
      </c>
      <c r="L19">
        <v>3.0694884039298615E-5</v>
      </c>
      <c r="M19">
        <v>1.7816437798118859E-6</v>
      </c>
      <c r="N19" s="1">
        <v>-4.2406883689374602E-8</v>
      </c>
      <c r="O19" s="1">
        <v>9.6412393501196696E-12</v>
      </c>
      <c r="P19" s="1">
        <v>1.47508024711435E-10</v>
      </c>
      <c r="Q19">
        <v>63.833261048593599</v>
      </c>
      <c r="S19">
        <v>22.379848966750899</v>
      </c>
      <c r="AA19">
        <v>3.56898573978496</v>
      </c>
      <c r="AB19">
        <v>8.5856061459681605</v>
      </c>
      <c r="AC19">
        <v>1.6322980989022899</v>
      </c>
      <c r="AJ19">
        <v>0.73811755261198797</v>
      </c>
      <c r="AK19">
        <v>0.169554833303385</v>
      </c>
      <c r="AL19">
        <v>9.2327614084625906E-2</v>
      </c>
    </row>
    <row r="20" spans="1:38" x14ac:dyDescent="0.2">
      <c r="A20">
        <v>63</v>
      </c>
      <c r="B20">
        <v>752</v>
      </c>
      <c r="C20">
        <v>200</v>
      </c>
      <c r="D20">
        <v>0.37937911525142798</v>
      </c>
      <c r="E20">
        <v>6.0292629220947598</v>
      </c>
      <c r="F20">
        <v>2.5841731446138101</v>
      </c>
      <c r="G20">
        <v>-97.829708857670497</v>
      </c>
      <c r="H20">
        <v>-84.882038181340675</v>
      </c>
      <c r="I20">
        <v>12.630025534146</v>
      </c>
      <c r="J20">
        <v>7.3505240683284496</v>
      </c>
      <c r="K20">
        <v>2.3331497483678798</v>
      </c>
      <c r="L20">
        <v>3.0690409810208811E-5</v>
      </c>
      <c r="M20">
        <v>1.7799934383274644E-6</v>
      </c>
      <c r="N20" s="1">
        <v>-9.1282230366569506E-8</v>
      </c>
      <c r="O20" s="1">
        <v>2.0130383832973501E-11</v>
      </c>
      <c r="P20" s="1">
        <v>3.1599645572438302E-10</v>
      </c>
      <c r="Q20">
        <v>63.753569888735903</v>
      </c>
      <c r="S20">
        <v>22.437841629533999</v>
      </c>
      <c r="AA20">
        <v>3.63542512308323</v>
      </c>
      <c r="AB20">
        <v>8.5600539741410309</v>
      </c>
      <c r="AC20">
        <v>1.61310938450574</v>
      </c>
      <c r="AJ20">
        <v>0.73601333801944702</v>
      </c>
      <c r="AK20">
        <v>0.172732944413719</v>
      </c>
      <c r="AL20">
        <v>9.1253717566833203E-2</v>
      </c>
    </row>
    <row r="21" spans="1:38" x14ac:dyDescent="0.2">
      <c r="A21">
        <v>64</v>
      </c>
      <c r="B21">
        <v>751</v>
      </c>
      <c r="C21">
        <v>200</v>
      </c>
      <c r="D21">
        <v>0.378704779573308</v>
      </c>
      <c r="E21">
        <v>15.147600983294</v>
      </c>
      <c r="F21">
        <v>2.5866145937218299</v>
      </c>
      <c r="G21">
        <v>-245.82144205580923</v>
      </c>
      <c r="H21">
        <v>-213.35810198899222</v>
      </c>
      <c r="I21">
        <v>31.697837296115701</v>
      </c>
      <c r="J21">
        <v>18.465457852929699</v>
      </c>
      <c r="K21">
        <v>5.8561491998304902</v>
      </c>
      <c r="L21">
        <v>3.0592085224214121E-5</v>
      </c>
      <c r="M21">
        <v>1.7741966530041815E-6</v>
      </c>
      <c r="N21" s="1">
        <v>-2.3417894432776901E-7</v>
      </c>
      <c r="O21" s="1">
        <v>5.0279389283635498E-11</v>
      </c>
      <c r="P21" s="1">
        <v>8.0784407292399796E-10</v>
      </c>
      <c r="Q21">
        <v>63.4924451270399</v>
      </c>
      <c r="S21">
        <v>22.631062302039499</v>
      </c>
      <c r="AA21">
        <v>3.8557640496592702</v>
      </c>
      <c r="AB21">
        <v>8.4847045570260899</v>
      </c>
      <c r="AC21">
        <v>1.5360239642351901</v>
      </c>
      <c r="AJ21">
        <v>0.72980486768285302</v>
      </c>
      <c r="AK21">
        <v>0.183269954187842</v>
      </c>
      <c r="AL21">
        <v>8.6925178129303796E-2</v>
      </c>
    </row>
    <row r="22" spans="1:38" x14ac:dyDescent="0.2">
      <c r="A22">
        <v>65</v>
      </c>
      <c r="B22">
        <v>750</v>
      </c>
      <c r="C22">
        <v>200</v>
      </c>
      <c r="D22">
        <v>0.37802912573913899</v>
      </c>
      <c r="E22">
        <v>18.249387801381001</v>
      </c>
      <c r="F22">
        <v>2.5876264605717898</v>
      </c>
      <c r="G22">
        <v>-296.15586939303023</v>
      </c>
      <c r="H22">
        <v>-257.11283947319816</v>
      </c>
      <c r="I22">
        <v>38.159634383845898</v>
      </c>
      <c r="J22">
        <v>22.250918916658801</v>
      </c>
      <c r="K22">
        <v>7.0525588138206103</v>
      </c>
      <c r="L22">
        <v>3.05797845490084E-5</v>
      </c>
      <c r="M22">
        <v>1.7720409817103178E-6</v>
      </c>
      <c r="N22" s="1">
        <v>-2.9005149542313902E-7</v>
      </c>
      <c r="O22" s="1">
        <v>6.0387111304081704E-11</v>
      </c>
      <c r="P22" s="1">
        <v>9.9600278306866497E-10</v>
      </c>
      <c r="Q22">
        <v>63.389951772780798</v>
      </c>
      <c r="S22">
        <v>22.707424127239999</v>
      </c>
      <c r="AA22">
        <v>3.9426787603746698</v>
      </c>
      <c r="AB22">
        <v>8.4564960650115992</v>
      </c>
      <c r="AC22">
        <v>1.5034492745928201</v>
      </c>
      <c r="AJ22">
        <v>0.72747935558277799</v>
      </c>
      <c r="AK22">
        <v>0.18742710879472099</v>
      </c>
      <c r="AL22">
        <v>8.50935356224993E-2</v>
      </c>
    </row>
    <row r="23" spans="1:38" x14ac:dyDescent="0.2">
      <c r="A23">
        <v>66</v>
      </c>
      <c r="B23">
        <v>749</v>
      </c>
      <c r="C23">
        <v>200</v>
      </c>
      <c r="D23">
        <v>0.37735214988015597</v>
      </c>
      <c r="E23">
        <v>19.117477493403399</v>
      </c>
      <c r="F23">
        <v>2.5879773023390098</v>
      </c>
      <c r="G23">
        <v>-310.21781744849329</v>
      </c>
      <c r="H23">
        <v>-269.38290006575551</v>
      </c>
      <c r="I23">
        <v>39.950024343528398</v>
      </c>
      <c r="J23">
        <v>23.317299537727902</v>
      </c>
      <c r="K23">
        <v>7.3870344520120099</v>
      </c>
      <c r="L23">
        <v>3.0610077094939766E-5</v>
      </c>
      <c r="M23">
        <v>1.7716264401027695E-6</v>
      </c>
      <c r="N23" s="1">
        <v>-3.1343834194877002E-7</v>
      </c>
      <c r="O23" s="1">
        <v>6.3142485603354994E-11</v>
      </c>
      <c r="P23" s="1">
        <v>1.07087961713254E-9</v>
      </c>
      <c r="Q23">
        <v>63.362507712764902</v>
      </c>
      <c r="S23">
        <v>22.728924685139699</v>
      </c>
      <c r="AA23">
        <v>3.9668206370104602</v>
      </c>
      <c r="AB23">
        <v>8.4517049565552007</v>
      </c>
      <c r="AC23">
        <v>1.49004200852963</v>
      </c>
      <c r="AJ23">
        <v>0.72708416515263996</v>
      </c>
      <c r="AK23">
        <v>0.18857916699021901</v>
      </c>
      <c r="AL23">
        <v>8.4336667857140002E-2</v>
      </c>
    </row>
    <row r="24" spans="1:38" x14ac:dyDescent="0.2">
      <c r="A24">
        <v>68</v>
      </c>
      <c r="B24">
        <v>764</v>
      </c>
      <c r="C24">
        <v>175</v>
      </c>
      <c r="D24">
        <v>0.41388468398978101</v>
      </c>
      <c r="E24">
        <v>9.40492422789376E-2</v>
      </c>
      <c r="F24">
        <v>2.5852863004181401</v>
      </c>
      <c r="G24">
        <v>-1.5305890869970564</v>
      </c>
      <c r="H24">
        <v>-1.324932120786128</v>
      </c>
      <c r="I24">
        <v>0.198290475062361</v>
      </c>
      <c r="J24">
        <v>0.114285987274729</v>
      </c>
      <c r="K24">
        <v>3.6378656500723403E-2</v>
      </c>
      <c r="L24">
        <v>3.0192872954338066E-5</v>
      </c>
      <c r="M24">
        <v>1.7742357097159789E-6</v>
      </c>
      <c r="N24" s="1">
        <v>-9.6015290762164209E-10</v>
      </c>
      <c r="O24" s="1">
        <v>3.15921150296442E-13</v>
      </c>
      <c r="P24" s="1">
        <v>3.5921476596380101E-12</v>
      </c>
      <c r="Q24">
        <v>63.499861879553599</v>
      </c>
      <c r="S24">
        <v>22.667621727594</v>
      </c>
      <c r="AA24">
        <v>3.8841953522747299</v>
      </c>
      <c r="AB24">
        <v>8.5970776794732604</v>
      </c>
      <c r="AC24">
        <v>1.35124336110432</v>
      </c>
      <c r="AJ24">
        <v>0.73905657613876596</v>
      </c>
      <c r="AK24">
        <v>0.18451797910316201</v>
      </c>
      <c r="AL24">
        <v>7.6425444758070796E-2</v>
      </c>
    </row>
    <row r="25" spans="1:38" x14ac:dyDescent="0.2">
      <c r="A25">
        <v>69</v>
      </c>
      <c r="B25">
        <v>763</v>
      </c>
      <c r="C25">
        <v>175</v>
      </c>
      <c r="D25">
        <v>0.41325145973073701</v>
      </c>
      <c r="E25">
        <v>0.41104999261012198</v>
      </c>
      <c r="F25">
        <v>2.5848656376778298</v>
      </c>
      <c r="G25">
        <v>-6.6881931419143914</v>
      </c>
      <c r="H25">
        <v>-5.7906311204425567</v>
      </c>
      <c r="I25">
        <v>0.86624718570847203</v>
      </c>
      <c r="J25">
        <v>0.49963057642112901</v>
      </c>
      <c r="K25">
        <v>0.159021802378632</v>
      </c>
      <c r="L25">
        <v>3.0245259414699665E-5</v>
      </c>
      <c r="M25">
        <v>1.7755705687959293E-6</v>
      </c>
      <c r="N25" s="1">
        <v>-4.3373151320190396E-9</v>
      </c>
      <c r="O25" s="1">
        <v>1.38100848714485E-12</v>
      </c>
      <c r="P25" s="1">
        <v>1.6107011338339501E-11</v>
      </c>
      <c r="Q25">
        <v>63.552250043876001</v>
      </c>
      <c r="S25">
        <v>22.627476912340899</v>
      </c>
      <c r="AA25">
        <v>3.8388514066883901</v>
      </c>
      <c r="AB25">
        <v>8.6085770423567496</v>
      </c>
      <c r="AC25">
        <v>1.3728445947377701</v>
      </c>
      <c r="AJ25">
        <v>0.74000350507432</v>
      </c>
      <c r="AK25">
        <v>0.182353665903945</v>
      </c>
      <c r="AL25">
        <v>7.7642829021734E-2</v>
      </c>
    </row>
    <row r="26" spans="1:38" x14ac:dyDescent="0.2">
      <c r="A26">
        <v>70</v>
      </c>
      <c r="B26">
        <v>762</v>
      </c>
      <c r="C26">
        <v>175</v>
      </c>
      <c r="D26">
        <v>0.41261701202724399</v>
      </c>
      <c r="E26">
        <v>0.93420306853149704</v>
      </c>
      <c r="F26">
        <v>2.5842061202129201</v>
      </c>
      <c r="G26">
        <v>-15.196388231305987</v>
      </c>
      <c r="H26">
        <v>-13.159316934946801</v>
      </c>
      <c r="I26">
        <v>1.9678996245560401</v>
      </c>
      <c r="J26">
        <v>1.1358233306552299</v>
      </c>
      <c r="K26">
        <v>0.36150485877439298</v>
      </c>
      <c r="L26">
        <v>3.0303564939321277E-5</v>
      </c>
      <c r="M26">
        <v>1.7773058148362411E-6</v>
      </c>
      <c r="N26" s="1">
        <v>-1.01857498731122E-8</v>
      </c>
      <c r="O26" s="1">
        <v>3.14067368384382E-12</v>
      </c>
      <c r="P26" s="1">
        <v>3.7553628136561699E-11</v>
      </c>
      <c r="Q26">
        <v>63.624145582928001</v>
      </c>
      <c r="S26">
        <v>22.5700180969508</v>
      </c>
      <c r="AA26">
        <v>3.7746714544975402</v>
      </c>
      <c r="AB26">
        <v>8.6181566415485999</v>
      </c>
      <c r="AC26">
        <v>1.41300822407486</v>
      </c>
      <c r="AJ26">
        <v>0.74079268790916597</v>
      </c>
      <c r="AK26">
        <v>0.179296681135205</v>
      </c>
      <c r="AL26">
        <v>7.9910630955628503E-2</v>
      </c>
    </row>
    <row r="27" spans="1:38" x14ac:dyDescent="0.2">
      <c r="A27">
        <v>71</v>
      </c>
      <c r="B27">
        <v>761</v>
      </c>
      <c r="C27">
        <v>175</v>
      </c>
      <c r="D27">
        <v>0.411981337330175</v>
      </c>
      <c r="E27">
        <v>1.75949096604334</v>
      </c>
      <c r="F27">
        <v>2.5831766029884502</v>
      </c>
      <c r="G27">
        <v>-28.610723810285172</v>
      </c>
      <c r="H27">
        <v>-24.779249598273566</v>
      </c>
      <c r="I27">
        <v>3.7049501639139399</v>
      </c>
      <c r="J27">
        <v>2.1397498402126902</v>
      </c>
      <c r="K27">
        <v>0.68113460148555105</v>
      </c>
      <c r="L27">
        <v>3.0368822532236344E-5</v>
      </c>
      <c r="M27">
        <v>1.7796128074082932E-6</v>
      </c>
      <c r="N27" s="1">
        <v>-1.9810233335000599E-8</v>
      </c>
      <c r="O27" s="1">
        <v>5.9233098090003002E-12</v>
      </c>
      <c r="P27" s="1">
        <v>7.2530360248806799E-11</v>
      </c>
      <c r="Q27">
        <v>63.724715591439903</v>
      </c>
      <c r="S27">
        <v>22.486409126221702</v>
      </c>
      <c r="AA27">
        <v>3.6822265609525102</v>
      </c>
      <c r="AB27">
        <v>8.6230797264947796</v>
      </c>
      <c r="AC27">
        <v>1.4835689948909501</v>
      </c>
      <c r="AJ27">
        <v>0.74119917854267903</v>
      </c>
      <c r="AK27">
        <v>0.174901616963267</v>
      </c>
      <c r="AL27">
        <v>8.3899204494053206E-2</v>
      </c>
    </row>
    <row r="28" spans="1:38" x14ac:dyDescent="0.2">
      <c r="A28">
        <v>72</v>
      </c>
      <c r="B28">
        <v>760</v>
      </c>
      <c r="C28">
        <v>175</v>
      </c>
      <c r="D28">
        <v>0.41134443207665999</v>
      </c>
      <c r="E28">
        <v>2.59396394094078</v>
      </c>
      <c r="F28">
        <v>2.5821090255189398</v>
      </c>
      <c r="G28">
        <v>-42.163801306813177</v>
      </c>
      <c r="H28">
        <v>-36.522842484164805</v>
      </c>
      <c r="I28">
        <v>5.45996111179244</v>
      </c>
      <c r="J28">
        <v>3.1553031149752102</v>
      </c>
      <c r="K28">
        <v>1.0045911753937</v>
      </c>
      <c r="L28">
        <v>3.0432075977453054E-5</v>
      </c>
      <c r="M28">
        <v>1.7818836517458584E-6</v>
      </c>
      <c r="N28" s="1">
        <v>-3.0141612708718199E-8</v>
      </c>
      <c r="O28" s="1">
        <v>8.7448963241138993E-12</v>
      </c>
      <c r="P28" s="1">
        <v>1.0961867715264901E-10</v>
      </c>
      <c r="Q28">
        <v>63.825043153150098</v>
      </c>
      <c r="S28">
        <v>22.401478960295599</v>
      </c>
      <c r="AA28">
        <v>3.5887482394886301</v>
      </c>
      <c r="AB28">
        <v>8.6239988467667192</v>
      </c>
      <c r="AC28">
        <v>1.56073080029885</v>
      </c>
      <c r="AJ28">
        <v>0.74127628117194699</v>
      </c>
      <c r="AK28">
        <v>0.170461064856165</v>
      </c>
      <c r="AL28">
        <v>8.8262653971886401E-2</v>
      </c>
    </row>
    <row r="29" spans="1:38" x14ac:dyDescent="0.2">
      <c r="A29">
        <v>73</v>
      </c>
      <c r="B29">
        <v>759</v>
      </c>
      <c r="C29">
        <v>175</v>
      </c>
      <c r="D29">
        <v>0.41070629269001901</v>
      </c>
      <c r="E29">
        <v>3.44102620674163</v>
      </c>
      <c r="F29">
        <v>2.5809916450022601</v>
      </c>
      <c r="G29">
        <v>-55.909707528333449</v>
      </c>
      <c r="H29">
        <v>-48.436912060132137</v>
      </c>
      <c r="I29">
        <v>7.2400285503088702</v>
      </c>
      <c r="J29">
        <v>4.1865801420048498</v>
      </c>
      <c r="K29">
        <v>1.3332186539250099</v>
      </c>
      <c r="L29">
        <v>3.0493006736018208E-5</v>
      </c>
      <c r="M29">
        <v>1.7841228937701987E-6</v>
      </c>
      <c r="N29" s="1">
        <v>-4.1239035225047202E-8</v>
      </c>
      <c r="O29" s="1">
        <v>1.16176779969058E-11</v>
      </c>
      <c r="P29" s="1">
        <v>1.4901539020227599E-10</v>
      </c>
      <c r="Q29">
        <v>63.925591158877602</v>
      </c>
      <c r="S29">
        <v>22.314595790848902</v>
      </c>
      <c r="AA29">
        <v>3.4936072325254099</v>
      </c>
      <c r="AB29">
        <v>8.6202891620744904</v>
      </c>
      <c r="AC29">
        <v>1.6459166556735501</v>
      </c>
      <c r="AJ29">
        <v>0.74097260761477901</v>
      </c>
      <c r="AK29">
        <v>0.16594538817601401</v>
      </c>
      <c r="AL29">
        <v>9.3082004209205801E-2</v>
      </c>
    </row>
    <row r="30" spans="1:38" x14ac:dyDescent="0.2">
      <c r="A30">
        <v>74</v>
      </c>
      <c r="B30">
        <v>758</v>
      </c>
      <c r="C30">
        <v>175</v>
      </c>
      <c r="D30">
        <v>0.41006691557969399</v>
      </c>
      <c r="E30">
        <v>4.3776868360102403</v>
      </c>
      <c r="F30">
        <v>2.57988949065094</v>
      </c>
      <c r="G30">
        <v>-71.098546954121232</v>
      </c>
      <c r="H30">
        <v>-61.604830002665288</v>
      </c>
      <c r="I30">
        <v>9.2069213513610606</v>
      </c>
      <c r="J30">
        <v>5.3272066373780902</v>
      </c>
      <c r="K30">
        <v>1.6968505247508401</v>
      </c>
      <c r="L30">
        <v>3.0548199889834902E-5</v>
      </c>
      <c r="M30">
        <v>1.7861743569128475E-6</v>
      </c>
      <c r="N30" s="1">
        <v>-5.4062907620915999E-8</v>
      </c>
      <c r="O30" s="1">
        <v>1.4800907687691301E-11</v>
      </c>
      <c r="P30" s="1">
        <v>1.9416009906889E-10</v>
      </c>
      <c r="Q30">
        <v>64.019445753379202</v>
      </c>
      <c r="S30">
        <v>22.230992295706098</v>
      </c>
      <c r="AA30">
        <v>3.4027338064488699</v>
      </c>
      <c r="AB30">
        <v>8.6102616619265007</v>
      </c>
      <c r="AC30">
        <v>1.73656648253919</v>
      </c>
      <c r="AJ30">
        <v>0.74014905147134902</v>
      </c>
      <c r="AK30">
        <v>0.161637305988063</v>
      </c>
      <c r="AL30">
        <v>9.8213642540587204E-2</v>
      </c>
    </row>
    <row r="31" spans="1:38" x14ac:dyDescent="0.2">
      <c r="A31">
        <v>75</v>
      </c>
      <c r="B31">
        <v>757</v>
      </c>
      <c r="C31">
        <v>175</v>
      </c>
      <c r="D31">
        <v>0.40942629714119499</v>
      </c>
      <c r="E31">
        <v>7.2319657551574403</v>
      </c>
      <c r="F31">
        <v>2.5813165703216501</v>
      </c>
      <c r="G31">
        <v>-117.46194011921247</v>
      </c>
      <c r="H31">
        <v>-101.80610900373497</v>
      </c>
      <c r="I31">
        <v>15.197622788406999</v>
      </c>
      <c r="J31">
        <v>8.8013460496101406</v>
      </c>
      <c r="K31">
        <v>2.8016578200078199</v>
      </c>
      <c r="L31">
        <v>3.0512201550603483E-5</v>
      </c>
      <c r="M31">
        <v>1.7831683625074483E-6</v>
      </c>
      <c r="N31" s="1">
        <v>-9.1680852770976394E-8</v>
      </c>
      <c r="O31" s="1">
        <v>2.43631380203311E-11</v>
      </c>
      <c r="P31" s="1">
        <v>3.2760935216255098E-10</v>
      </c>
      <c r="Q31">
        <v>63.878126813249999</v>
      </c>
      <c r="S31">
        <v>22.337821446816299</v>
      </c>
      <c r="AA31">
        <v>3.52384379268327</v>
      </c>
      <c r="AB31">
        <v>8.5754064894399509</v>
      </c>
      <c r="AC31">
        <v>1.6848014578103401</v>
      </c>
      <c r="AJ31">
        <v>0.73727881304493503</v>
      </c>
      <c r="AK31">
        <v>0.16741889731145199</v>
      </c>
      <c r="AL31">
        <v>9.5302289643612106E-2</v>
      </c>
    </row>
    <row r="32" spans="1:38" x14ac:dyDescent="0.2">
      <c r="A32">
        <v>76</v>
      </c>
      <c r="B32">
        <v>756</v>
      </c>
      <c r="C32">
        <v>175</v>
      </c>
      <c r="D32">
        <v>0.40878443375601398</v>
      </c>
      <c r="E32">
        <v>15.089109057155699</v>
      </c>
      <c r="F32">
        <v>2.5846767679634302</v>
      </c>
      <c r="G32">
        <v>-245.14583213057176</v>
      </c>
      <c r="H32">
        <v>-212.55200026841553</v>
      </c>
      <c r="I32">
        <v>31.6706329127495</v>
      </c>
      <c r="J32">
        <v>18.358582254699598</v>
      </c>
      <c r="K32">
        <v>5.8379094996257503</v>
      </c>
      <c r="L32">
        <v>3.036020079150714E-5</v>
      </c>
      <c r="M32">
        <v>1.7751505074074335E-6</v>
      </c>
      <c r="N32" s="1">
        <v>-1.9446719988316401E-7</v>
      </c>
      <c r="O32" s="1">
        <v>5.04555502380498E-11</v>
      </c>
      <c r="P32" s="1">
        <v>6.92803336283848E-10</v>
      </c>
      <c r="Q32">
        <v>63.519438782955199</v>
      </c>
      <c r="S32">
        <v>22.604015032012999</v>
      </c>
      <c r="AA32">
        <v>3.82715117436463</v>
      </c>
      <c r="AB32">
        <v>8.4739505371321702</v>
      </c>
      <c r="AC32">
        <v>1.5754444735348301</v>
      </c>
      <c r="AJ32">
        <v>0.72891934898656896</v>
      </c>
      <c r="AK32">
        <v>0.18191979656548299</v>
      </c>
      <c r="AL32">
        <v>8.9160854447946095E-2</v>
      </c>
    </row>
    <row r="33" spans="1:38" x14ac:dyDescent="0.2">
      <c r="A33">
        <v>77</v>
      </c>
      <c r="B33">
        <v>755</v>
      </c>
      <c r="C33">
        <v>175</v>
      </c>
      <c r="D33">
        <v>0.40814132179156798</v>
      </c>
      <c r="E33">
        <v>17.8774975575027</v>
      </c>
      <c r="F33">
        <v>2.58608061972456</v>
      </c>
      <c r="G33">
        <v>-290.45812237013888</v>
      </c>
      <c r="H33">
        <v>-251.91081975486895</v>
      </c>
      <c r="I33">
        <v>37.491905476117203</v>
      </c>
      <c r="J33">
        <v>21.7524798805463</v>
      </c>
      <c r="K33">
        <v>6.9129699287591402</v>
      </c>
      <c r="L33">
        <v>3.0318909309514414E-5</v>
      </c>
      <c r="M33">
        <v>1.771978245492316E-6</v>
      </c>
      <c r="N33" s="1">
        <v>-2.3634091183050401E-7</v>
      </c>
      <c r="O33" s="1">
        <v>5.95603379833278E-11</v>
      </c>
      <c r="P33" s="1">
        <v>8.3797171075874901E-10</v>
      </c>
      <c r="Q33">
        <v>63.373530552389703</v>
      </c>
      <c r="S33">
        <v>22.712387620750999</v>
      </c>
      <c r="AA33">
        <v>3.95060536062919</v>
      </c>
      <c r="AB33">
        <v>8.4329146993780206</v>
      </c>
      <c r="AC33">
        <v>1.53056176685196</v>
      </c>
      <c r="AJ33">
        <v>0.72553582015528295</v>
      </c>
      <c r="AK33">
        <v>0.18782594836612901</v>
      </c>
      <c r="AL33">
        <v>8.6638231478586403E-2</v>
      </c>
    </row>
    <row r="34" spans="1:38" x14ac:dyDescent="0.2">
      <c r="A34">
        <v>78</v>
      </c>
      <c r="B34">
        <v>754</v>
      </c>
      <c r="C34">
        <v>175</v>
      </c>
      <c r="D34">
        <v>0.40749695760112897</v>
      </c>
      <c r="E34">
        <v>18.7350284625951</v>
      </c>
      <c r="F34">
        <v>2.5865788899084601</v>
      </c>
      <c r="G34">
        <v>-304.37037541238823</v>
      </c>
      <c r="H34">
        <v>-264.03942999227064</v>
      </c>
      <c r="I34">
        <v>39.264903295640899</v>
      </c>
      <c r="J34">
        <v>22.801376837510801</v>
      </c>
      <c r="K34">
        <v>7.2431691666895999</v>
      </c>
      <c r="L34">
        <v>3.033324145950928E-5</v>
      </c>
      <c r="M34">
        <v>1.7711568266311458E-6</v>
      </c>
      <c r="N34" s="1">
        <v>-2.5524222331426999E-7</v>
      </c>
      <c r="O34" s="1">
        <v>6.2297414742772002E-11</v>
      </c>
      <c r="P34" s="1">
        <v>8.9995401227708601E-10</v>
      </c>
      <c r="Q34">
        <v>63.329400560737099</v>
      </c>
      <c r="S34">
        <v>22.746119510286899</v>
      </c>
      <c r="AA34">
        <v>3.9887316451397399</v>
      </c>
      <c r="AB34">
        <v>8.4230059129989101</v>
      </c>
      <c r="AC34">
        <v>1.51274237083727</v>
      </c>
      <c r="AJ34">
        <v>0.72471847648125698</v>
      </c>
      <c r="AK34">
        <v>0.18964781226801899</v>
      </c>
      <c r="AL34">
        <v>8.5633711250722E-2</v>
      </c>
    </row>
    <row r="35" spans="1:38" x14ac:dyDescent="0.2">
      <c r="A35">
        <v>80</v>
      </c>
      <c r="B35">
        <v>774</v>
      </c>
      <c r="C35">
        <v>150</v>
      </c>
      <c r="D35">
        <v>0.44641216635630598</v>
      </c>
      <c r="E35">
        <v>0.263941563255089</v>
      </c>
      <c r="F35">
        <v>2.5831037671459698</v>
      </c>
      <c r="G35">
        <v>-4.3035362330859908</v>
      </c>
      <c r="H35">
        <v>-3.7174755410812446</v>
      </c>
      <c r="I35">
        <v>0.55967215012629101</v>
      </c>
      <c r="J35">
        <v>0.32016044088790802</v>
      </c>
      <c r="K35">
        <v>0.102180007869646</v>
      </c>
      <c r="L35">
        <v>2.9943240199779881E-5</v>
      </c>
      <c r="M35">
        <v>1.7749873577695732E-6</v>
      </c>
      <c r="N35" s="1">
        <v>-1.9284133412805099E-9</v>
      </c>
      <c r="O35" s="1">
        <v>8.93790205441188E-13</v>
      </c>
      <c r="P35" s="1">
        <v>7.8500118174339504E-12</v>
      </c>
      <c r="Q35">
        <v>63.532153047173601</v>
      </c>
      <c r="S35">
        <v>22.645127005476301</v>
      </c>
      <c r="AA35">
        <v>3.8581022736845898</v>
      </c>
      <c r="AB35">
        <v>8.6100639765863693</v>
      </c>
      <c r="AC35">
        <v>1.35455369707901</v>
      </c>
      <c r="AJ35">
        <v>0.74012554111877804</v>
      </c>
      <c r="AK35">
        <v>0.18326669146858701</v>
      </c>
      <c r="AL35">
        <v>7.6607767412633601E-2</v>
      </c>
    </row>
    <row r="36" spans="1:38" x14ac:dyDescent="0.2">
      <c r="A36">
        <v>81</v>
      </c>
      <c r="B36">
        <v>773</v>
      </c>
      <c r="C36">
        <v>150</v>
      </c>
      <c r="D36">
        <v>0.44581608755914398</v>
      </c>
      <c r="E36">
        <v>0.56861638226114497</v>
      </c>
      <c r="F36">
        <v>2.5827107019403801</v>
      </c>
      <c r="G36">
        <v>-9.2693586103804027</v>
      </c>
      <c r="H36">
        <v>-8.0085728932115696</v>
      </c>
      <c r="I36">
        <v>1.20516724864391</v>
      </c>
      <c r="J36">
        <v>0.68985472456026897</v>
      </c>
      <c r="K36">
        <v>0.22016263061671801</v>
      </c>
      <c r="L36">
        <v>2.9986020209615733E-5</v>
      </c>
      <c r="M36">
        <v>1.7762262249509915E-6</v>
      </c>
      <c r="N36" s="1">
        <v>-4.2955964050613499E-9</v>
      </c>
      <c r="O36" s="1">
        <v>1.9261820864300501E-12</v>
      </c>
      <c r="P36" s="1">
        <v>1.7321977176111898E-11</v>
      </c>
      <c r="Q36">
        <v>63.581375617895603</v>
      </c>
      <c r="S36">
        <v>22.607385359323899</v>
      </c>
      <c r="AA36">
        <v>3.8154796152029302</v>
      </c>
      <c r="AB36">
        <v>8.6208092040943001</v>
      </c>
      <c r="AC36">
        <v>1.37495020348313</v>
      </c>
      <c r="AJ36">
        <v>0.74101026429047201</v>
      </c>
      <c r="AK36">
        <v>0.18123251543018901</v>
      </c>
      <c r="AL36">
        <v>7.7757220279337597E-2</v>
      </c>
    </row>
    <row r="37" spans="1:38" x14ac:dyDescent="0.2">
      <c r="A37">
        <v>82</v>
      </c>
      <c r="B37">
        <v>772</v>
      </c>
      <c r="C37">
        <v>150</v>
      </c>
      <c r="D37">
        <v>0.44521886810505501</v>
      </c>
      <c r="E37">
        <v>0.873558396312893</v>
      </c>
      <c r="F37">
        <v>2.58232054023618</v>
      </c>
      <c r="G37">
        <v>-14.237525759537279</v>
      </c>
      <c r="H37">
        <v>-12.303334937231677</v>
      </c>
      <c r="I37">
        <v>1.85063466708663</v>
      </c>
      <c r="J37">
        <v>1.06001162414274</v>
      </c>
      <c r="K37">
        <v>0.33828426126874001</v>
      </c>
      <c r="L37">
        <v>3.0028903915493655E-5</v>
      </c>
      <c r="M37">
        <v>1.7774478338153237E-6</v>
      </c>
      <c r="N37" s="1">
        <v>-6.8222382106315403E-9</v>
      </c>
      <c r="O37" s="1">
        <v>2.9601165369650598E-12</v>
      </c>
      <c r="P37" s="1">
        <v>2.7259529595205701E-11</v>
      </c>
      <c r="Q37">
        <v>63.629891205187398</v>
      </c>
      <c r="S37">
        <v>22.570046327529699</v>
      </c>
      <c r="AA37">
        <v>3.7733540826076699</v>
      </c>
      <c r="AB37">
        <v>8.6310344628183895</v>
      </c>
      <c r="AC37">
        <v>1.39567392185671</v>
      </c>
      <c r="AJ37">
        <v>0.74185211373526805</v>
      </c>
      <c r="AK37">
        <v>0.17922262680777501</v>
      </c>
      <c r="AL37">
        <v>7.8925259456955998E-2</v>
      </c>
    </row>
    <row r="38" spans="1:38" x14ac:dyDescent="0.2">
      <c r="A38">
        <v>83</v>
      </c>
      <c r="B38">
        <v>771</v>
      </c>
      <c r="C38">
        <v>150</v>
      </c>
      <c r="D38">
        <v>0.44462050471675502</v>
      </c>
      <c r="E38">
        <v>1.1787278454508101</v>
      </c>
      <c r="F38">
        <v>2.58193321576299</v>
      </c>
      <c r="G38">
        <v>-19.207374562942793</v>
      </c>
      <c r="H38">
        <v>-16.601192558729558</v>
      </c>
      <c r="I38">
        <v>2.4959842974795099</v>
      </c>
      <c r="J38">
        <v>1.4305884891517899</v>
      </c>
      <c r="K38">
        <v>0.45652917676357802</v>
      </c>
      <c r="L38">
        <v>3.0071906444110598E-5</v>
      </c>
      <c r="M38">
        <v>1.7786522885094233E-6</v>
      </c>
      <c r="N38" s="1">
        <v>-9.5148812715436797E-9</v>
      </c>
      <c r="O38" s="1">
        <v>3.9953779048572101E-12</v>
      </c>
      <c r="P38" s="1">
        <v>3.7680935846846401E-11</v>
      </c>
      <c r="Q38">
        <v>63.677703033313698</v>
      </c>
      <c r="S38">
        <v>22.533106132835201</v>
      </c>
      <c r="AA38">
        <v>3.73172180728363</v>
      </c>
      <c r="AB38">
        <v>8.6407370352853405</v>
      </c>
      <c r="AC38">
        <v>1.41673199128205</v>
      </c>
      <c r="AJ38">
        <v>0.74265087892904902</v>
      </c>
      <c r="AK38">
        <v>0.177236825098638</v>
      </c>
      <c r="AL38">
        <v>8.0112295972312494E-2</v>
      </c>
    </row>
    <row r="39" spans="1:38" x14ac:dyDescent="0.2">
      <c r="A39">
        <v>84</v>
      </c>
      <c r="B39">
        <v>770</v>
      </c>
      <c r="C39">
        <v>150</v>
      </c>
      <c r="D39">
        <v>0.44402099410439499</v>
      </c>
      <c r="E39">
        <v>1.48408588875884</v>
      </c>
      <c r="F39">
        <v>2.5815486556544598</v>
      </c>
      <c r="G39">
        <v>-24.178256951553468</v>
      </c>
      <c r="H39">
        <v>-20.901589138572945</v>
      </c>
      <c r="I39">
        <v>3.14112813399848</v>
      </c>
      <c r="J39">
        <v>1.8015439993686</v>
      </c>
      <c r="K39">
        <v>0.57488201336364297</v>
      </c>
      <c r="L39">
        <v>3.0115043583007553E-5</v>
      </c>
      <c r="M39">
        <v>1.779839706375125E-6</v>
      </c>
      <c r="N39" s="1">
        <v>-1.23803398030854E-8</v>
      </c>
      <c r="O39" s="1">
        <v>5.0317516056127799E-12</v>
      </c>
      <c r="P39" s="1">
        <v>4.8605222542579903E-11</v>
      </c>
      <c r="Q39">
        <v>63.724814905841399</v>
      </c>
      <c r="S39">
        <v>22.496560503712701</v>
      </c>
      <c r="AA39">
        <v>3.6905783776664798</v>
      </c>
      <c r="AB39">
        <v>8.6499141991750204</v>
      </c>
      <c r="AC39">
        <v>1.4381320136043301</v>
      </c>
      <c r="AJ39">
        <v>0.74340634837388297</v>
      </c>
      <c r="AK39">
        <v>0.175274884324919</v>
      </c>
      <c r="AL39">
        <v>8.1318767301196401E-2</v>
      </c>
    </row>
    <row r="40" spans="1:38" x14ac:dyDescent="0.2">
      <c r="A40">
        <v>85</v>
      </c>
      <c r="B40">
        <v>769</v>
      </c>
      <c r="C40">
        <v>150</v>
      </c>
      <c r="D40">
        <v>0.44342033296550898</v>
      </c>
      <c r="E40">
        <v>1.7895947691708201</v>
      </c>
      <c r="F40">
        <v>2.5811667802161899</v>
      </c>
      <c r="G40">
        <v>-29.149542537072637</v>
      </c>
      <c r="H40">
        <v>-25.203982833691374</v>
      </c>
      <c r="I40">
        <v>3.7859806202382198</v>
      </c>
      <c r="J40">
        <v>2.1728383739510702</v>
      </c>
      <c r="K40">
        <v>0.69332783254746999</v>
      </c>
      <c r="L40">
        <v>3.0158331777770603E-5</v>
      </c>
      <c r="M40">
        <v>1.7810102176691241E-6</v>
      </c>
      <c r="N40" s="1">
        <v>-1.5425713426628201E-8</v>
      </c>
      <c r="O40" s="1">
        <v>6.0690246895617503E-12</v>
      </c>
      <c r="P40" s="1">
        <v>6.0052214942137703E-11</v>
      </c>
      <c r="Q40">
        <v>63.7712312013889</v>
      </c>
      <c r="S40">
        <v>22.460404667974</v>
      </c>
      <c r="AA40">
        <v>3.6499188349612801</v>
      </c>
      <c r="AB40">
        <v>8.6585632010918907</v>
      </c>
      <c r="AC40">
        <v>1.45988209458388</v>
      </c>
      <c r="AJ40">
        <v>0.744118307430082</v>
      </c>
      <c r="AK40">
        <v>0.173336552856003</v>
      </c>
      <c r="AL40">
        <v>8.2545139713913293E-2</v>
      </c>
    </row>
    <row r="41" spans="1:38" x14ac:dyDescent="0.2">
      <c r="A41">
        <v>86</v>
      </c>
      <c r="B41">
        <v>768</v>
      </c>
      <c r="C41">
        <v>150</v>
      </c>
      <c r="D41">
        <v>0.442818517984921</v>
      </c>
      <c r="E41">
        <v>2.59238122123663</v>
      </c>
      <c r="F41">
        <v>2.5801908362975601</v>
      </c>
      <c r="G41">
        <v>-42.210432265144298</v>
      </c>
      <c r="H41">
        <v>-36.502693917522954</v>
      </c>
      <c r="I41">
        <v>5.4821479591041999</v>
      </c>
      <c r="J41">
        <v>3.1480492520948702</v>
      </c>
      <c r="K41">
        <v>1.00472460593517</v>
      </c>
      <c r="L41">
        <v>3.0212383520551076E-5</v>
      </c>
      <c r="M41">
        <v>1.7831004234302769E-6</v>
      </c>
      <c r="N41" s="1">
        <v>-2.3065124195889301E-8</v>
      </c>
      <c r="O41" s="1">
        <v>8.8039462794227107E-12</v>
      </c>
      <c r="P41" s="1">
        <v>8.9067805353872896E-11</v>
      </c>
      <c r="Q41">
        <v>63.863753850975598</v>
      </c>
      <c r="S41">
        <v>22.3822818644067</v>
      </c>
      <c r="AA41">
        <v>3.5638778266893798</v>
      </c>
      <c r="AB41">
        <v>8.6599358786208303</v>
      </c>
      <c r="AC41">
        <v>1.53015057930732</v>
      </c>
      <c r="AJ41">
        <v>0.74423256946333904</v>
      </c>
      <c r="AK41">
        <v>0.16924957758879899</v>
      </c>
      <c r="AL41">
        <v>8.6517852947861004E-2</v>
      </c>
    </row>
    <row r="42" spans="1:38" x14ac:dyDescent="0.2">
      <c r="A42">
        <v>87</v>
      </c>
      <c r="B42">
        <v>767</v>
      </c>
      <c r="C42">
        <v>150</v>
      </c>
      <c r="D42">
        <v>0.44221554583473799</v>
      </c>
      <c r="E42">
        <v>3.4089952728066599</v>
      </c>
      <c r="F42">
        <v>2.5791719538576499</v>
      </c>
      <c r="G42">
        <v>-55.485833380959093</v>
      </c>
      <c r="H42">
        <v>-47.990353722205121</v>
      </c>
      <c r="I42">
        <v>7.2061526306340102</v>
      </c>
      <c r="J42">
        <v>4.1403131813349701</v>
      </c>
      <c r="K42">
        <v>1.3217402072428099</v>
      </c>
      <c r="L42">
        <v>3.0264515525300349E-5</v>
      </c>
      <c r="M42">
        <v>1.7851645451225827E-6</v>
      </c>
      <c r="N42" s="1">
        <v>-3.1287755252313003E-8</v>
      </c>
      <c r="O42" s="1">
        <v>1.1594248050008001E-11</v>
      </c>
      <c r="P42" s="1">
        <v>1.1988355121329999E-10</v>
      </c>
      <c r="Q42">
        <v>63.956495486839401</v>
      </c>
      <c r="S42">
        <v>22.302457887585</v>
      </c>
      <c r="AA42">
        <v>3.4763822356098202</v>
      </c>
      <c r="AB42">
        <v>8.6573367084722204</v>
      </c>
      <c r="AC42">
        <v>1.6073276814934501</v>
      </c>
      <c r="AJ42">
        <v>0.74402021712146005</v>
      </c>
      <c r="AK42">
        <v>0.1650968321771</v>
      </c>
      <c r="AL42">
        <v>9.0882950701438106E-2</v>
      </c>
    </row>
    <row r="43" spans="1:38" x14ac:dyDescent="0.2">
      <c r="A43">
        <v>88</v>
      </c>
      <c r="B43">
        <v>766</v>
      </c>
      <c r="C43">
        <v>150</v>
      </c>
      <c r="D43">
        <v>0.44161141317423203</v>
      </c>
      <c r="E43">
        <v>4.2377699010288303</v>
      </c>
      <c r="F43">
        <v>2.5781049195169099</v>
      </c>
      <c r="G43">
        <v>-68.94735046046479</v>
      </c>
      <c r="H43">
        <v>-59.642396396220462</v>
      </c>
      <c r="I43">
        <v>8.9543897072071594</v>
      </c>
      <c r="J43">
        <v>5.1475570220414104</v>
      </c>
      <c r="K43">
        <v>1.6437538553795099</v>
      </c>
      <c r="L43">
        <v>3.0314314869630682E-5</v>
      </c>
      <c r="M43">
        <v>1.7871969525162198E-6</v>
      </c>
      <c r="N43" s="1">
        <v>-4.0093486892472503E-8</v>
      </c>
      <c r="O43" s="1">
        <v>1.4435054552799E-11</v>
      </c>
      <c r="P43" s="1">
        <v>1.5248194281432899E-10</v>
      </c>
      <c r="Q43">
        <v>64.049406744851595</v>
      </c>
      <c r="S43">
        <v>22.2207642607918</v>
      </c>
      <c r="AA43">
        <v>3.3873045851507402</v>
      </c>
      <c r="AB43">
        <v>8.65021400171522</v>
      </c>
      <c r="AC43">
        <v>1.6923104074905899</v>
      </c>
      <c r="AJ43">
        <v>0.74343585149719205</v>
      </c>
      <c r="AK43">
        <v>0.160872454921036</v>
      </c>
      <c r="AL43">
        <v>9.5691693581771001E-2</v>
      </c>
    </row>
    <row r="44" spans="1:38" x14ac:dyDescent="0.2">
      <c r="A44">
        <v>89</v>
      </c>
      <c r="B44">
        <v>765</v>
      </c>
      <c r="C44">
        <v>150</v>
      </c>
      <c r="D44">
        <v>0.44100611664981298</v>
      </c>
      <c r="E44">
        <v>5.0833768958844301</v>
      </c>
      <c r="F44">
        <v>2.5769742118857302</v>
      </c>
      <c r="G44">
        <v>-82.669285779183056</v>
      </c>
      <c r="H44">
        <v>-71.523039514238889</v>
      </c>
      <c r="I44">
        <v>10.7366433222021</v>
      </c>
      <c r="J44">
        <v>6.1753820519262304</v>
      </c>
      <c r="K44">
        <v>1.9726145773746799</v>
      </c>
      <c r="L44">
        <v>3.0361367714945213E-5</v>
      </c>
      <c r="M44">
        <v>1.7892032415798146E-6</v>
      </c>
      <c r="N44" s="1">
        <v>-4.9536933425303002E-8</v>
      </c>
      <c r="O44" s="1">
        <v>1.7343553287769199E-11</v>
      </c>
      <c r="P44" s="1">
        <v>1.87057611915115E-10</v>
      </c>
      <c r="Q44">
        <v>64.1430836291444</v>
      </c>
      <c r="S44">
        <v>22.1363725828745</v>
      </c>
      <c r="AA44">
        <v>3.2958223664626001</v>
      </c>
      <c r="AB44">
        <v>8.6377241602810901</v>
      </c>
      <c r="AC44">
        <v>1.7869972612373299</v>
      </c>
      <c r="AJ44">
        <v>0.74241001388272498</v>
      </c>
      <c r="AK44">
        <v>0.156537746373662</v>
      </c>
      <c r="AL44">
        <v>0.10105223974361099</v>
      </c>
    </row>
    <row r="45" spans="1:38" x14ac:dyDescent="0.2">
      <c r="A45">
        <v>90</v>
      </c>
      <c r="B45">
        <v>764</v>
      </c>
      <c r="C45">
        <v>150</v>
      </c>
      <c r="D45">
        <v>0.44039965289495597</v>
      </c>
      <c r="E45">
        <v>6.6213485161069903</v>
      </c>
      <c r="F45">
        <v>2.5770514533026998</v>
      </c>
      <c r="G45">
        <v>-107.65743546797155</v>
      </c>
      <c r="H45">
        <v>-93.161685083490184</v>
      </c>
      <c r="I45">
        <v>13.9765225709698</v>
      </c>
      <c r="J45">
        <v>8.0441644190060408</v>
      </c>
      <c r="K45">
        <v>2.5693505295057899</v>
      </c>
      <c r="L45">
        <v>3.0363086084829166E-5</v>
      </c>
      <c r="M45">
        <v>1.7887491252486172E-6</v>
      </c>
      <c r="N45" s="1">
        <v>-6.6299467736998103E-8</v>
      </c>
      <c r="O45" s="1">
        <v>2.2573956454439699E-11</v>
      </c>
      <c r="P45" s="1">
        <v>2.48783905090202E-10</v>
      </c>
      <c r="Q45">
        <v>64.122857003854406</v>
      </c>
      <c r="S45">
        <v>22.143100350642801</v>
      </c>
      <c r="AA45">
        <v>3.3060924502540798</v>
      </c>
      <c r="AB45">
        <v>8.6102879282047997</v>
      </c>
      <c r="AC45">
        <v>1.8176622670438201</v>
      </c>
      <c r="AJ45">
        <v>0.74015275028072403</v>
      </c>
      <c r="AK45">
        <v>0.15704693571391101</v>
      </c>
      <c r="AL45">
        <v>0.10280031400536301</v>
      </c>
    </row>
    <row r="46" spans="1:38" x14ac:dyDescent="0.2">
      <c r="A46">
        <v>91</v>
      </c>
      <c r="B46">
        <v>763</v>
      </c>
      <c r="C46">
        <v>150</v>
      </c>
      <c r="D46">
        <v>0.43979201853014099</v>
      </c>
      <c r="E46">
        <v>8.6317048987178602</v>
      </c>
      <c r="F46">
        <v>2.5785761780215899</v>
      </c>
      <c r="G46">
        <v>-140.35486397852611</v>
      </c>
      <c r="H46">
        <v>-121.49140757523294</v>
      </c>
      <c r="I46">
        <v>18.205333593874599</v>
      </c>
      <c r="J46">
        <v>10.4869245654605</v>
      </c>
      <c r="K46">
        <v>3.34746941831306</v>
      </c>
      <c r="L46">
        <v>3.0320073012192928E-5</v>
      </c>
      <c r="M46">
        <v>1.785589176995794E-6</v>
      </c>
      <c r="N46" s="1">
        <v>-8.8695415861016797E-8</v>
      </c>
      <c r="O46" s="1">
        <v>2.9322164634378399E-11</v>
      </c>
      <c r="P46" s="1">
        <v>3.3092555635475802E-10</v>
      </c>
      <c r="Q46">
        <v>63.974342542000699</v>
      </c>
      <c r="S46">
        <v>22.256193838626402</v>
      </c>
      <c r="AA46">
        <v>3.4340495551760002</v>
      </c>
      <c r="AB46">
        <v>8.5758206948967501</v>
      </c>
      <c r="AC46">
        <v>1.7595933693000001</v>
      </c>
      <c r="AJ46">
        <v>0.73731432828094101</v>
      </c>
      <c r="AK46">
        <v>0.16315272425140001</v>
      </c>
      <c r="AL46">
        <v>9.9532947467658006E-2</v>
      </c>
    </row>
    <row r="47" spans="1:38" x14ac:dyDescent="0.2">
      <c r="A47">
        <v>92</v>
      </c>
      <c r="B47">
        <v>762</v>
      </c>
      <c r="C47">
        <v>150</v>
      </c>
      <c r="D47">
        <v>0.439183210162781</v>
      </c>
      <c r="E47">
        <v>15.410175104750101</v>
      </c>
      <c r="F47">
        <v>2.5829026755242599</v>
      </c>
      <c r="G47">
        <v>-250.67677342378684</v>
      </c>
      <c r="H47">
        <v>-217.07868217299912</v>
      </c>
      <c r="I47">
        <v>32.457219968881503</v>
      </c>
      <c r="J47">
        <v>18.714345082563302</v>
      </c>
      <c r="K47">
        <v>5.9662236795748296</v>
      </c>
      <c r="L47">
        <v>3.0116200632955498E-5</v>
      </c>
      <c r="M47">
        <v>1.7753147891762705E-6</v>
      </c>
      <c r="N47" s="1">
        <v>-1.60226352620903E-7</v>
      </c>
      <c r="O47" s="1">
        <v>5.1872902569024903E-11</v>
      </c>
      <c r="P47" s="1">
        <v>5.9642732796236502E-10</v>
      </c>
      <c r="Q47">
        <v>63.515613756952703</v>
      </c>
      <c r="S47">
        <v>22.5979029348434</v>
      </c>
      <c r="AA47">
        <v>3.8230011491430398</v>
      </c>
      <c r="AB47">
        <v>8.4494030144182606</v>
      </c>
      <c r="AC47">
        <v>1.6140791446424501</v>
      </c>
      <c r="AJ47">
        <v>0.72689671539380896</v>
      </c>
      <c r="AK47">
        <v>0.18174476071756299</v>
      </c>
      <c r="AL47">
        <v>9.1358523888627405E-2</v>
      </c>
    </row>
    <row r="48" spans="1:38" x14ac:dyDescent="0.2">
      <c r="A48">
        <v>93</v>
      </c>
      <c r="B48">
        <v>761</v>
      </c>
      <c r="C48">
        <v>150</v>
      </c>
      <c r="D48">
        <v>0.43857322438717999</v>
      </c>
      <c r="E48">
        <v>17.566135628104899</v>
      </c>
      <c r="F48">
        <v>2.5844889810190801</v>
      </c>
      <c r="G48">
        <v>-285.76461748907229</v>
      </c>
      <c r="H48">
        <v>-247.53599481277033</v>
      </c>
      <c r="I48">
        <v>36.966226056473403</v>
      </c>
      <c r="J48">
        <v>21.3321923508142</v>
      </c>
      <c r="K48">
        <v>6.7967539258683498</v>
      </c>
      <c r="L48">
        <v>3.0059993180864615E-5</v>
      </c>
      <c r="M48">
        <v>1.771688583753124E-6</v>
      </c>
      <c r="N48" s="1">
        <v>-1.87129635814436E-7</v>
      </c>
      <c r="O48" s="1">
        <v>5.8903515779057097E-11</v>
      </c>
      <c r="P48" s="1">
        <v>6.9292142210748998E-10</v>
      </c>
      <c r="Q48">
        <v>63.350455998598697</v>
      </c>
      <c r="S48">
        <v>22.720716082172899</v>
      </c>
      <c r="AA48">
        <v>3.9628605582566601</v>
      </c>
      <c r="AB48">
        <v>8.4033284378543893</v>
      </c>
      <c r="AC48">
        <v>1.56263892311719</v>
      </c>
      <c r="AJ48">
        <v>0.72309669077835403</v>
      </c>
      <c r="AK48">
        <v>0.188436321369092</v>
      </c>
      <c r="AL48">
        <v>8.84669878525529E-2</v>
      </c>
    </row>
    <row r="49" spans="1:38" x14ac:dyDescent="0.2">
      <c r="A49">
        <v>94</v>
      </c>
      <c r="B49">
        <v>760</v>
      </c>
      <c r="C49">
        <v>150</v>
      </c>
      <c r="D49">
        <v>0.43796205778444602</v>
      </c>
      <c r="E49">
        <v>18.341204454346698</v>
      </c>
      <c r="F49">
        <v>2.58511508837893</v>
      </c>
      <c r="G49">
        <v>-298.35794644398885</v>
      </c>
      <c r="H49">
        <v>-258.50772910962604</v>
      </c>
      <c r="I49">
        <v>38.571569795637402</v>
      </c>
      <c r="J49">
        <v>22.2768359834661</v>
      </c>
      <c r="K49">
        <v>7.0949276250010396</v>
      </c>
      <c r="L49">
        <v>3.0060407524000636E-5</v>
      </c>
      <c r="M49">
        <v>1.7705201284559248E-6</v>
      </c>
      <c r="N49" s="1">
        <v>-2.0118866101036901E-7</v>
      </c>
      <c r="O49" s="1">
        <v>6.1381468907109401E-11</v>
      </c>
      <c r="P49" s="1">
        <v>7.4029680041899803E-10</v>
      </c>
      <c r="Q49">
        <v>63.292111790494801</v>
      </c>
      <c r="S49">
        <v>22.764931681138499</v>
      </c>
      <c r="AA49">
        <v>4.0129527034794101</v>
      </c>
      <c r="AB49">
        <v>8.3892284394946</v>
      </c>
      <c r="AC49">
        <v>1.5407753853925501</v>
      </c>
      <c r="AJ49">
        <v>0.72193332878863903</v>
      </c>
      <c r="AK49">
        <v>0.19083142925052901</v>
      </c>
      <c r="AL49">
        <v>8.72352419608311E-2</v>
      </c>
    </row>
    <row r="50" spans="1:38" x14ac:dyDescent="0.2">
      <c r="A50">
        <v>96</v>
      </c>
      <c r="B50">
        <v>787</v>
      </c>
      <c r="C50">
        <v>125</v>
      </c>
      <c r="D50">
        <v>0.479998585105882</v>
      </c>
      <c r="E50">
        <v>0.186929584921189</v>
      </c>
      <c r="F50">
        <v>2.5808556100284799</v>
      </c>
      <c r="G50">
        <v>-3.05485509772417</v>
      </c>
      <c r="H50">
        <v>-2.6316071926273108</v>
      </c>
      <c r="I50">
        <v>0.39923398113178199</v>
      </c>
      <c r="J50">
        <v>0.22645005974244201</v>
      </c>
      <c r="K50">
        <v>7.2429307627607298E-2</v>
      </c>
      <c r="L50">
        <v>2.9713004078233836E-5</v>
      </c>
      <c r="M50">
        <v>1.7752041638652972E-6</v>
      </c>
      <c r="N50" s="1">
        <v>-8.7629333422804202E-10</v>
      </c>
      <c r="O50" s="1">
        <v>6.3749930932707398E-13</v>
      </c>
      <c r="P50" s="1">
        <v>4.1232766937841601E-12</v>
      </c>
      <c r="Q50">
        <v>63.546838459362</v>
      </c>
      <c r="S50">
        <v>22.635683477088399</v>
      </c>
      <c r="AA50">
        <v>3.8468846258988298</v>
      </c>
      <c r="AB50">
        <v>8.6180321928364592</v>
      </c>
      <c r="AC50">
        <v>1.3525612448142199</v>
      </c>
      <c r="AJ50">
        <v>0.74078129945756399</v>
      </c>
      <c r="AK50">
        <v>0.182726632209253</v>
      </c>
      <c r="AL50">
        <v>7.6492068333182006E-2</v>
      </c>
    </row>
    <row r="51" spans="1:38" x14ac:dyDescent="0.2">
      <c r="A51">
        <v>97</v>
      </c>
      <c r="B51">
        <v>786</v>
      </c>
      <c r="C51">
        <v>125</v>
      </c>
      <c r="D51">
        <v>0.47944153330501299</v>
      </c>
      <c r="E51">
        <v>0.47973690615398201</v>
      </c>
      <c r="F51">
        <v>2.5804885344948199</v>
      </c>
      <c r="G51">
        <v>-7.8384494669115377</v>
      </c>
      <c r="H51">
        <v>-6.7537370111547901</v>
      </c>
      <c r="I51">
        <v>1.02413487773851</v>
      </c>
      <c r="J51">
        <v>0.58122183927131899</v>
      </c>
      <c r="K51">
        <v>0.18590933450820299</v>
      </c>
      <c r="L51">
        <v>2.9747228950110838E-5</v>
      </c>
      <c r="M51">
        <v>1.7763575165806469E-6</v>
      </c>
      <c r="N51" s="1">
        <v>-2.3300610616976499E-9</v>
      </c>
      <c r="O51" s="1">
        <v>1.6368653341137401E-12</v>
      </c>
      <c r="P51" s="1">
        <v>1.0819650122643801E-11</v>
      </c>
      <c r="Q51">
        <v>63.593214883328997</v>
      </c>
      <c r="S51">
        <v>22.600149186234201</v>
      </c>
      <c r="AA51">
        <v>3.8067471675757099</v>
      </c>
      <c r="AB51">
        <v>8.6282218037951104</v>
      </c>
      <c r="AC51">
        <v>1.3716669590658901</v>
      </c>
      <c r="AJ51">
        <v>0.74162020723063604</v>
      </c>
      <c r="AK51">
        <v>0.18081109546131899</v>
      </c>
      <c r="AL51">
        <v>7.7568697308043499E-2</v>
      </c>
    </row>
    <row r="52" spans="1:38" x14ac:dyDescent="0.2">
      <c r="A52">
        <v>98</v>
      </c>
      <c r="B52">
        <v>785</v>
      </c>
      <c r="C52">
        <v>125</v>
      </c>
      <c r="D52">
        <v>0.47888342862543298</v>
      </c>
      <c r="E52">
        <v>0.77266216156185896</v>
      </c>
      <c r="F52">
        <v>2.58012433107023</v>
      </c>
      <c r="G52">
        <v>-12.622077125581542</v>
      </c>
      <c r="H52">
        <v>-10.877483257603416</v>
      </c>
      <c r="I52">
        <v>1.6487207560157999</v>
      </c>
      <c r="J52">
        <v>0.93621166696263103</v>
      </c>
      <c r="K52">
        <v>0.29946702655269303</v>
      </c>
      <c r="L52">
        <v>2.9781414529474743E-5</v>
      </c>
      <c r="M52">
        <v>1.7774946615868966E-6</v>
      </c>
      <c r="N52" s="1">
        <v>-3.88683494899279E-9</v>
      </c>
      <c r="O52" s="1">
        <v>2.63754100640348E-12</v>
      </c>
      <c r="P52" s="1">
        <v>1.7818514931823301E-11</v>
      </c>
      <c r="Q52">
        <v>63.638937961428397</v>
      </c>
      <c r="S52">
        <v>22.5649933130546</v>
      </c>
      <c r="AA52">
        <v>3.7670743570352299</v>
      </c>
      <c r="AB52">
        <v>8.6379475396506393</v>
      </c>
      <c r="AC52">
        <v>1.3910468288309701</v>
      </c>
      <c r="AJ52">
        <v>0.74242086805157403</v>
      </c>
      <c r="AK52">
        <v>0.178918229304115</v>
      </c>
      <c r="AL52">
        <v>7.8660902644310804E-2</v>
      </c>
    </row>
    <row r="53" spans="1:38" x14ac:dyDescent="0.2">
      <c r="A53">
        <v>99</v>
      </c>
      <c r="B53">
        <v>784</v>
      </c>
      <c r="C53">
        <v>125</v>
      </c>
      <c r="D53">
        <v>0.47832426807926898</v>
      </c>
      <c r="E53">
        <v>1.0656702190756</v>
      </c>
      <c r="F53">
        <v>2.57976294750957</v>
      </c>
      <c r="G53">
        <v>-17.405153293208311</v>
      </c>
      <c r="H53">
        <v>-15.002344546147102</v>
      </c>
      <c r="I53">
        <v>2.2729118356536002</v>
      </c>
      <c r="J53">
        <v>1.29138012872665</v>
      </c>
      <c r="K53">
        <v>0.41308842740933799</v>
      </c>
      <c r="L53">
        <v>2.9815570760788518E-5</v>
      </c>
      <c r="M53">
        <v>1.7786156919993937E-6</v>
      </c>
      <c r="N53" s="1">
        <v>-5.5504690284542304E-9</v>
      </c>
      <c r="O53" s="1">
        <v>3.6393488308549899E-12</v>
      </c>
      <c r="P53" s="1">
        <v>2.5130624130145201E-11</v>
      </c>
      <c r="Q53">
        <v>63.684010796659202</v>
      </c>
      <c r="S53">
        <v>22.530212653682199</v>
      </c>
      <c r="AA53">
        <v>3.7278628270115099</v>
      </c>
      <c r="AB53">
        <v>8.6472079159145494</v>
      </c>
      <c r="AC53">
        <v>1.4107058067324301</v>
      </c>
      <c r="AJ53">
        <v>0.74318317085240704</v>
      </c>
      <c r="AK53">
        <v>0.177047858854498</v>
      </c>
      <c r="AL53">
        <v>7.9768970293094099E-2</v>
      </c>
    </row>
    <row r="54" spans="1:38" x14ac:dyDescent="0.2">
      <c r="A54">
        <v>100</v>
      </c>
      <c r="B54">
        <v>783</v>
      </c>
      <c r="C54">
        <v>125</v>
      </c>
      <c r="D54">
        <v>0.47776404866733202</v>
      </c>
      <c r="E54">
        <v>1.35872667457605</v>
      </c>
      <c r="F54">
        <v>2.5794043267278899</v>
      </c>
      <c r="G54">
        <v>-22.187105245712271</v>
      </c>
      <c r="H54">
        <v>-19.127829433100558</v>
      </c>
      <c r="I54">
        <v>2.8966300360855102</v>
      </c>
      <c r="J54">
        <v>1.6466888223472</v>
      </c>
      <c r="K54">
        <v>0.52675986486370896</v>
      </c>
      <c r="L54">
        <v>2.9849708035092817E-5</v>
      </c>
      <c r="M54">
        <v>1.7797207112971122E-6</v>
      </c>
      <c r="N54" s="1">
        <v>-7.3249646732122304E-9</v>
      </c>
      <c r="O54" s="1">
        <v>4.6421126545146502E-12</v>
      </c>
      <c r="P54" s="1">
        <v>3.2767147212860398E-11</v>
      </c>
      <c r="Q54">
        <v>63.728436947192101</v>
      </c>
      <c r="S54">
        <v>22.495803628471499</v>
      </c>
      <c r="AA54">
        <v>3.6891087940100098</v>
      </c>
      <c r="AB54">
        <v>8.6560014772739304</v>
      </c>
      <c r="AC54">
        <v>1.43064915305228</v>
      </c>
      <c r="AJ54">
        <v>0.74390700648460295</v>
      </c>
      <c r="AK54">
        <v>0.17519978972577299</v>
      </c>
      <c r="AL54">
        <v>8.08932037896226E-2</v>
      </c>
    </row>
    <row r="55" spans="1:38" x14ac:dyDescent="0.2">
      <c r="A55">
        <v>101</v>
      </c>
      <c r="B55">
        <v>782</v>
      </c>
      <c r="C55">
        <v>125</v>
      </c>
      <c r="D55">
        <v>0.47720276737904699</v>
      </c>
      <c r="E55">
        <v>1.65179796727596</v>
      </c>
      <c r="F55">
        <v>2.5790484067513799</v>
      </c>
      <c r="G55">
        <v>-26.967374165212359</v>
      </c>
      <c r="H55">
        <v>-23.253458016643506</v>
      </c>
      <c r="I55">
        <v>3.5197992215029599</v>
      </c>
      <c r="J55">
        <v>2.0021005025551402</v>
      </c>
      <c r="K55">
        <v>0.64046799701468304</v>
      </c>
      <c r="L55">
        <v>2.988383718974289E-5</v>
      </c>
      <c r="M55">
        <v>1.7808098330586652E-6</v>
      </c>
      <c r="N55" s="1">
        <v>-9.2144779296078108E-9</v>
      </c>
      <c r="O55" s="1">
        <v>5.6456580815716201E-12</v>
      </c>
      <c r="P55" s="1">
        <v>4.0739691387514202E-11</v>
      </c>
      <c r="Q55">
        <v>63.772220418231399</v>
      </c>
      <c r="S55">
        <v>22.461762284312702</v>
      </c>
      <c r="AA55">
        <v>3.6508080621148302</v>
      </c>
      <c r="AB55">
        <v>8.66432678551989</v>
      </c>
      <c r="AC55">
        <v>1.4508824498210899</v>
      </c>
      <c r="AJ55">
        <v>0.74459226672002798</v>
      </c>
      <c r="AK55">
        <v>0.17337380822172499</v>
      </c>
      <c r="AL55">
        <v>8.2033925058245305E-2</v>
      </c>
    </row>
    <row r="56" spans="1:38" x14ac:dyDescent="0.2">
      <c r="A56">
        <v>102</v>
      </c>
      <c r="B56">
        <v>781</v>
      </c>
      <c r="C56">
        <v>125</v>
      </c>
      <c r="D56">
        <v>0.476640421192431</v>
      </c>
      <c r="E56">
        <v>1.94485150120563</v>
      </c>
      <c r="F56">
        <v>2.57869512057523</v>
      </c>
      <c r="G56">
        <v>-31.745417084322856</v>
      </c>
      <c r="H56">
        <v>-27.378763619881514</v>
      </c>
      <c r="I56">
        <v>4.1423454578962602</v>
      </c>
      <c r="J56">
        <v>2.3575792335801098</v>
      </c>
      <c r="K56">
        <v>0.75419986088615099</v>
      </c>
      <c r="L56">
        <v>2.9917969502659691E-5</v>
      </c>
      <c r="M56">
        <v>1.781883180653718E-6</v>
      </c>
      <c r="N56" s="1">
        <v>-1.12233272859375E-8</v>
      </c>
      <c r="O56" s="1">
        <v>6.6498129084240796E-12</v>
      </c>
      <c r="P56" s="1">
        <v>4.9060324055311399E-11</v>
      </c>
      <c r="Q56">
        <v>63.8153656546882</v>
      </c>
      <c r="S56">
        <v>22.428084292519699</v>
      </c>
      <c r="AA56">
        <v>3.6129560229565798</v>
      </c>
      <c r="AB56">
        <v>8.6721823976857593</v>
      </c>
      <c r="AC56">
        <v>1.47141163214966</v>
      </c>
      <c r="AJ56">
        <v>0.74523884244754901</v>
      </c>
      <c r="AK56">
        <v>0.17156968135525899</v>
      </c>
      <c r="AL56">
        <v>8.31914761971915E-2</v>
      </c>
    </row>
    <row r="57" spans="1:38" x14ac:dyDescent="0.2">
      <c r="A57">
        <v>103</v>
      </c>
      <c r="B57">
        <v>780</v>
      </c>
      <c r="C57">
        <v>125</v>
      </c>
      <c r="D57">
        <v>0.47607700707401701</v>
      </c>
      <c r="E57">
        <v>2.2378557654271698</v>
      </c>
      <c r="F57">
        <v>2.5783443960190899</v>
      </c>
      <c r="G57">
        <v>-36.520708804939154</v>
      </c>
      <c r="H57">
        <v>-31.503294453852572</v>
      </c>
      <c r="I57">
        <v>4.7641972663785603</v>
      </c>
      <c r="J57">
        <v>2.7130905403024701</v>
      </c>
      <c r="K57">
        <v>0.86794292061307599</v>
      </c>
      <c r="L57">
        <v>2.9952116688685804E-5</v>
      </c>
      <c r="M57">
        <v>1.7829408869846296E-6</v>
      </c>
      <c r="N57" s="1">
        <v>-1.33560018678534E-8</v>
      </c>
      <c r="O57" s="1">
        <v>7.6544075535268094E-12</v>
      </c>
      <c r="P57" s="1">
        <v>5.7741596453230103E-11</v>
      </c>
      <c r="Q57">
        <v>63.857877535588401</v>
      </c>
      <c r="S57">
        <v>22.394764946192499</v>
      </c>
      <c r="AA57">
        <v>3.5755476548404102</v>
      </c>
      <c r="AB57">
        <v>8.6795668466688305</v>
      </c>
      <c r="AC57">
        <v>1.4922430167096401</v>
      </c>
      <c r="AJ57">
        <v>0.745846622074679</v>
      </c>
      <c r="AK57">
        <v>0.169787156823169</v>
      </c>
      <c r="AL57">
        <v>8.4366221102151404E-2</v>
      </c>
    </row>
    <row r="58" spans="1:38" x14ac:dyDescent="0.2">
      <c r="A58">
        <v>104</v>
      </c>
      <c r="B58">
        <v>779</v>
      </c>
      <c r="C58">
        <v>125</v>
      </c>
      <c r="D58">
        <v>0.475512521978807</v>
      </c>
      <c r="E58">
        <v>2.5307804536936001</v>
      </c>
      <c r="F58">
        <v>2.57799615560522</v>
      </c>
      <c r="G58">
        <v>-41.292743803115059</v>
      </c>
      <c r="H58">
        <v>-35.62661527051177</v>
      </c>
      <c r="I58">
        <v>5.3852858742605898</v>
      </c>
      <c r="J58">
        <v>3.0686015588501498</v>
      </c>
      <c r="K58">
        <v>0.98168511546886394</v>
      </c>
      <c r="L58">
        <v>2.9986290893554169E-5</v>
      </c>
      <c r="M58">
        <v>1.7839830941353648E-6</v>
      </c>
      <c r="N58" s="1">
        <v>-1.5617170077304301E-8</v>
      </c>
      <c r="O58" s="1">
        <v>8.6592754837818907E-12</v>
      </c>
      <c r="P58" s="1">
        <v>6.6796568506603303E-11</v>
      </c>
      <c r="Q58">
        <v>63.899761364752898</v>
      </c>
      <c r="S58">
        <v>22.361799159968399</v>
      </c>
      <c r="AA58">
        <v>3.5385775247158899</v>
      </c>
      <c r="AB58">
        <v>8.6864786198093604</v>
      </c>
      <c r="AC58">
        <v>1.51338333075333</v>
      </c>
      <c r="AJ58">
        <v>0.74641548976184002</v>
      </c>
      <c r="AK58">
        <v>0.16802596311583001</v>
      </c>
      <c r="AL58">
        <v>8.5558547122328701E-2</v>
      </c>
    </row>
    <row r="59" spans="1:38" x14ac:dyDescent="0.2">
      <c r="A59">
        <v>105</v>
      </c>
      <c r="B59">
        <v>778</v>
      </c>
      <c r="C59">
        <v>125</v>
      </c>
      <c r="D59">
        <v>0.47494696285021398</v>
      </c>
      <c r="E59">
        <v>2.8235965879955298</v>
      </c>
      <c r="F59">
        <v>2.5776503164025102</v>
      </c>
      <c r="G59">
        <v>-46.061038191939048</v>
      </c>
      <c r="H59">
        <v>-39.748309067650091</v>
      </c>
      <c r="I59">
        <v>6.0055454733282003</v>
      </c>
      <c r="J59">
        <v>3.4240811920187002</v>
      </c>
      <c r="K59">
        <v>1.09541490947316</v>
      </c>
      <c r="L59">
        <v>3.0020504687251077E-5</v>
      </c>
      <c r="M59">
        <v>1.785009953037584E-6</v>
      </c>
      <c r="N59" s="1">
        <v>-1.80116887196255E-8</v>
      </c>
      <c r="O59" s="1">
        <v>9.6642536531843192E-12</v>
      </c>
      <c r="P59" s="1">
        <v>7.6238835052794201E-11</v>
      </c>
      <c r="Q59">
        <v>63.941022862904802</v>
      </c>
      <c r="S59">
        <v>22.329181467891502</v>
      </c>
      <c r="AA59">
        <v>3.5020397882610901</v>
      </c>
      <c r="AB59">
        <v>8.6929161357188001</v>
      </c>
      <c r="AC59">
        <v>1.5348397452237399</v>
      </c>
      <c r="AJ59">
        <v>0.74694532351319198</v>
      </c>
      <c r="AK59">
        <v>0.166285809537003</v>
      </c>
      <c r="AL59">
        <v>8.6768866949803902E-2</v>
      </c>
    </row>
    <row r="60" spans="1:38" x14ac:dyDescent="0.2">
      <c r="A60">
        <v>106</v>
      </c>
      <c r="B60">
        <v>777</v>
      </c>
      <c r="C60">
        <v>125</v>
      </c>
      <c r="D60">
        <v>0.47438032662001101</v>
      </c>
      <c r="E60">
        <v>3.45603366684024</v>
      </c>
      <c r="F60">
        <v>2.5768991135524901</v>
      </c>
      <c r="G60">
        <v>-56.360276992840689</v>
      </c>
      <c r="H60">
        <v>-48.644260417871621</v>
      </c>
      <c r="I60">
        <v>7.3475375660325302</v>
      </c>
      <c r="J60">
        <v>4.1914059595605604</v>
      </c>
      <c r="K60">
        <v>1.3411598648407199</v>
      </c>
      <c r="L60">
        <v>3.0060619592437141E-5</v>
      </c>
      <c r="M60">
        <v>1.7866169417160206E-6</v>
      </c>
      <c r="N60" s="1">
        <v>-2.2764213872352998E-8</v>
      </c>
      <c r="O60" s="1">
        <v>1.1841918814853799E-11</v>
      </c>
      <c r="P60" s="1">
        <v>9.5399805421864903E-11</v>
      </c>
      <c r="Q60">
        <v>64.012133439835196</v>
      </c>
      <c r="S60">
        <v>22.2686451576098</v>
      </c>
      <c r="AA60">
        <v>3.43550403145364</v>
      </c>
      <c r="AB60">
        <v>8.6926784359506506</v>
      </c>
      <c r="AC60">
        <v>1.59103893515064</v>
      </c>
      <c r="AJ60">
        <v>0.74692685000130099</v>
      </c>
      <c r="AK60">
        <v>0.163126947661592</v>
      </c>
      <c r="AL60">
        <v>8.9946202337106401E-2</v>
      </c>
    </row>
    <row r="61" spans="1:38" x14ac:dyDescent="0.2">
      <c r="A61">
        <v>107</v>
      </c>
      <c r="B61">
        <v>776</v>
      </c>
      <c r="C61">
        <v>125</v>
      </c>
      <c r="D61">
        <v>0.47381261020826598</v>
      </c>
      <c r="E61">
        <v>4.2531664878371398</v>
      </c>
      <c r="F61">
        <v>2.5759280665014401</v>
      </c>
      <c r="G61">
        <v>-69.333405199024298</v>
      </c>
      <c r="H61">
        <v>-59.850663311519384</v>
      </c>
      <c r="I61">
        <v>9.0384996306580607</v>
      </c>
      <c r="J61">
        <v>5.1584825846762898</v>
      </c>
      <c r="K61">
        <v>1.6511200538350701</v>
      </c>
      <c r="L61">
        <v>3.010170859880514E-5</v>
      </c>
      <c r="M61">
        <v>1.7884682913636988E-6</v>
      </c>
      <c r="N61" s="1">
        <v>-2.8896859177652298E-8</v>
      </c>
      <c r="O61" s="1">
        <v>1.4595254370794101E-11</v>
      </c>
      <c r="P61" s="1">
        <v>1.19956353496358E-10</v>
      </c>
      <c r="Q61">
        <v>64.097081352842295</v>
      </c>
      <c r="S61">
        <v>22.1939741363752</v>
      </c>
      <c r="AA61">
        <v>3.3540782401771501</v>
      </c>
      <c r="AB61">
        <v>8.6862205153003504</v>
      </c>
      <c r="AC61">
        <v>1.6686457553048999</v>
      </c>
      <c r="AJ61">
        <v>0.74639722873774905</v>
      </c>
      <c r="AK61">
        <v>0.159266027288962</v>
      </c>
      <c r="AL61">
        <v>9.4336743973287798E-2</v>
      </c>
    </row>
    <row r="62" spans="1:38" x14ac:dyDescent="0.2">
      <c r="A62">
        <v>108</v>
      </c>
      <c r="B62">
        <v>775</v>
      </c>
      <c r="C62">
        <v>125</v>
      </c>
      <c r="D62">
        <v>0.473243810523307</v>
      </c>
      <c r="E62">
        <v>5.0622883399134198</v>
      </c>
      <c r="F62">
        <v>2.5749098236193801</v>
      </c>
      <c r="G62">
        <v>-82.490124917278223</v>
      </c>
      <c r="H62">
        <v>-71.218909234355479</v>
      </c>
      <c r="I62">
        <v>10.7534376596124</v>
      </c>
      <c r="J62">
        <v>6.1401210564825801</v>
      </c>
      <c r="K62">
        <v>1.9660060688252301</v>
      </c>
      <c r="L62">
        <v>3.0140477388799074E-5</v>
      </c>
      <c r="M62">
        <v>1.7902887232685979E-6</v>
      </c>
      <c r="N62" s="1">
        <v>-3.5449126775298298E-8</v>
      </c>
      <c r="O62" s="1">
        <v>1.7399180194728302E-11</v>
      </c>
      <c r="P62" s="1">
        <v>1.4582567409396999E-10</v>
      </c>
      <c r="Q62">
        <v>64.182195517045301</v>
      </c>
      <c r="S62">
        <v>22.117470695167299</v>
      </c>
      <c r="AA62">
        <v>3.2711018912164298</v>
      </c>
      <c r="AB62">
        <v>8.67532914933523</v>
      </c>
      <c r="AC62">
        <v>1.7539027472356099</v>
      </c>
      <c r="AJ62">
        <v>0.745503063671896</v>
      </c>
      <c r="AK62">
        <v>0.155334646608529</v>
      </c>
      <c r="AL62">
        <v>9.9162289719574595E-2</v>
      </c>
    </row>
    <row r="63" spans="1:38" x14ac:dyDescent="0.2">
      <c r="A63">
        <v>109</v>
      </c>
      <c r="B63">
        <v>774</v>
      </c>
      <c r="C63">
        <v>125</v>
      </c>
      <c r="D63">
        <v>0.47267392446163797</v>
      </c>
      <c r="E63">
        <v>5.8880489729266499</v>
      </c>
      <c r="F63">
        <v>2.5738296980500399</v>
      </c>
      <c r="G63">
        <v>-95.904490976606382</v>
      </c>
      <c r="H63">
        <v>-82.812876681764976</v>
      </c>
      <c r="I63">
        <v>12.502138466161799</v>
      </c>
      <c r="J63">
        <v>7.1418810371834098</v>
      </c>
      <c r="K63">
        <v>2.2876606705515501</v>
      </c>
      <c r="L63">
        <v>3.0176541143090191E-5</v>
      </c>
      <c r="M63">
        <v>1.7920829898898206E-6</v>
      </c>
      <c r="N63" s="1">
        <v>-4.2458228089146501E-8</v>
      </c>
      <c r="O63" s="1">
        <v>2.0270988522718299E-11</v>
      </c>
      <c r="P63" s="1">
        <v>1.73152314513952E-10</v>
      </c>
      <c r="Q63">
        <v>64.268018227150407</v>
      </c>
      <c r="S63">
        <v>22.038360272654199</v>
      </c>
      <c r="AA63">
        <v>3.1858094264857901</v>
      </c>
      <c r="AB63">
        <v>8.6591821994997993</v>
      </c>
      <c r="AC63">
        <v>1.84862987420972</v>
      </c>
      <c r="AJ63">
        <v>0.744176635398483</v>
      </c>
      <c r="AK63">
        <v>0.151296797713278</v>
      </c>
      <c r="AL63">
        <v>0.104526566888238</v>
      </c>
    </row>
    <row r="64" spans="1:38" x14ac:dyDescent="0.2">
      <c r="A64">
        <v>110</v>
      </c>
      <c r="B64">
        <v>773</v>
      </c>
      <c r="C64">
        <v>125</v>
      </c>
      <c r="D64">
        <v>0.472102948907902</v>
      </c>
      <c r="E64">
        <v>6.7371634807291496</v>
      </c>
      <c r="F64">
        <v>2.5726664417928999</v>
      </c>
      <c r="G64">
        <v>-109.68343743274889</v>
      </c>
      <c r="H64">
        <v>-94.724810642398182</v>
      </c>
      <c r="I64">
        <v>14.298739942026099</v>
      </c>
      <c r="J64">
        <v>8.1717904710119598</v>
      </c>
      <c r="K64">
        <v>2.6187473709316098</v>
      </c>
      <c r="L64">
        <v>3.020933711174244E-5</v>
      </c>
      <c r="M64">
        <v>1.7938578198566047E-6</v>
      </c>
      <c r="N64" s="1">
        <v>-4.9973548222166799E-8</v>
      </c>
      <c r="O64" s="1">
        <v>2.3235813329007801E-11</v>
      </c>
      <c r="P64" s="1">
        <v>2.0213264429945999E-10</v>
      </c>
      <c r="Q64">
        <v>64.355330255942306</v>
      </c>
      <c r="S64">
        <v>21.955523689112901</v>
      </c>
      <c r="AA64">
        <v>3.0970953285987699</v>
      </c>
      <c r="AB64">
        <v>8.6365855009347605</v>
      </c>
      <c r="AC64">
        <v>1.95546522541109</v>
      </c>
      <c r="AJ64">
        <v>0.74231952270645296</v>
      </c>
      <c r="AK64">
        <v>0.14710050684402401</v>
      </c>
      <c r="AL64">
        <v>0.110579970449522</v>
      </c>
    </row>
    <row r="65" spans="1:38" x14ac:dyDescent="0.2">
      <c r="A65">
        <v>111</v>
      </c>
      <c r="B65">
        <v>772</v>
      </c>
      <c r="C65">
        <v>125</v>
      </c>
      <c r="D65">
        <v>0.47153088073482102</v>
      </c>
      <c r="E65">
        <v>8.1962083618814994</v>
      </c>
      <c r="F65">
        <v>2.5737760261137002</v>
      </c>
      <c r="G65">
        <v>-133.43443678840939</v>
      </c>
      <c r="H65">
        <v>-115.26710024797575</v>
      </c>
      <c r="I65">
        <v>17.3825159454945</v>
      </c>
      <c r="J65">
        <v>9.9412618834648203</v>
      </c>
      <c r="K65">
        <v>3.18450722934793</v>
      </c>
      <c r="L65">
        <v>3.0171707798169247E-5</v>
      </c>
      <c r="M65">
        <v>1.79143310375266E-6</v>
      </c>
      <c r="N65" s="1">
        <v>-6.2376516541239595E-8</v>
      </c>
      <c r="O65" s="1">
        <v>2.81957213456344E-11</v>
      </c>
      <c r="P65" s="1">
        <v>2.5054451954337001E-10</v>
      </c>
      <c r="Q65">
        <v>64.242650441307703</v>
      </c>
      <c r="S65">
        <v>22.0378002965675</v>
      </c>
      <c r="AA65">
        <v>3.1912666665070999</v>
      </c>
      <c r="AB65">
        <v>8.6011833988027497</v>
      </c>
      <c r="AC65">
        <v>1.9270991968147699</v>
      </c>
      <c r="AJ65">
        <v>0.73940543593846797</v>
      </c>
      <c r="AK65">
        <v>0.15159969143438701</v>
      </c>
      <c r="AL65">
        <v>0.108994872627144</v>
      </c>
    </row>
    <row r="66" spans="1:38" x14ac:dyDescent="0.2">
      <c r="A66">
        <v>112</v>
      </c>
      <c r="B66">
        <v>771</v>
      </c>
      <c r="C66">
        <v>125</v>
      </c>
      <c r="D66">
        <v>0.47095771680314102</v>
      </c>
      <c r="E66">
        <v>11.116740182537001</v>
      </c>
      <c r="F66">
        <v>2.5767207415611599</v>
      </c>
      <c r="G66">
        <v>-181.03041107327476</v>
      </c>
      <c r="H66">
        <v>-156.43865549656076</v>
      </c>
      <c r="I66">
        <v>23.551937534562999</v>
      </c>
      <c r="J66">
        <v>13.481409843012701</v>
      </c>
      <c r="K66">
        <v>4.3142976276900402</v>
      </c>
      <c r="L66">
        <v>3.0056684936077028E-5</v>
      </c>
      <c r="M66">
        <v>1.7850617126704235E-6</v>
      </c>
      <c r="N66" s="1">
        <v>-8.63208225904191E-8</v>
      </c>
      <c r="O66" s="1">
        <v>3.80090588338028E-11</v>
      </c>
      <c r="P66" s="1">
        <v>3.4495297431714302E-10</v>
      </c>
      <c r="Q66">
        <v>63.950176940118098</v>
      </c>
      <c r="S66">
        <v>22.260482064956101</v>
      </c>
      <c r="AA66">
        <v>3.4432260986403298</v>
      </c>
      <c r="AB66">
        <v>8.5332110896399094</v>
      </c>
      <c r="AC66">
        <v>1.8129038066454399</v>
      </c>
      <c r="AJ66">
        <v>0.73380639793500402</v>
      </c>
      <c r="AK66">
        <v>0.16362337132639801</v>
      </c>
      <c r="AL66">
        <v>0.102570230738596</v>
      </c>
    </row>
    <row r="67" spans="1:38" x14ac:dyDescent="0.2">
      <c r="A67">
        <v>113</v>
      </c>
      <c r="B67">
        <v>770</v>
      </c>
      <c r="C67">
        <v>125</v>
      </c>
      <c r="D67">
        <v>0.47038345396155901</v>
      </c>
      <c r="E67">
        <v>14.7637553289305</v>
      </c>
      <c r="F67">
        <v>2.5802647158604599</v>
      </c>
      <c r="G67">
        <v>-240.49724869580075</v>
      </c>
      <c r="H67">
        <v>-207.90817225330619</v>
      </c>
      <c r="I67">
        <v>31.2410261635378</v>
      </c>
      <c r="J67">
        <v>17.8988004026114</v>
      </c>
      <c r="K67">
        <v>5.72179871242676</v>
      </c>
      <c r="L67">
        <v>2.9898616945911941E-5</v>
      </c>
      <c r="M67">
        <v>1.7768829607722883E-6</v>
      </c>
      <c r="N67" s="1">
        <v>-1.16422002362745E-7</v>
      </c>
      <c r="O67" s="1">
        <v>5.0105933382129002E-11</v>
      </c>
      <c r="P67" s="1">
        <v>4.6350220923456198E-10</v>
      </c>
      <c r="Q67">
        <v>63.582290392269599</v>
      </c>
      <c r="S67">
        <v>22.536348585615599</v>
      </c>
      <c r="AA67">
        <v>3.75666009944077</v>
      </c>
      <c r="AB67">
        <v>8.4366155920514299</v>
      </c>
      <c r="AC67">
        <v>1.6880853306225401</v>
      </c>
      <c r="AJ67">
        <v>0.72584388086831197</v>
      </c>
      <c r="AK67">
        <v>0.17860254829566399</v>
      </c>
      <c r="AL67">
        <v>9.5553570836023199E-2</v>
      </c>
    </row>
    <row r="68" spans="1:38" x14ac:dyDescent="0.2">
      <c r="A68">
        <v>114</v>
      </c>
      <c r="B68">
        <v>769</v>
      </c>
      <c r="C68">
        <v>125</v>
      </c>
      <c r="D68">
        <v>0.46980808904668597</v>
      </c>
      <c r="E68">
        <v>16.869771495861801</v>
      </c>
      <c r="F68">
        <v>2.58242444428276</v>
      </c>
      <c r="G68">
        <v>-274.83965836526028</v>
      </c>
      <c r="H68">
        <v>-237.67336766785795</v>
      </c>
      <c r="I68">
        <v>35.663091395098903</v>
      </c>
      <c r="J68">
        <v>20.449087135084699</v>
      </c>
      <c r="K68">
        <v>6.5325324553869599</v>
      </c>
      <c r="L68">
        <v>2.9807469708303998E-5</v>
      </c>
      <c r="M68">
        <v>1.7718640308747672E-6</v>
      </c>
      <c r="N68" s="1">
        <v>-1.3588541971973799E-7</v>
      </c>
      <c r="O68" s="1">
        <v>5.69804667100247E-11</v>
      </c>
      <c r="P68" s="1">
        <v>5.3805587450779996E-10</v>
      </c>
      <c r="Q68">
        <v>63.356360039708697</v>
      </c>
      <c r="S68">
        <v>22.704661556841099</v>
      </c>
      <c r="AA68">
        <v>3.9482377831931399</v>
      </c>
      <c r="AB68">
        <v>8.3743962515178794</v>
      </c>
      <c r="AC68">
        <v>1.6163443687390699</v>
      </c>
      <c r="AJ68">
        <v>0.72071120278308898</v>
      </c>
      <c r="AK68">
        <v>0.18776811949216901</v>
      </c>
      <c r="AL68">
        <v>9.1520677724740304E-2</v>
      </c>
    </row>
    <row r="69" spans="1:38" x14ac:dyDescent="0.2">
      <c r="A69">
        <v>115</v>
      </c>
      <c r="B69">
        <v>768</v>
      </c>
      <c r="C69">
        <v>125</v>
      </c>
      <c r="D69">
        <v>0.46923161888296799</v>
      </c>
      <c r="E69">
        <v>17.722228906494401</v>
      </c>
      <c r="F69">
        <v>2.5833521219676001</v>
      </c>
      <c r="G69">
        <v>-288.72295649229665</v>
      </c>
      <c r="H69">
        <v>-249.74413514577284</v>
      </c>
      <c r="I69">
        <v>37.438237858640697</v>
      </c>
      <c r="J69">
        <v>21.483321933748499</v>
      </c>
      <c r="K69">
        <v>6.8601677470883802</v>
      </c>
      <c r="L69">
        <v>2.9784623087785369E-5</v>
      </c>
      <c r="M69">
        <v>1.7699161022823654E-6</v>
      </c>
      <c r="N69" s="1">
        <v>-1.4676307901480701E-7</v>
      </c>
      <c r="O69" s="1">
        <v>5.9718117277220503E-11</v>
      </c>
      <c r="P69" s="1">
        <v>5.7696074674252901E-10</v>
      </c>
      <c r="Q69">
        <v>63.264882020862103</v>
      </c>
      <c r="S69">
        <v>22.773385119352699</v>
      </c>
      <c r="AA69">
        <v>4.02628057105139</v>
      </c>
      <c r="AB69">
        <v>8.3507101451703001</v>
      </c>
      <c r="AC69">
        <v>1.5847421435634601</v>
      </c>
      <c r="AJ69">
        <v>0.71875635366090995</v>
      </c>
      <c r="AK69">
        <v>0.19150191137466699</v>
      </c>
      <c r="AL69">
        <v>8.9741734964422698E-2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7B93B-A1DB-4D70-82BA-D424AF20DE34}">
  <sheetPr codeName="Sheet10"/>
  <dimension ref="A1:AL3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19</v>
      </c>
      <c r="B2">
        <v>740</v>
      </c>
      <c r="C2">
        <v>275</v>
      </c>
      <c r="D2">
        <v>0.28977002418201098</v>
      </c>
      <c r="E2">
        <v>3.3049090676702799</v>
      </c>
      <c r="F2">
        <v>2.5930095798373598</v>
      </c>
      <c r="G2">
        <v>-53.482858207391303</v>
      </c>
      <c r="H2">
        <v>-46.525803769962693</v>
      </c>
      <c r="I2">
        <v>6.8667565882925699</v>
      </c>
      <c r="J2">
        <v>4.0530164683262502</v>
      </c>
      <c r="K2">
        <v>1.27454564509459</v>
      </c>
      <c r="L2">
        <v>3.1229062818873437E-5</v>
      </c>
      <c r="M2">
        <v>1.7681668968209524E-6</v>
      </c>
      <c r="N2" s="1">
        <v>-7.75053931900205E-8</v>
      </c>
      <c r="O2" s="1">
        <v>1.0700330960715599E-11</v>
      </c>
      <c r="P2" s="1">
        <v>2.5192190151514898E-10</v>
      </c>
      <c r="Q2">
        <v>63.290518584622397</v>
      </c>
      <c r="S2">
        <v>22.793025357628199</v>
      </c>
      <c r="AA2">
        <v>4.0365020270494298</v>
      </c>
      <c r="AB2">
        <v>8.4593292909768891</v>
      </c>
      <c r="AC2">
        <v>1.42062473972303</v>
      </c>
      <c r="AJ2">
        <v>0.72771135077150295</v>
      </c>
      <c r="AK2">
        <v>0.19188418572037699</v>
      </c>
      <c r="AL2">
        <v>8.0404463508119001E-2</v>
      </c>
    </row>
    <row r="3" spans="1:38" x14ac:dyDescent="0.2">
      <c r="A3">
        <v>20</v>
      </c>
      <c r="B3">
        <v>739</v>
      </c>
      <c r="C3">
        <v>275</v>
      </c>
      <c r="D3">
        <v>0.28899916020352701</v>
      </c>
      <c r="E3">
        <v>15.8747945476055</v>
      </c>
      <c r="F3">
        <v>2.5920952813796601</v>
      </c>
      <c r="G3">
        <v>-256.84359764222427</v>
      </c>
      <c r="H3">
        <v>-223.47090876286686</v>
      </c>
      <c r="I3">
        <v>32.972078130077001</v>
      </c>
      <c r="J3">
        <v>19.4852598765642</v>
      </c>
      <c r="K3">
        <v>6.1243098051380596</v>
      </c>
      <c r="L3">
        <v>3.1366576954571803E-5</v>
      </c>
      <c r="M3">
        <v>1.7712579304318373E-6</v>
      </c>
      <c r="N3" s="1">
        <v>-3.8672847066231198E-7</v>
      </c>
      <c r="O3" s="1">
        <v>5.1394550138469498E-11</v>
      </c>
      <c r="P3" s="1">
        <v>1.2511550739675801E-9</v>
      </c>
      <c r="Q3">
        <v>63.410525152925501</v>
      </c>
      <c r="S3">
        <v>22.707554372763099</v>
      </c>
      <c r="AA3">
        <v>3.9379856972642</v>
      </c>
      <c r="AB3">
        <v>8.5026841951352399</v>
      </c>
      <c r="AC3">
        <v>1.4412505819119099</v>
      </c>
      <c r="AJ3">
        <v>0.731284610710915</v>
      </c>
      <c r="AK3">
        <v>0.18716097977230101</v>
      </c>
      <c r="AL3">
        <v>8.1554409516783499E-2</v>
      </c>
    </row>
    <row r="4" spans="1:38" x14ac:dyDescent="0.2">
      <c r="A4">
        <v>21</v>
      </c>
      <c r="B4">
        <v>738</v>
      </c>
      <c r="C4">
        <v>275</v>
      </c>
      <c r="D4">
        <v>0.28822677149780002</v>
      </c>
      <c r="E4">
        <v>19.297220798290802</v>
      </c>
      <c r="F4">
        <v>2.5919092756484998</v>
      </c>
      <c r="G4">
        <v>-312.17228085035401</v>
      </c>
      <c r="H4">
        <v>-271.66586626815899</v>
      </c>
      <c r="I4">
        <v>40.0597483876723</v>
      </c>
      <c r="J4">
        <v>23.702799945520599</v>
      </c>
      <c r="K4">
        <v>7.44517602509932</v>
      </c>
      <c r="L4">
        <v>3.1455787074528209E-5</v>
      </c>
      <c r="M4">
        <v>1.7723627590789935E-6</v>
      </c>
      <c r="N4" s="1">
        <v>-4.8650980656501504E-7</v>
      </c>
      <c r="O4" s="1">
        <v>6.2378202603553295E-11</v>
      </c>
      <c r="P4" s="1">
        <v>1.5674831530821201E-9</v>
      </c>
      <c r="Q4">
        <v>63.445385064701902</v>
      </c>
      <c r="S4">
        <v>22.6837507112579</v>
      </c>
      <c r="AA4">
        <v>3.9102133489449802</v>
      </c>
      <c r="AB4">
        <v>8.5179632460923393</v>
      </c>
      <c r="AC4">
        <v>1.4426876290027499</v>
      </c>
      <c r="AJ4">
        <v>0.73254341860898697</v>
      </c>
      <c r="AK4">
        <v>0.185827016135202</v>
      </c>
      <c r="AL4">
        <v>8.1629565255810499E-2</v>
      </c>
    </row>
    <row r="5" spans="1:38" x14ac:dyDescent="0.2">
      <c r="A5">
        <v>37</v>
      </c>
      <c r="B5">
        <v>744</v>
      </c>
      <c r="C5">
        <v>250</v>
      </c>
      <c r="D5">
        <v>0.31987464975667701</v>
      </c>
      <c r="E5">
        <v>2.8643921103527998</v>
      </c>
      <c r="F5">
        <v>2.5899188834782501</v>
      </c>
      <c r="G5">
        <v>-46.394630187899523</v>
      </c>
      <c r="H5">
        <v>-40.324184204066576</v>
      </c>
      <c r="I5">
        <v>5.96809318569822</v>
      </c>
      <c r="J5">
        <v>3.5048559089217401</v>
      </c>
      <c r="K5">
        <v>1.10597753799375</v>
      </c>
      <c r="L5">
        <v>3.1029348292666264E-5</v>
      </c>
      <c r="M5">
        <v>1.7725078336173821E-6</v>
      </c>
      <c r="N5" s="1">
        <v>-5.80605961044498E-8</v>
      </c>
      <c r="O5" s="1">
        <v>9.3831209544771808E-12</v>
      </c>
      <c r="P5" s="1">
        <v>1.92321287947981E-10</v>
      </c>
      <c r="Q5">
        <v>63.4651221068141</v>
      </c>
      <c r="S5">
        <v>22.660802461727499</v>
      </c>
      <c r="AA5">
        <v>3.8866754391568898</v>
      </c>
      <c r="AB5">
        <v>8.5017843665615693</v>
      </c>
      <c r="AC5">
        <v>1.4856156257398001</v>
      </c>
      <c r="AJ5">
        <v>0.731211302548189</v>
      </c>
      <c r="AK5">
        <v>0.18472338420924</v>
      </c>
      <c r="AL5">
        <v>8.4065313242569301E-2</v>
      </c>
    </row>
    <row r="6" spans="1:38" x14ac:dyDescent="0.2">
      <c r="A6">
        <v>38</v>
      </c>
      <c r="B6">
        <v>743</v>
      </c>
      <c r="C6">
        <v>250</v>
      </c>
      <c r="D6">
        <v>0.31913644639078897</v>
      </c>
      <c r="E6">
        <v>6.5136985638522802</v>
      </c>
      <c r="F6">
        <v>2.5902373652127202</v>
      </c>
      <c r="G6">
        <v>-105.493456430892</v>
      </c>
      <c r="H6">
        <v>-91.711241265321163</v>
      </c>
      <c r="I6">
        <v>13.5631699705465</v>
      </c>
      <c r="J6">
        <v>7.9738386586451702</v>
      </c>
      <c r="K6">
        <v>2.5147110652221301</v>
      </c>
      <c r="L6">
        <v>3.1073126959470056E-5</v>
      </c>
      <c r="M6">
        <v>1.772214974192533E-6</v>
      </c>
      <c r="N6" s="1">
        <v>-1.3626682296657799E-7</v>
      </c>
      <c r="O6" s="1">
        <v>2.1291420342962301E-11</v>
      </c>
      <c r="P6" s="1">
        <v>4.4942211639912699E-10</v>
      </c>
      <c r="Q6">
        <v>63.441435108092101</v>
      </c>
      <c r="S6">
        <v>22.679542011931701</v>
      </c>
      <c r="AA6">
        <v>3.9076627972827001</v>
      </c>
      <c r="AB6">
        <v>8.4981273271236404</v>
      </c>
      <c r="AC6">
        <v>1.47323275556977</v>
      </c>
      <c r="AJ6">
        <v>0.73090975036452999</v>
      </c>
      <c r="AK6">
        <v>0.185724155458629</v>
      </c>
      <c r="AL6">
        <v>8.3366094176840599E-2</v>
      </c>
    </row>
    <row r="7" spans="1:38" x14ac:dyDescent="0.2">
      <c r="A7">
        <v>39</v>
      </c>
      <c r="B7">
        <v>742</v>
      </c>
      <c r="C7">
        <v>250</v>
      </c>
      <c r="D7">
        <v>0.318396788651924</v>
      </c>
      <c r="E7">
        <v>18.4627453434153</v>
      </c>
      <c r="F7">
        <v>2.5904711676666601</v>
      </c>
      <c r="G7">
        <v>-298.98726938513789</v>
      </c>
      <c r="H7">
        <v>-259.98428898186916</v>
      </c>
      <c r="I7">
        <v>38.420903712031397</v>
      </c>
      <c r="J7">
        <v>22.612802672693</v>
      </c>
      <c r="K7">
        <v>7.12717654373487</v>
      </c>
      <c r="L7">
        <v>3.1124185905902775E-5</v>
      </c>
      <c r="M7">
        <v>1.7721525373272679E-6</v>
      </c>
      <c r="N7" s="1">
        <v>-3.98818408897811E-7</v>
      </c>
      <c r="O7" s="1">
        <v>6.0225698586664905E-11</v>
      </c>
      <c r="P7" s="1">
        <v>1.30970187607933E-9</v>
      </c>
      <c r="Q7">
        <v>63.427457052171498</v>
      </c>
      <c r="S7">
        <v>22.691199313813101</v>
      </c>
      <c r="AA7">
        <v>3.92054177895292</v>
      </c>
      <c r="AB7">
        <v>8.4975391114129799</v>
      </c>
      <c r="AC7">
        <v>1.4632627436493</v>
      </c>
      <c r="AJ7">
        <v>0.73086109687831902</v>
      </c>
      <c r="AK7">
        <v>0.18633676429197099</v>
      </c>
      <c r="AL7">
        <v>8.2802138829708299E-2</v>
      </c>
    </row>
    <row r="8" spans="1:38" x14ac:dyDescent="0.2">
      <c r="A8">
        <v>40</v>
      </c>
      <c r="B8">
        <v>741</v>
      </c>
      <c r="C8">
        <v>250</v>
      </c>
      <c r="D8">
        <v>0.31765567223783697</v>
      </c>
      <c r="E8">
        <v>19.674584457154399</v>
      </c>
      <c r="F8">
        <v>2.5906081893347999</v>
      </c>
      <c r="G8">
        <v>-318.57813632719478</v>
      </c>
      <c r="H8">
        <v>-277.08030744414691</v>
      </c>
      <c r="I8">
        <v>40.918827474286701</v>
      </c>
      <c r="J8">
        <v>24.1101721975899</v>
      </c>
      <c r="K8">
        <v>7.5945812794663903</v>
      </c>
      <c r="L8">
        <v>3.1183542248531873E-5</v>
      </c>
      <c r="M8">
        <v>1.7723556317833819E-6</v>
      </c>
      <c r="N8" s="1">
        <v>-4.3906679338901601E-7</v>
      </c>
      <c r="O8" s="1">
        <v>6.4055317236693494E-11</v>
      </c>
      <c r="P8" s="1">
        <v>1.4357309349119899E-9</v>
      </c>
      <c r="Q8">
        <v>63.424654557013803</v>
      </c>
      <c r="S8">
        <v>22.694724245219302</v>
      </c>
      <c r="AA8">
        <v>3.9241038073878798</v>
      </c>
      <c r="AB8">
        <v>8.5005349671712196</v>
      </c>
      <c r="AC8">
        <v>1.4559824232077401</v>
      </c>
      <c r="AJ8">
        <v>0.73110780495704197</v>
      </c>
      <c r="AK8">
        <v>0.186503265362673</v>
      </c>
      <c r="AL8">
        <v>8.2388929680284495E-2</v>
      </c>
    </row>
    <row r="9" spans="1:38" x14ac:dyDescent="0.2">
      <c r="A9">
        <v>52</v>
      </c>
      <c r="B9">
        <v>748</v>
      </c>
      <c r="C9">
        <v>225</v>
      </c>
      <c r="D9">
        <v>0.34974342652891699</v>
      </c>
      <c r="E9">
        <v>4.4809238612165601</v>
      </c>
      <c r="F9">
        <v>2.5233490778625902</v>
      </c>
      <c r="G9">
        <v>-70.554333770842732</v>
      </c>
      <c r="H9">
        <v>-61.152304729041454</v>
      </c>
      <c r="I9">
        <v>9.2072947576764097</v>
      </c>
      <c r="J9">
        <v>5.3138662336317601</v>
      </c>
      <c r="K9">
        <v>1.7757843734455201</v>
      </c>
      <c r="L9">
        <v>2.8147055852608837E-5</v>
      </c>
      <c r="M9">
        <v>1.7887054952565875E-6</v>
      </c>
      <c r="N9" s="1">
        <v>-3.05546531683829E-8</v>
      </c>
      <c r="O9" s="1">
        <v>1.70054687356262E-11</v>
      </c>
      <c r="P9" s="1">
        <v>1.239813347113E-10</v>
      </c>
      <c r="Q9">
        <v>65.777800590104405</v>
      </c>
      <c r="S9">
        <v>18.972293680424599</v>
      </c>
      <c r="AA9">
        <v>0.30398601953734899</v>
      </c>
      <c r="AB9">
        <v>3.9855590566661898</v>
      </c>
      <c r="AC9">
        <v>10.960360653267401</v>
      </c>
      <c r="AJ9">
        <v>0.35069771317048798</v>
      </c>
      <c r="AK9">
        <v>1.4781145300570699E-2</v>
      </c>
      <c r="AL9">
        <v>0.63452114152894001</v>
      </c>
    </row>
    <row r="10" spans="1:38" x14ac:dyDescent="0.2">
      <c r="A10">
        <v>53</v>
      </c>
      <c r="B10">
        <v>747</v>
      </c>
      <c r="C10">
        <v>225</v>
      </c>
      <c r="D10">
        <v>0.34903739646130499</v>
      </c>
      <c r="E10">
        <v>12.271840360875901</v>
      </c>
      <c r="F10">
        <v>2.52337336595849</v>
      </c>
      <c r="G10">
        <v>-193.1714541976917</v>
      </c>
      <c r="H10">
        <v>-167.46728487507755</v>
      </c>
      <c r="I10">
        <v>25.196460640703901</v>
      </c>
      <c r="J10">
        <v>14.5521123494063</v>
      </c>
      <c r="K10">
        <v>4.8632677694188704</v>
      </c>
      <c r="L10">
        <v>2.8138885226196257E-5</v>
      </c>
      <c r="M10">
        <v>1.7884948548784389E-6</v>
      </c>
      <c r="N10" s="1">
        <v>-8.5904487057569804E-8</v>
      </c>
      <c r="O10" s="1">
        <v>4.6565600894789399E-11</v>
      </c>
      <c r="P10" s="1">
        <v>3.4587603305558202E-10</v>
      </c>
      <c r="Q10">
        <v>65.768464050267696</v>
      </c>
      <c r="S10">
        <v>18.967335073645799</v>
      </c>
      <c r="AA10">
        <v>0.30207367210503799</v>
      </c>
      <c r="AB10">
        <v>3.9517534459120802</v>
      </c>
      <c r="AC10">
        <v>11.0103737580692</v>
      </c>
      <c r="AJ10">
        <v>0.347782987513373</v>
      </c>
      <c r="AK10">
        <v>1.4690688784762601E-2</v>
      </c>
      <c r="AL10">
        <v>0.63752632370186302</v>
      </c>
    </row>
    <row r="11" spans="1:38" x14ac:dyDescent="0.2">
      <c r="A11">
        <v>54</v>
      </c>
      <c r="B11">
        <v>746</v>
      </c>
      <c r="C11">
        <v>225</v>
      </c>
      <c r="D11">
        <v>0.34832998086640898</v>
      </c>
      <c r="E11">
        <v>36.386143848750798</v>
      </c>
      <c r="F11">
        <v>2.5233955047875498</v>
      </c>
      <c r="G11">
        <v>-572.50693484800024</v>
      </c>
      <c r="H11">
        <v>-496.44331708480132</v>
      </c>
      <c r="I11">
        <v>74.634369585634005</v>
      </c>
      <c r="J11">
        <v>43.134609014474101</v>
      </c>
      <c r="K11">
        <v>14.4195167898637</v>
      </c>
      <c r="L11">
        <v>2.8102270883196648E-5</v>
      </c>
      <c r="M11">
        <v>1.7878862299175986E-6</v>
      </c>
      <c r="N11" s="1">
        <v>-2.58249853764421E-7</v>
      </c>
      <c r="O11" s="1">
        <v>1.3809978511554301E-10</v>
      </c>
      <c r="P11" s="1">
        <v>1.0353234112754399E-9</v>
      </c>
      <c r="Q11">
        <v>65.746366321765393</v>
      </c>
      <c r="S11">
        <v>18.959768256871701</v>
      </c>
      <c r="AA11">
        <v>0.30098717363911598</v>
      </c>
      <c r="AB11">
        <v>3.8826724488510802</v>
      </c>
      <c r="AC11">
        <v>11.110205798872499</v>
      </c>
      <c r="AJ11">
        <v>0.34182366680363901</v>
      </c>
      <c r="AK11">
        <v>1.4643003081286601E-2</v>
      </c>
      <c r="AL11">
        <v>0.64353333011507297</v>
      </c>
    </row>
    <row r="12" spans="1:38" x14ac:dyDescent="0.2">
      <c r="A12">
        <v>55</v>
      </c>
      <c r="B12">
        <v>745</v>
      </c>
      <c r="C12">
        <v>225</v>
      </c>
      <c r="D12">
        <v>0.347621175661739</v>
      </c>
      <c r="E12">
        <v>39.037219909710799</v>
      </c>
      <c r="F12">
        <v>2.5234271627947802</v>
      </c>
      <c r="G12">
        <v>-614.09049881059366</v>
      </c>
      <c r="H12">
        <v>-532.61986993902451</v>
      </c>
      <c r="I12">
        <v>80.018296784922597</v>
      </c>
      <c r="J12">
        <v>46.279930625812</v>
      </c>
      <c r="K12">
        <v>15.4699214169018</v>
      </c>
      <c r="L12">
        <v>2.8108305221661157E-5</v>
      </c>
      <c r="M12">
        <v>1.7878697356296596E-6</v>
      </c>
      <c r="N12" s="1">
        <v>-2.8609179690122002E-7</v>
      </c>
      <c r="O12" s="1">
        <v>1.4810890014311701E-10</v>
      </c>
      <c r="P12" s="1">
        <v>1.1365343627012199E-9</v>
      </c>
      <c r="Q12">
        <v>65.743055635615093</v>
      </c>
      <c r="S12">
        <v>18.9561491983089</v>
      </c>
      <c r="AA12">
        <v>0.29877391662175701</v>
      </c>
      <c r="AB12">
        <v>3.8658069297447999</v>
      </c>
      <c r="AC12">
        <v>11.1362143197093</v>
      </c>
      <c r="AJ12">
        <v>0.34036812818614898</v>
      </c>
      <c r="AK12">
        <v>1.4536578459591699E-2</v>
      </c>
      <c r="AL12">
        <v>0.64509529335425797</v>
      </c>
    </row>
    <row r="13" spans="1:38" x14ac:dyDescent="0.2">
      <c r="A13">
        <v>63</v>
      </c>
      <c r="B13">
        <v>752</v>
      </c>
      <c r="C13">
        <v>200</v>
      </c>
      <c r="D13">
        <v>0.37937911525142798</v>
      </c>
      <c r="E13">
        <v>7.8824663056142104</v>
      </c>
      <c r="F13">
        <v>2.5221822746222902</v>
      </c>
      <c r="G13">
        <v>-124.32671065261887</v>
      </c>
      <c r="H13">
        <v>-107.67053596729676</v>
      </c>
      <c r="I13">
        <v>16.2475488321924</v>
      </c>
      <c r="J13">
        <v>9.3483659766465603</v>
      </c>
      <c r="K13">
        <v>3.1252564039189599</v>
      </c>
      <c r="L13">
        <v>2.8143339966514404E-5</v>
      </c>
      <c r="M13">
        <v>1.7909599677208122E-6</v>
      </c>
      <c r="N13" s="1">
        <v>-4.6847910832208899E-8</v>
      </c>
      <c r="O13" s="1">
        <v>2.9943435542222599E-11</v>
      </c>
      <c r="P13" s="1">
        <v>1.98296289982853E-10</v>
      </c>
      <c r="Q13">
        <v>65.807347952925795</v>
      </c>
      <c r="S13">
        <v>18.994172503910001</v>
      </c>
      <c r="AA13">
        <v>0.31514179975804502</v>
      </c>
      <c r="AB13">
        <v>4.1087619506558104</v>
      </c>
      <c r="AC13">
        <v>10.774575792750101</v>
      </c>
      <c r="AJ13">
        <v>0.36131176277060301</v>
      </c>
      <c r="AK13">
        <v>1.5313974568979901E-2</v>
      </c>
      <c r="AL13">
        <v>0.62337426266041596</v>
      </c>
    </row>
    <row r="14" spans="1:38" x14ac:dyDescent="0.2">
      <c r="A14">
        <v>64</v>
      </c>
      <c r="B14">
        <v>751</v>
      </c>
      <c r="C14">
        <v>200</v>
      </c>
      <c r="D14">
        <v>0.378704779573308</v>
      </c>
      <c r="E14">
        <v>30.151886875370401</v>
      </c>
      <c r="F14">
        <v>2.5221675632836398</v>
      </c>
      <c r="G14">
        <v>-475.27420416807098</v>
      </c>
      <c r="H14">
        <v>-411.70198488291788</v>
      </c>
      <c r="I14">
        <v>62.073152648687199</v>
      </c>
      <c r="J14">
        <v>35.738537122763503</v>
      </c>
      <c r="K14">
        <v>11.9547516645227</v>
      </c>
      <c r="L14">
        <v>2.8071220573854567E-5</v>
      </c>
      <c r="M14">
        <v>1.7898429651280791E-6</v>
      </c>
      <c r="N14" s="1">
        <v>-1.7885219438895899E-7</v>
      </c>
      <c r="O14" s="1">
        <v>1.14623159484896E-10</v>
      </c>
      <c r="P14" s="1">
        <v>7.5709772095398603E-10</v>
      </c>
      <c r="Q14">
        <v>65.769635733541406</v>
      </c>
      <c r="S14">
        <v>18.9827428855269</v>
      </c>
      <c r="AA14">
        <v>0.31451187839635503</v>
      </c>
      <c r="AB14">
        <v>3.9947580612628699</v>
      </c>
      <c r="AC14">
        <v>10.9383514412723</v>
      </c>
      <c r="AJ14">
        <v>0.35149060179511599</v>
      </c>
      <c r="AK14">
        <v>1.5292239045190399E-2</v>
      </c>
      <c r="AL14">
        <v>0.63321715915969301</v>
      </c>
    </row>
    <row r="15" spans="1:38" x14ac:dyDescent="0.2">
      <c r="A15">
        <v>65</v>
      </c>
      <c r="B15">
        <v>750</v>
      </c>
      <c r="C15">
        <v>200</v>
      </c>
      <c r="D15">
        <v>0.37802912573913899</v>
      </c>
      <c r="E15">
        <v>37.609972979172198</v>
      </c>
      <c r="F15">
        <v>2.5221858434218301</v>
      </c>
      <c r="G15">
        <v>-592.62728564422207</v>
      </c>
      <c r="H15">
        <v>-513.47573139595022</v>
      </c>
      <c r="I15">
        <v>77.360655083097896</v>
      </c>
      <c r="J15">
        <v>44.570730483713398</v>
      </c>
      <c r="K15">
        <v>14.911658106900999</v>
      </c>
      <c r="L15">
        <v>2.8049723197375438E-5</v>
      </c>
      <c r="M15">
        <v>1.7894621007277207E-6</v>
      </c>
      <c r="N15" s="1">
        <v>-2.2783129659553E-7</v>
      </c>
      <c r="O15" s="1">
        <v>1.4298333741767E-10</v>
      </c>
      <c r="P15" s="1">
        <v>9.5778901232047095E-10</v>
      </c>
      <c r="Q15">
        <v>65.755056132935906</v>
      </c>
      <c r="S15">
        <v>18.976495737492598</v>
      </c>
      <c r="AA15">
        <v>0.31275986778769599</v>
      </c>
      <c r="AB15">
        <v>3.9458904922838798</v>
      </c>
      <c r="AC15">
        <v>11.0097977694998</v>
      </c>
      <c r="AJ15">
        <v>0.347277296228169</v>
      </c>
      <c r="AK15">
        <v>1.5210839169853401E-2</v>
      </c>
      <c r="AL15">
        <v>0.63751186460197695</v>
      </c>
    </row>
    <row r="16" spans="1:38" x14ac:dyDescent="0.2">
      <c r="A16">
        <v>66</v>
      </c>
      <c r="B16">
        <v>749</v>
      </c>
      <c r="C16">
        <v>200</v>
      </c>
      <c r="D16">
        <v>0.37735214988015597</v>
      </c>
      <c r="E16">
        <v>39.602373510609901</v>
      </c>
      <c r="F16">
        <v>2.5222136780492299</v>
      </c>
      <c r="G16">
        <v>-623.88285860794133</v>
      </c>
      <c r="H16">
        <v>-540.67676989293193</v>
      </c>
      <c r="I16">
        <v>81.403011999226393</v>
      </c>
      <c r="J16">
        <v>46.9324568869975</v>
      </c>
      <c r="K16">
        <v>15.701434757597401</v>
      </c>
      <c r="L16">
        <v>2.8051294960202208E-5</v>
      </c>
      <c r="M16">
        <v>1.7894081449667073E-6</v>
      </c>
      <c r="N16" s="1">
        <v>-2.4757378979068098E-7</v>
      </c>
      <c r="O16" s="1">
        <v>1.5051895976382699E-10</v>
      </c>
      <c r="P16" s="1">
        <v>1.03050814593693E-9</v>
      </c>
      <c r="Q16">
        <v>65.750820117594301</v>
      </c>
      <c r="S16">
        <v>18.972558279002399</v>
      </c>
      <c r="AA16">
        <v>0.31049984048690399</v>
      </c>
      <c r="AB16">
        <v>3.9261281998845701</v>
      </c>
      <c r="AC16">
        <v>11.0399935630317</v>
      </c>
      <c r="AJ16">
        <v>0.34557283000655098</v>
      </c>
      <c r="AK16">
        <v>1.5102445765404499E-2</v>
      </c>
      <c r="AL16">
        <v>0.63932472422804398</v>
      </c>
    </row>
    <row r="17" spans="1:38" x14ac:dyDescent="0.2">
      <c r="A17">
        <v>74</v>
      </c>
      <c r="B17">
        <v>758</v>
      </c>
      <c r="C17">
        <v>175</v>
      </c>
      <c r="D17">
        <v>0.41006691557969399</v>
      </c>
      <c r="E17">
        <v>0.29190823335267102</v>
      </c>
      <c r="F17">
        <v>2.52106096563646</v>
      </c>
      <c r="G17">
        <v>-4.6151010921422149</v>
      </c>
      <c r="H17">
        <v>-3.9917249716077112</v>
      </c>
      <c r="I17">
        <v>0.60454455756631298</v>
      </c>
      <c r="J17">
        <v>0.34635403859317998</v>
      </c>
      <c r="K17">
        <v>0.11578785175430099</v>
      </c>
      <c r="L17">
        <v>2.8183897639750193E-5</v>
      </c>
      <c r="M17">
        <v>1.7938991006530878E-6</v>
      </c>
      <c r="N17" s="1">
        <v>-1.4403162492883901E-9</v>
      </c>
      <c r="O17" s="1">
        <v>1.1095841376257601E-12</v>
      </c>
      <c r="P17" s="1">
        <v>6.4965528630813903E-12</v>
      </c>
      <c r="Q17">
        <v>65.8610608558715</v>
      </c>
      <c r="S17">
        <v>19.029295047428199</v>
      </c>
      <c r="AA17">
        <v>0.331585086186658</v>
      </c>
      <c r="AB17">
        <v>4.3205365889742904</v>
      </c>
      <c r="AC17">
        <v>10.457522421539201</v>
      </c>
      <c r="AJ17">
        <v>0.379525288155733</v>
      </c>
      <c r="AK17">
        <v>1.6095660777994601E-2</v>
      </c>
      <c r="AL17">
        <v>0.60437905106627099</v>
      </c>
    </row>
    <row r="18" spans="1:38" x14ac:dyDescent="0.2">
      <c r="A18">
        <v>75</v>
      </c>
      <c r="B18">
        <v>757</v>
      </c>
      <c r="C18">
        <v>175</v>
      </c>
      <c r="D18">
        <v>0.40942629714119499</v>
      </c>
      <c r="E18">
        <v>8.8000477936982406</v>
      </c>
      <c r="F18">
        <v>2.5210311794716498</v>
      </c>
      <c r="G18">
        <v>-139.06718448341786</v>
      </c>
      <c r="H18">
        <v>-120.3109739836744</v>
      </c>
      <c r="I18">
        <v>18.207261563600799</v>
      </c>
      <c r="J18">
        <v>10.438038394465201</v>
      </c>
      <c r="K18">
        <v>3.4906540884363402</v>
      </c>
      <c r="L18">
        <v>2.8144064153926129E-5</v>
      </c>
      <c r="M18">
        <v>1.7932460843653962E-6</v>
      </c>
      <c r="N18" s="1">
        <v>-4.4007766029614599E-8</v>
      </c>
      <c r="O18" s="1">
        <v>3.3461201576350301E-11</v>
      </c>
      <c r="P18" s="1">
        <v>1.9748658464217099E-10</v>
      </c>
      <c r="Q18">
        <v>65.838755455953006</v>
      </c>
      <c r="S18">
        <v>19.020671888678802</v>
      </c>
      <c r="AA18">
        <v>0.32967555206090099</v>
      </c>
      <c r="AB18">
        <v>4.2482234694749499</v>
      </c>
      <c r="AC18">
        <v>10.562673633832301</v>
      </c>
      <c r="AJ18">
        <v>0.37331043349404402</v>
      </c>
      <c r="AK18">
        <v>1.60088563101017E-2</v>
      </c>
      <c r="AL18">
        <v>0.61068071019585302</v>
      </c>
    </row>
    <row r="19" spans="1:38" x14ac:dyDescent="0.2">
      <c r="A19">
        <v>76</v>
      </c>
      <c r="B19">
        <v>756</v>
      </c>
      <c r="C19">
        <v>175</v>
      </c>
      <c r="D19">
        <v>0.40878443375601398</v>
      </c>
      <c r="E19">
        <v>30.170904740697299</v>
      </c>
      <c r="F19">
        <v>2.52096058330627</v>
      </c>
      <c r="G19">
        <v>-476.39892923562155</v>
      </c>
      <c r="H19">
        <v>-412.25093469358967</v>
      </c>
      <c r="I19">
        <v>62.331044592170102</v>
      </c>
      <c r="J19">
        <v>35.756658030790703</v>
      </c>
      <c r="K19">
        <v>11.9680192306409</v>
      </c>
      <c r="L19">
        <v>2.8038876286506846E-5</v>
      </c>
      <c r="M19">
        <v>1.7916270801658041E-6</v>
      </c>
      <c r="N19" s="1">
        <v>-1.48069859814597E-7</v>
      </c>
      <c r="O19" s="1">
        <v>1.1485715224604201E-10</v>
      </c>
      <c r="P19" s="1">
        <v>6.6846630312948299E-10</v>
      </c>
      <c r="Q19">
        <v>65.785819420123204</v>
      </c>
      <c r="S19">
        <v>19.004983158352399</v>
      </c>
      <c r="AA19">
        <v>0.32908408918086002</v>
      </c>
      <c r="AB19">
        <v>4.0891283057205401</v>
      </c>
      <c r="AC19">
        <v>10.790985026622799</v>
      </c>
      <c r="AJ19">
        <v>0.35962107296048101</v>
      </c>
      <c r="AK19">
        <v>1.5993078547687299E-2</v>
      </c>
      <c r="AL19">
        <v>0.62438584849183099</v>
      </c>
    </row>
    <row r="20" spans="1:38" x14ac:dyDescent="0.2">
      <c r="A20">
        <v>77</v>
      </c>
      <c r="B20">
        <v>755</v>
      </c>
      <c r="C20">
        <v>175</v>
      </c>
      <c r="D20">
        <v>0.40814132179156798</v>
      </c>
      <c r="E20">
        <v>37.575975447732297</v>
      </c>
      <c r="F20">
        <v>2.52096058542715</v>
      </c>
      <c r="G20">
        <v>-593.0718734874979</v>
      </c>
      <c r="H20">
        <v>-513.3334554323643</v>
      </c>
      <c r="I20">
        <v>77.555238102546994</v>
      </c>
      <c r="J20">
        <v>44.519433358476803</v>
      </c>
      <c r="K20">
        <v>14.9054196503296</v>
      </c>
      <c r="L20">
        <v>2.8002489413754027E-5</v>
      </c>
      <c r="M20">
        <v>1.7910430500587546E-6</v>
      </c>
      <c r="N20" s="1">
        <v>-1.8710094162800399E-7</v>
      </c>
      <c r="O20" s="1">
        <v>1.43087919480579E-10</v>
      </c>
      <c r="P20" s="1">
        <v>8.4005257423528797E-10</v>
      </c>
      <c r="Q20">
        <v>65.765127657634295</v>
      </c>
      <c r="S20">
        <v>18.996998627810001</v>
      </c>
      <c r="AA20">
        <v>0.32732490963058802</v>
      </c>
      <c r="AB20">
        <v>4.0220853375852501</v>
      </c>
      <c r="AC20">
        <v>10.888463467339699</v>
      </c>
      <c r="AJ20">
        <v>0.353845721582772</v>
      </c>
      <c r="AK20">
        <v>1.5913016566878099E-2</v>
      </c>
      <c r="AL20">
        <v>0.63024126185034901</v>
      </c>
    </row>
    <row r="21" spans="1:38" x14ac:dyDescent="0.2">
      <c r="A21">
        <v>78</v>
      </c>
      <c r="B21">
        <v>754</v>
      </c>
      <c r="C21">
        <v>175</v>
      </c>
      <c r="D21">
        <v>0.40749695760112897</v>
      </c>
      <c r="E21">
        <v>39.746492374942498</v>
      </c>
      <c r="F21">
        <v>2.52098162801013</v>
      </c>
      <c r="G21">
        <v>-627.17181843129924</v>
      </c>
      <c r="H21">
        <v>-542.97003739816876</v>
      </c>
      <c r="I21">
        <v>81.976129127323802</v>
      </c>
      <c r="J21">
        <v>47.088576140627801</v>
      </c>
      <c r="K21">
        <v>15.766276093933699</v>
      </c>
      <c r="L21">
        <v>2.7996894089163529E-5</v>
      </c>
      <c r="M21">
        <v>1.7909112982042289E-6</v>
      </c>
      <c r="N21" s="1">
        <v>-2.03877395538183E-7</v>
      </c>
      <c r="O21" s="1">
        <v>1.51334185117979E-10</v>
      </c>
      <c r="P21" s="1">
        <v>9.0571727439763396E-10</v>
      </c>
      <c r="Q21">
        <v>65.758710657116197</v>
      </c>
      <c r="S21">
        <v>18.992396169436201</v>
      </c>
      <c r="AA21">
        <v>0.32502515369164198</v>
      </c>
      <c r="AB21">
        <v>3.9957194530090399</v>
      </c>
      <c r="AC21">
        <v>10.928148566746801</v>
      </c>
      <c r="AJ21">
        <v>0.35157338978123698</v>
      </c>
      <c r="AK21">
        <v>1.5803335895679602E-2</v>
      </c>
      <c r="AL21">
        <v>0.63262327432308296</v>
      </c>
    </row>
    <row r="22" spans="1:38" x14ac:dyDescent="0.2">
      <c r="A22">
        <v>90</v>
      </c>
      <c r="B22">
        <v>764</v>
      </c>
      <c r="C22">
        <v>150</v>
      </c>
      <c r="D22">
        <v>0.44039965289495597</v>
      </c>
      <c r="E22">
        <v>3.7078115593262102</v>
      </c>
      <c r="F22">
        <v>2.5199581355943299</v>
      </c>
      <c r="G22">
        <v>-58.744438740005457</v>
      </c>
      <c r="H22">
        <v>-50.745841702353324</v>
      </c>
      <c r="I22">
        <v>7.71209279048559</v>
      </c>
      <c r="J22">
        <v>4.4003307756036296</v>
      </c>
      <c r="K22">
        <v>1.4713782371831801</v>
      </c>
      <c r="L22">
        <v>2.8187626559928543E-5</v>
      </c>
      <c r="M22">
        <v>1.7961300149167671E-6</v>
      </c>
      <c r="N22" s="1">
        <v>-1.4764717616217301E-8</v>
      </c>
      <c r="O22" s="1">
        <v>1.4106088745219199E-11</v>
      </c>
      <c r="P22" s="1">
        <v>7.2290834728978305E-11</v>
      </c>
      <c r="Q22">
        <v>65.890257796288495</v>
      </c>
      <c r="S22">
        <v>19.060703205428698</v>
      </c>
      <c r="AA22">
        <v>0.350684431232271</v>
      </c>
      <c r="AB22">
        <v>4.4679409747536196</v>
      </c>
      <c r="AC22">
        <v>10.2304135922968</v>
      </c>
      <c r="AJ22">
        <v>0.39217948567016497</v>
      </c>
      <c r="AK22">
        <v>1.7010015975966498E-2</v>
      </c>
      <c r="AL22">
        <v>0.59081049835386801</v>
      </c>
    </row>
    <row r="23" spans="1:38" x14ac:dyDescent="0.2">
      <c r="A23">
        <v>91</v>
      </c>
      <c r="B23">
        <v>763</v>
      </c>
      <c r="C23">
        <v>150</v>
      </c>
      <c r="D23">
        <v>0.43979201853014099</v>
      </c>
      <c r="E23">
        <v>10.7070351568173</v>
      </c>
      <c r="F23">
        <v>2.5198984715412598</v>
      </c>
      <c r="G23">
        <v>-169.55471277371439</v>
      </c>
      <c r="H23">
        <v>-146.50247330121732</v>
      </c>
      <c r="I23">
        <v>22.247975170098002</v>
      </c>
      <c r="J23">
        <v>12.7021483687287</v>
      </c>
      <c r="K23">
        <v>4.2489946629748703</v>
      </c>
      <c r="L23">
        <v>2.8142485291147253E-5</v>
      </c>
      <c r="M23">
        <v>1.7954011069680197E-6</v>
      </c>
      <c r="N23" s="1">
        <v>-4.3113643481549699E-8</v>
      </c>
      <c r="O23" s="1">
        <v>4.0751423136985403E-11</v>
      </c>
      <c r="P23" s="1">
        <v>2.1007569242349999E-10</v>
      </c>
      <c r="Q23">
        <v>65.866179957368999</v>
      </c>
      <c r="S23">
        <v>19.050992843303899</v>
      </c>
      <c r="AA23">
        <v>0.34829151759988802</v>
      </c>
      <c r="AB23">
        <v>4.3888278249801402</v>
      </c>
      <c r="AC23">
        <v>10.345707856747</v>
      </c>
      <c r="AJ23">
        <v>0.38539016593873299</v>
      </c>
      <c r="AK23">
        <v>1.6900742029569302E-2</v>
      </c>
      <c r="AL23">
        <v>0.59770909203169598</v>
      </c>
    </row>
    <row r="24" spans="1:38" x14ac:dyDescent="0.2">
      <c r="A24">
        <v>92</v>
      </c>
      <c r="B24">
        <v>762</v>
      </c>
      <c r="C24">
        <v>150</v>
      </c>
      <c r="D24">
        <v>0.439183210162781</v>
      </c>
      <c r="E24">
        <v>31.495571889375899</v>
      </c>
      <c r="F24">
        <v>2.5197455082001401</v>
      </c>
      <c r="G24">
        <v>-498.24170312826249</v>
      </c>
      <c r="H24">
        <v>-430.61525741207072</v>
      </c>
      <c r="I24">
        <v>65.330092949033201</v>
      </c>
      <c r="J24">
        <v>37.323170698740903</v>
      </c>
      <c r="K24">
        <v>12.499505123385701</v>
      </c>
      <c r="L24">
        <v>2.8003789652737986E-5</v>
      </c>
      <c r="M24">
        <v>1.7932448035700541E-6</v>
      </c>
      <c r="N24" s="1">
        <v>-1.2190334268921099E-7</v>
      </c>
      <c r="O24" s="1">
        <v>1.20068417575024E-10</v>
      </c>
      <c r="P24" s="1">
        <v>6.0311630054405596E-10</v>
      </c>
      <c r="Q24">
        <v>65.797225913991994</v>
      </c>
      <c r="S24">
        <v>19.030138196555001</v>
      </c>
      <c r="AA24">
        <v>0.34717570385742202</v>
      </c>
      <c r="AB24">
        <v>4.1804942687413904</v>
      </c>
      <c r="AC24">
        <v>10.644965916854099</v>
      </c>
      <c r="AJ24">
        <v>0.36748523322673998</v>
      </c>
      <c r="AK24">
        <v>1.6864457489680702E-2</v>
      </c>
      <c r="AL24">
        <v>0.615650309283579</v>
      </c>
    </row>
    <row r="25" spans="1:38" x14ac:dyDescent="0.2">
      <c r="A25">
        <v>93</v>
      </c>
      <c r="B25">
        <v>761</v>
      </c>
      <c r="C25">
        <v>150</v>
      </c>
      <c r="D25">
        <v>0.43857322438717999</v>
      </c>
      <c r="E25">
        <v>37.851596542128597</v>
      </c>
      <c r="F25">
        <v>2.51972531639279</v>
      </c>
      <c r="G25">
        <v>-598.51039407847111</v>
      </c>
      <c r="H25">
        <v>-517.39613454040943</v>
      </c>
      <c r="I25">
        <v>78.435681030857793</v>
      </c>
      <c r="J25">
        <v>44.839112042566597</v>
      </c>
      <c r="K25">
        <v>15.0221122500433</v>
      </c>
      <c r="L25">
        <v>2.7960080848869706E-5</v>
      </c>
      <c r="M25">
        <v>1.7925610682697089E-6</v>
      </c>
      <c r="N25" s="1">
        <v>-1.48104988697676E-7</v>
      </c>
      <c r="O25" s="1">
        <v>1.4435771397755499E-10</v>
      </c>
      <c r="P25" s="1">
        <v>7.2924352081108205E-10</v>
      </c>
      <c r="Q25">
        <v>65.773770805024</v>
      </c>
      <c r="S25">
        <v>19.020986148190801</v>
      </c>
      <c r="AA25">
        <v>0.34509809927331198</v>
      </c>
      <c r="AB25">
        <v>4.1042325313848202</v>
      </c>
      <c r="AC25">
        <v>10.7559124161269</v>
      </c>
      <c r="AJ25">
        <v>0.36092154368058599</v>
      </c>
      <c r="AK25">
        <v>1.6770044129321999E-2</v>
      </c>
      <c r="AL25">
        <v>0.62230841219009103</v>
      </c>
    </row>
    <row r="26" spans="1:38" x14ac:dyDescent="0.2">
      <c r="A26">
        <v>94</v>
      </c>
      <c r="B26">
        <v>760</v>
      </c>
      <c r="C26">
        <v>150</v>
      </c>
      <c r="D26">
        <v>0.43796205778444602</v>
      </c>
      <c r="E26">
        <v>40.014507687035803</v>
      </c>
      <c r="F26">
        <v>2.51973703539403</v>
      </c>
      <c r="G26">
        <v>-632.53457386335151</v>
      </c>
      <c r="H26">
        <v>-546.93214890290699</v>
      </c>
      <c r="I26">
        <v>82.855756628218998</v>
      </c>
      <c r="J26">
        <v>47.396179327005903</v>
      </c>
      <c r="K26">
        <v>15.880430030976701</v>
      </c>
      <c r="L26">
        <v>2.7948265967797029E-5</v>
      </c>
      <c r="M26">
        <v>1.7923611790137762E-6</v>
      </c>
      <c r="N26" s="1">
        <v>-1.6108612152595699E-7</v>
      </c>
      <c r="O26" s="1">
        <v>1.5260539885969899E-10</v>
      </c>
      <c r="P26" s="1">
        <v>7.8392777106051502E-10</v>
      </c>
      <c r="Q26">
        <v>65.765508007319795</v>
      </c>
      <c r="S26">
        <v>19.015696286561401</v>
      </c>
      <c r="AA26">
        <v>0.34266192014975499</v>
      </c>
      <c r="AB26">
        <v>4.0719512697440701</v>
      </c>
      <c r="AC26">
        <v>10.8041825162249</v>
      </c>
      <c r="AJ26">
        <v>0.358141639092105</v>
      </c>
      <c r="AK26">
        <v>1.66543957121255E-2</v>
      </c>
      <c r="AL26">
        <v>0.62520396519576804</v>
      </c>
    </row>
    <row r="27" spans="1:38" x14ac:dyDescent="0.2">
      <c r="A27">
        <v>111</v>
      </c>
      <c r="B27">
        <v>772</v>
      </c>
      <c r="C27">
        <v>125</v>
      </c>
      <c r="D27">
        <v>0.47153088073482102</v>
      </c>
      <c r="E27">
        <v>5.5964029954384298</v>
      </c>
      <c r="F27">
        <v>2.5189101890258798</v>
      </c>
      <c r="G27">
        <v>-88.890936057821676</v>
      </c>
      <c r="H27">
        <v>-76.657515857306095</v>
      </c>
      <c r="I27">
        <v>11.704942066225501</v>
      </c>
      <c r="J27">
        <v>6.6444430406985804</v>
      </c>
      <c r="K27">
        <v>2.2217556702975099</v>
      </c>
      <c r="L27">
        <v>2.8205985286978011E-5</v>
      </c>
      <c r="M27">
        <v>1.7984308996489244E-6</v>
      </c>
      <c r="N27" s="1">
        <v>-1.6564954124665001E-8</v>
      </c>
      <c r="O27" s="1">
        <v>2.1305689726060401E-11</v>
      </c>
      <c r="P27" s="1">
        <v>9.2449366991199798E-11</v>
      </c>
      <c r="Q27">
        <v>65.9220368515074</v>
      </c>
      <c r="S27">
        <v>19.102434139392301</v>
      </c>
      <c r="AA27">
        <v>0.377697670955009</v>
      </c>
      <c r="AB27">
        <v>4.6481619641611296</v>
      </c>
      <c r="AC27">
        <v>9.9496693739840598</v>
      </c>
      <c r="AJ27">
        <v>0.407625105010193</v>
      </c>
      <c r="AK27">
        <v>1.83035263282182E-2</v>
      </c>
      <c r="AL27">
        <v>0.57407136866158803</v>
      </c>
    </row>
    <row r="28" spans="1:38" x14ac:dyDescent="0.2">
      <c r="A28">
        <v>112</v>
      </c>
      <c r="B28">
        <v>771</v>
      </c>
      <c r="C28">
        <v>125</v>
      </c>
      <c r="D28">
        <v>0.47095771680314102</v>
      </c>
      <c r="E28">
        <v>17.157741042024298</v>
      </c>
      <c r="F28">
        <v>2.5187208285374401</v>
      </c>
      <c r="G28">
        <v>-272.30873821125232</v>
      </c>
      <c r="H28">
        <v>-234.89069574330108</v>
      </c>
      <c r="I28">
        <v>35.835888012212003</v>
      </c>
      <c r="J28">
        <v>20.355262100944898</v>
      </c>
      <c r="K28">
        <v>6.8120852647204098</v>
      </c>
      <c r="L28">
        <v>2.8109888427635782E-5</v>
      </c>
      <c r="M28">
        <v>1.796891218505028E-6</v>
      </c>
      <c r="N28" s="1">
        <v>-4.9834137796032599E-8</v>
      </c>
      <c r="O28" s="1">
        <v>6.5392206434039801E-11</v>
      </c>
      <c r="P28" s="1">
        <v>2.8048884977080301E-10</v>
      </c>
      <c r="Q28">
        <v>65.874060509746997</v>
      </c>
      <c r="S28">
        <v>19.085013223643202</v>
      </c>
      <c r="AA28">
        <v>0.37451986055730901</v>
      </c>
      <c r="AB28">
        <v>4.49557806342691</v>
      </c>
      <c r="AC28">
        <v>10.1708283426255</v>
      </c>
      <c r="AJ28">
        <v>0.394549755326084</v>
      </c>
      <c r="AK28">
        <v>1.8163597871137999E-2</v>
      </c>
      <c r="AL28">
        <v>0.58728664680277698</v>
      </c>
    </row>
    <row r="29" spans="1:38" x14ac:dyDescent="0.2">
      <c r="A29">
        <v>113</v>
      </c>
      <c r="B29">
        <v>770</v>
      </c>
      <c r="C29">
        <v>125</v>
      </c>
      <c r="D29">
        <v>0.47038345396155901</v>
      </c>
      <c r="E29">
        <v>30.162822014526</v>
      </c>
      <c r="F29">
        <v>2.5185469426801701</v>
      </c>
      <c r="G29">
        <v>-478.28174287845621</v>
      </c>
      <c r="H29">
        <v>-412.66560316467633</v>
      </c>
      <c r="I29">
        <v>62.901921788601598</v>
      </c>
      <c r="J29">
        <v>35.751962467350502</v>
      </c>
      <c r="K29">
        <v>11.976279458356</v>
      </c>
      <c r="L29">
        <v>2.7997711986124808E-5</v>
      </c>
      <c r="M29">
        <v>1.7951174175756713E-6</v>
      </c>
      <c r="N29" s="1">
        <v>-8.4925833016113695E-8</v>
      </c>
      <c r="O29" s="1">
        <v>1.15107711088306E-10</v>
      </c>
      <c r="P29" s="1">
        <v>4.8491668795889198E-10</v>
      </c>
      <c r="Q29">
        <v>65.817953394124601</v>
      </c>
      <c r="S29">
        <v>19.065826449595601</v>
      </c>
      <c r="AA29">
        <v>0.37178240390830902</v>
      </c>
      <c r="AB29">
        <v>4.3202457419892903</v>
      </c>
      <c r="AC29">
        <v>10.4241920103821</v>
      </c>
      <c r="AJ29">
        <v>0.37949996568059302</v>
      </c>
      <c r="AK29">
        <v>1.8046912457447498E-2</v>
      </c>
      <c r="AL29">
        <v>0.60245312186195898</v>
      </c>
    </row>
    <row r="30" spans="1:38" x14ac:dyDescent="0.2">
      <c r="A30">
        <v>114</v>
      </c>
      <c r="B30">
        <v>769</v>
      </c>
      <c r="C30">
        <v>125</v>
      </c>
      <c r="D30">
        <v>0.46980808904668597</v>
      </c>
      <c r="E30">
        <v>37.2247579419329</v>
      </c>
      <c r="F30">
        <v>2.5184781502573501</v>
      </c>
      <c r="G30">
        <v>-589.91125022363849</v>
      </c>
      <c r="H30">
        <v>-509.10308744319843</v>
      </c>
      <c r="I30">
        <v>77.539857775214699</v>
      </c>
      <c r="J30">
        <v>44.099541731393302</v>
      </c>
      <c r="K30">
        <v>14.7806555074258</v>
      </c>
      <c r="L30">
        <v>2.7934068537481792E-5</v>
      </c>
      <c r="M30">
        <v>1.7941281999382629E-6</v>
      </c>
      <c r="N30" s="1">
        <v>-1.04623918477787E-7</v>
      </c>
      <c r="O30" s="1">
        <v>1.42155510978602E-10</v>
      </c>
      <c r="P30" s="1">
        <v>5.9766144748767198E-10</v>
      </c>
      <c r="Q30">
        <v>65.785503422041202</v>
      </c>
      <c r="S30">
        <v>19.053490773345999</v>
      </c>
      <c r="AA30">
        <v>0.36917710206128701</v>
      </c>
      <c r="AB30">
        <v>4.2155931400637998</v>
      </c>
      <c r="AC30">
        <v>10.5762355624876</v>
      </c>
      <c r="AJ30">
        <v>0.370504237152119</v>
      </c>
      <c r="AK30">
        <v>1.7929989556821999E-2</v>
      </c>
      <c r="AL30">
        <v>0.61156577329105799</v>
      </c>
    </row>
    <row r="31" spans="1:38" x14ac:dyDescent="0.2">
      <c r="A31">
        <v>115</v>
      </c>
      <c r="B31">
        <v>768</v>
      </c>
      <c r="C31">
        <v>125</v>
      </c>
      <c r="D31">
        <v>0.46923161888296799</v>
      </c>
      <c r="E31">
        <v>39.919337081672303</v>
      </c>
      <c r="F31">
        <v>2.5184692442350598</v>
      </c>
      <c r="G31">
        <v>-632.39787330405773</v>
      </c>
      <c r="H31">
        <v>-545.8942938609606</v>
      </c>
      <c r="I31">
        <v>83.084646249913206</v>
      </c>
      <c r="J31">
        <v>47.2820342506256</v>
      </c>
      <c r="K31">
        <v>15.850635132055</v>
      </c>
      <c r="L31">
        <v>2.7910666680274397E-5</v>
      </c>
      <c r="M31">
        <v>1.7937731786706409E-6</v>
      </c>
      <c r="N31" s="1">
        <v>-1.14945254800933E-7</v>
      </c>
      <c r="O31" s="1">
        <v>1.5247268901198201E-10</v>
      </c>
      <c r="P31" s="1">
        <v>6.4883764252131396E-10</v>
      </c>
      <c r="Q31">
        <v>65.772739514805906</v>
      </c>
      <c r="S31">
        <v>19.046627514830298</v>
      </c>
      <c r="AA31">
        <v>0.366493126771264</v>
      </c>
      <c r="AB31">
        <v>4.1691565326801401</v>
      </c>
      <c r="AC31">
        <v>10.644983310912201</v>
      </c>
      <c r="AJ31">
        <v>0.36650958210350998</v>
      </c>
      <c r="AK31">
        <v>1.78038430385597E-2</v>
      </c>
      <c r="AL31">
        <v>0.61568657485792999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6EA90-CF8B-429B-8E19-0E4709C87F8F}">
  <sheetPr codeName="Sheet11"/>
  <dimension ref="A1:AL9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741</v>
      </c>
      <c r="C2">
        <v>275</v>
      </c>
      <c r="D2">
        <v>0.29053936794360102</v>
      </c>
      <c r="E2">
        <v>0.63262060565075096</v>
      </c>
      <c r="F2">
        <v>2.5255482338050501</v>
      </c>
      <c r="G2">
        <v>-9.9242169509184812</v>
      </c>
      <c r="H2">
        <v>-8.6142164715716554</v>
      </c>
      <c r="I2">
        <v>1.2917226044932399</v>
      </c>
      <c r="J2">
        <v>0.74972299069999304</v>
      </c>
      <c r="K2">
        <v>0.25048842749584999</v>
      </c>
      <c r="L2">
        <v>2.8088837789024176E-5</v>
      </c>
      <c r="M2">
        <v>1.7834234634393749E-6</v>
      </c>
      <c r="N2" s="1">
        <v>-5.28692771966482E-9</v>
      </c>
      <c r="O2" s="1">
        <v>2.3991253752860299E-12</v>
      </c>
      <c r="P2" s="1">
        <v>2.02677652161688E-11</v>
      </c>
      <c r="Q2">
        <v>65.699666941258997</v>
      </c>
      <c r="S2">
        <v>18.913356022693399</v>
      </c>
      <c r="AA2">
        <v>0.273593267238469</v>
      </c>
      <c r="AB2">
        <v>3.6569296774127902</v>
      </c>
      <c r="AC2">
        <v>11.4564540913962</v>
      </c>
      <c r="AJ2">
        <v>0.32232068191157898</v>
      </c>
      <c r="AK2">
        <v>1.33256303030922E-2</v>
      </c>
      <c r="AL2">
        <v>0.664353687785328</v>
      </c>
    </row>
    <row r="3" spans="1:38" x14ac:dyDescent="0.2">
      <c r="A3">
        <v>19</v>
      </c>
      <c r="B3">
        <v>740</v>
      </c>
      <c r="C3">
        <v>275</v>
      </c>
      <c r="D3">
        <v>0.28977002418201098</v>
      </c>
      <c r="E3">
        <v>8.0981128513786995</v>
      </c>
      <c r="F3">
        <v>2.52578662188305</v>
      </c>
      <c r="G3">
        <v>-127.05511945527972</v>
      </c>
      <c r="H3">
        <v>-110.30635192418022</v>
      </c>
      <c r="I3">
        <v>16.531379885603801</v>
      </c>
      <c r="J3">
        <v>9.6026582198740105</v>
      </c>
      <c r="K3">
        <v>3.2061745759589502</v>
      </c>
      <c r="L3">
        <v>2.8151949178411476E-5</v>
      </c>
      <c r="M3">
        <v>1.7838969843503826E-6</v>
      </c>
      <c r="N3" s="1">
        <v>-7.1568155080999804E-8</v>
      </c>
      <c r="O3" s="1">
        <v>3.06613634081189E-11</v>
      </c>
      <c r="P3" s="1">
        <v>2.7062960435326602E-10</v>
      </c>
      <c r="Q3">
        <v>65.705220829434595</v>
      </c>
      <c r="S3">
        <v>18.9283801669113</v>
      </c>
      <c r="AA3">
        <v>0.28469241617388902</v>
      </c>
      <c r="AB3">
        <v>3.7086939667635299</v>
      </c>
      <c r="AC3">
        <v>11.373012620716599</v>
      </c>
      <c r="AJ3">
        <v>0.32679677967882698</v>
      </c>
      <c r="AK3">
        <v>1.3862560644721401E-2</v>
      </c>
      <c r="AL3">
        <v>0.65934065967644995</v>
      </c>
    </row>
    <row r="4" spans="1:38" x14ac:dyDescent="0.2">
      <c r="A4">
        <v>19</v>
      </c>
      <c r="B4">
        <v>740</v>
      </c>
      <c r="C4">
        <v>275</v>
      </c>
      <c r="D4">
        <v>0.28977002418201098</v>
      </c>
      <c r="E4">
        <v>3.3049090676702799</v>
      </c>
      <c r="F4">
        <v>2.5930095798373598</v>
      </c>
      <c r="G4">
        <v>-53.482858207391303</v>
      </c>
      <c r="H4">
        <v>-46.525803769962693</v>
      </c>
      <c r="I4">
        <v>6.8667565882925699</v>
      </c>
      <c r="J4">
        <v>4.0530164683262502</v>
      </c>
      <c r="K4">
        <v>1.27454564509459</v>
      </c>
      <c r="L4">
        <v>3.1229062818873437E-5</v>
      </c>
      <c r="M4">
        <v>1.7681668968209524E-6</v>
      </c>
      <c r="N4" s="1">
        <v>-7.75053931900205E-8</v>
      </c>
      <c r="O4" s="1">
        <v>1.0700330960715599E-11</v>
      </c>
      <c r="P4" s="1">
        <v>2.5192190151514898E-10</v>
      </c>
      <c r="Q4">
        <v>63.290518584622397</v>
      </c>
      <c r="S4">
        <v>22.793025357628199</v>
      </c>
      <c r="AA4">
        <v>4.0365020270494298</v>
      </c>
      <c r="AB4">
        <v>8.4593292909768891</v>
      </c>
      <c r="AC4">
        <v>1.42062473972303</v>
      </c>
      <c r="AJ4">
        <v>0.72771135077150295</v>
      </c>
      <c r="AK4">
        <v>0.19188418572037699</v>
      </c>
      <c r="AL4">
        <v>8.0404463508119001E-2</v>
      </c>
    </row>
    <row r="5" spans="1:38" x14ac:dyDescent="0.2">
      <c r="A5">
        <v>20</v>
      </c>
      <c r="B5">
        <v>739</v>
      </c>
      <c r="C5">
        <v>275</v>
      </c>
      <c r="D5">
        <v>0.28899916020352701</v>
      </c>
      <c r="E5">
        <v>31.5351644308539</v>
      </c>
      <c r="F5">
        <v>2.52581432546752</v>
      </c>
      <c r="G5">
        <v>-494.77239626954861</v>
      </c>
      <c r="H5">
        <v>-429.63929216834458</v>
      </c>
      <c r="I5">
        <v>64.351236576795998</v>
      </c>
      <c r="J5">
        <v>37.411180949498601</v>
      </c>
      <c r="K5">
        <v>12.4851475078306</v>
      </c>
      <c r="L5">
        <v>2.8205237087944568E-5</v>
      </c>
      <c r="M5">
        <v>1.7844625980026164E-6</v>
      </c>
      <c r="N5" s="1">
        <v>-2.9262649977474303E-7</v>
      </c>
      <c r="O5" s="1">
        <v>1.19269185427608E-10</v>
      </c>
      <c r="P5" s="1">
        <v>1.0937667666486901E-9</v>
      </c>
      <c r="Q5">
        <v>65.720070081902605</v>
      </c>
      <c r="S5">
        <v>18.9283928069047</v>
      </c>
      <c r="AA5">
        <v>0.28123797423673902</v>
      </c>
      <c r="AB5">
        <v>3.7418178670894702</v>
      </c>
      <c r="AC5">
        <v>11.3284812698663</v>
      </c>
      <c r="AJ5">
        <v>0.32965986422925297</v>
      </c>
      <c r="AK5">
        <v>1.3692040730689199E-2</v>
      </c>
      <c r="AL5">
        <v>0.65664809504005694</v>
      </c>
    </row>
    <row r="6" spans="1:38" x14ac:dyDescent="0.2">
      <c r="A6">
        <v>20</v>
      </c>
      <c r="B6">
        <v>739</v>
      </c>
      <c r="C6">
        <v>275</v>
      </c>
      <c r="D6">
        <v>0.28899916020352701</v>
      </c>
      <c r="E6">
        <v>15.8747945476055</v>
      </c>
      <c r="F6">
        <v>2.5920952813796601</v>
      </c>
      <c r="G6">
        <v>-256.84359764222427</v>
      </c>
      <c r="H6">
        <v>-223.47090876286686</v>
      </c>
      <c r="I6">
        <v>32.972078130077001</v>
      </c>
      <c r="J6">
        <v>19.4852598765642</v>
      </c>
      <c r="K6">
        <v>6.1243098051380596</v>
      </c>
      <c r="L6">
        <v>3.1366576954571803E-5</v>
      </c>
      <c r="M6">
        <v>1.7712579304318373E-6</v>
      </c>
      <c r="N6" s="1">
        <v>-3.8672847066231198E-7</v>
      </c>
      <c r="O6" s="1">
        <v>5.1394550138469498E-11</v>
      </c>
      <c r="P6" s="1">
        <v>1.2511550739675801E-9</v>
      </c>
      <c r="Q6">
        <v>63.410525152925501</v>
      </c>
      <c r="S6">
        <v>22.707554372763099</v>
      </c>
      <c r="AA6">
        <v>3.9379856972642</v>
      </c>
      <c r="AB6">
        <v>8.5026841951352399</v>
      </c>
      <c r="AC6">
        <v>1.4412505819119099</v>
      </c>
      <c r="AJ6">
        <v>0.731284610710915</v>
      </c>
      <c r="AK6">
        <v>0.18716097977230101</v>
      </c>
      <c r="AL6">
        <v>8.1554409516783499E-2</v>
      </c>
    </row>
    <row r="7" spans="1:38" x14ac:dyDescent="0.2">
      <c r="A7">
        <v>21</v>
      </c>
      <c r="B7">
        <v>738</v>
      </c>
      <c r="C7">
        <v>275</v>
      </c>
      <c r="D7">
        <v>0.28822677149780002</v>
      </c>
      <c r="E7">
        <v>37.796653013114501</v>
      </c>
      <c r="F7">
        <v>2.5258485241361401</v>
      </c>
      <c r="G7">
        <v>-592.93850492134447</v>
      </c>
      <c r="H7">
        <v>-514.99374923421908</v>
      </c>
      <c r="I7">
        <v>77.0852550928402</v>
      </c>
      <c r="J7">
        <v>44.850676504323701</v>
      </c>
      <c r="K7">
        <v>14.963942869868299</v>
      </c>
      <c r="L7">
        <v>2.8233337949494495E-5</v>
      </c>
      <c r="M7">
        <v>1.7846858876743468E-6</v>
      </c>
      <c r="N7" s="1">
        <v>-3.64356171120525E-7</v>
      </c>
      <c r="O7" s="1">
        <v>1.4284429740049701E-10</v>
      </c>
      <c r="P7" s="1">
        <v>1.3497522833644399E-9</v>
      </c>
      <c r="Q7">
        <v>65.723857288981506</v>
      </c>
      <c r="S7">
        <v>18.926310265422099</v>
      </c>
      <c r="AA7">
        <v>0.27863616319271201</v>
      </c>
      <c r="AB7">
        <v>3.7447978017574499</v>
      </c>
      <c r="AC7">
        <v>11.3263984806461</v>
      </c>
      <c r="AJ7">
        <v>0.32991740595004998</v>
      </c>
      <c r="AK7">
        <v>1.35651664563537E-2</v>
      </c>
      <c r="AL7">
        <v>0.65651742759359499</v>
      </c>
    </row>
    <row r="8" spans="1:38" x14ac:dyDescent="0.2">
      <c r="A8">
        <v>21</v>
      </c>
      <c r="B8">
        <v>738</v>
      </c>
      <c r="C8">
        <v>275</v>
      </c>
      <c r="D8">
        <v>0.28822677149780002</v>
      </c>
      <c r="E8">
        <v>19.297220798290802</v>
      </c>
      <c r="F8">
        <v>2.5919092756484998</v>
      </c>
      <c r="G8">
        <v>-312.17228085035401</v>
      </c>
      <c r="H8">
        <v>-271.66586626815899</v>
      </c>
      <c r="I8">
        <v>40.0597483876723</v>
      </c>
      <c r="J8">
        <v>23.702799945520599</v>
      </c>
      <c r="K8">
        <v>7.44517602509932</v>
      </c>
      <c r="L8">
        <v>3.1455787074528209E-5</v>
      </c>
      <c r="M8">
        <v>1.7723627590789935E-6</v>
      </c>
      <c r="N8" s="1">
        <v>-4.8650980656501504E-7</v>
      </c>
      <c r="O8" s="1">
        <v>6.2378202603553295E-11</v>
      </c>
      <c r="P8" s="1">
        <v>1.5674831530821201E-9</v>
      </c>
      <c r="Q8">
        <v>63.445385064701902</v>
      </c>
      <c r="S8">
        <v>22.6837507112579</v>
      </c>
      <c r="AA8">
        <v>3.9102133489449802</v>
      </c>
      <c r="AB8">
        <v>8.5179632460923393</v>
      </c>
      <c r="AC8">
        <v>1.4426876290027499</v>
      </c>
      <c r="AJ8">
        <v>0.73254341860898697</v>
      </c>
      <c r="AK8">
        <v>0.185827016135202</v>
      </c>
      <c r="AL8">
        <v>8.1629565255810499E-2</v>
      </c>
    </row>
    <row r="9" spans="1:38" x14ac:dyDescent="0.2">
      <c r="A9">
        <v>37</v>
      </c>
      <c r="B9">
        <v>744</v>
      </c>
      <c r="C9">
        <v>250</v>
      </c>
      <c r="D9">
        <v>0.31987464975667701</v>
      </c>
      <c r="E9">
        <v>5.0667267997470304</v>
      </c>
      <c r="F9">
        <v>2.5245481039745701</v>
      </c>
      <c r="G9">
        <v>-79.635404914347774</v>
      </c>
      <c r="H9">
        <v>-69.080376333998601</v>
      </c>
      <c r="I9">
        <v>10.3770619676047</v>
      </c>
      <c r="J9">
        <v>6.0079782161693398</v>
      </c>
      <c r="K9">
        <v>2.0069836624503701</v>
      </c>
      <c r="L9">
        <v>2.8144224362092734E-5</v>
      </c>
      <c r="M9">
        <v>1.7862721910237916E-6</v>
      </c>
      <c r="N9" s="1">
        <v>-3.9340681473232003E-8</v>
      </c>
      <c r="O9" s="1">
        <v>1.9209036904177301E-11</v>
      </c>
      <c r="P9" s="1">
        <v>1.5386744897629799E-10</v>
      </c>
      <c r="Q9">
        <v>65.741280822085599</v>
      </c>
      <c r="S9">
        <v>18.9498499239218</v>
      </c>
      <c r="AA9">
        <v>0.293991079226885</v>
      </c>
      <c r="AB9">
        <v>3.8453374861887499</v>
      </c>
      <c r="AC9">
        <v>11.1695406885768</v>
      </c>
      <c r="AJ9">
        <v>0.33860124066881198</v>
      </c>
      <c r="AK9">
        <v>1.4305367733092799E-2</v>
      </c>
      <c r="AL9">
        <v>0.64709339159809398</v>
      </c>
    </row>
    <row r="10" spans="1:38" x14ac:dyDescent="0.2">
      <c r="A10">
        <v>37</v>
      </c>
      <c r="B10">
        <v>744</v>
      </c>
      <c r="C10">
        <v>250</v>
      </c>
      <c r="D10">
        <v>0.31987464975667701</v>
      </c>
      <c r="E10">
        <v>2.8643921103527998</v>
      </c>
      <c r="F10">
        <v>2.5899188834782501</v>
      </c>
      <c r="G10">
        <v>-46.394630187899523</v>
      </c>
      <c r="H10">
        <v>-40.324184204066576</v>
      </c>
      <c r="I10">
        <v>5.96809318569822</v>
      </c>
      <c r="J10">
        <v>3.5048559089217401</v>
      </c>
      <c r="K10">
        <v>1.10597753799375</v>
      </c>
      <c r="L10">
        <v>3.1029348292666264E-5</v>
      </c>
      <c r="M10">
        <v>1.7725078336173821E-6</v>
      </c>
      <c r="N10" s="1">
        <v>-5.80605961044498E-8</v>
      </c>
      <c r="O10" s="1">
        <v>9.3831209544771808E-12</v>
      </c>
      <c r="P10" s="1">
        <v>1.92321287947981E-10</v>
      </c>
      <c r="Q10">
        <v>63.4651221068141</v>
      </c>
      <c r="S10">
        <v>22.660802461727499</v>
      </c>
      <c r="AA10">
        <v>3.8866754391568898</v>
      </c>
      <c r="AB10">
        <v>8.5017843665615693</v>
      </c>
      <c r="AC10">
        <v>1.4856156257398001</v>
      </c>
      <c r="AJ10">
        <v>0.731211302548189</v>
      </c>
      <c r="AK10">
        <v>0.18472338420924</v>
      </c>
      <c r="AL10">
        <v>8.4065313242569301E-2</v>
      </c>
    </row>
    <row r="11" spans="1:38" x14ac:dyDescent="0.2">
      <c r="A11">
        <v>38</v>
      </c>
      <c r="B11">
        <v>743</v>
      </c>
      <c r="C11">
        <v>250</v>
      </c>
      <c r="D11">
        <v>0.31913644639078897</v>
      </c>
      <c r="E11">
        <v>12.8527226552771</v>
      </c>
      <c r="F11">
        <v>2.52458169106009</v>
      </c>
      <c r="G11">
        <v>-201.96684566337871</v>
      </c>
      <c r="H11">
        <v>-175.236614980746</v>
      </c>
      <c r="I11">
        <v>26.3053984969076</v>
      </c>
      <c r="J11">
        <v>15.241324034635401</v>
      </c>
      <c r="K11">
        <v>5.0910306055020902</v>
      </c>
      <c r="L11">
        <v>2.8150486664943594E-5</v>
      </c>
      <c r="M11">
        <v>1.7862429656254007E-6</v>
      </c>
      <c r="N11" s="1">
        <v>-1.0297113885204399E-7</v>
      </c>
      <c r="O11" s="1">
        <v>4.8708787874194402E-11</v>
      </c>
      <c r="P11" s="1">
        <v>3.9936120195550002E-10</v>
      </c>
      <c r="Q11">
        <v>65.737399302842704</v>
      </c>
      <c r="S11">
        <v>18.9461839350923</v>
      </c>
      <c r="AA11">
        <v>0.29187230035738598</v>
      </c>
      <c r="AB11">
        <v>3.8270768623470701</v>
      </c>
      <c r="AC11">
        <v>11.197467599360399</v>
      </c>
      <c r="AJ11">
        <v>0.33702468724540102</v>
      </c>
      <c r="AK11">
        <v>1.4203592405307001E-2</v>
      </c>
      <c r="AL11">
        <v>0.64877172034929098</v>
      </c>
    </row>
    <row r="12" spans="1:38" x14ac:dyDescent="0.2">
      <c r="A12">
        <v>38</v>
      </c>
      <c r="B12">
        <v>743</v>
      </c>
      <c r="C12">
        <v>250</v>
      </c>
      <c r="D12">
        <v>0.31913644639078897</v>
      </c>
      <c r="E12">
        <v>6.5136985638522802</v>
      </c>
      <c r="F12">
        <v>2.5902373652127202</v>
      </c>
      <c r="G12">
        <v>-105.493456430892</v>
      </c>
      <c r="H12">
        <v>-91.711241265321163</v>
      </c>
      <c r="I12">
        <v>13.5631699705465</v>
      </c>
      <c r="J12">
        <v>7.9738386586451702</v>
      </c>
      <c r="K12">
        <v>2.5147110652221301</v>
      </c>
      <c r="L12">
        <v>3.1073126959470056E-5</v>
      </c>
      <c r="M12">
        <v>1.772214974192533E-6</v>
      </c>
      <c r="N12" s="1">
        <v>-1.3626682296657799E-7</v>
      </c>
      <c r="O12" s="1">
        <v>2.1291420342962301E-11</v>
      </c>
      <c r="P12" s="1">
        <v>4.4942211639912699E-10</v>
      </c>
      <c r="Q12">
        <v>63.441435108092101</v>
      </c>
      <c r="S12">
        <v>22.679542011931701</v>
      </c>
      <c r="AA12">
        <v>3.9076627972827001</v>
      </c>
      <c r="AB12">
        <v>8.4981273271236404</v>
      </c>
      <c r="AC12">
        <v>1.47323275556977</v>
      </c>
      <c r="AJ12">
        <v>0.73090975036452999</v>
      </c>
      <c r="AK12">
        <v>0.185724155458629</v>
      </c>
      <c r="AL12">
        <v>8.3366094176840599E-2</v>
      </c>
    </row>
    <row r="13" spans="1:38" x14ac:dyDescent="0.2">
      <c r="A13">
        <v>39</v>
      </c>
      <c r="B13">
        <v>742</v>
      </c>
      <c r="C13">
        <v>250</v>
      </c>
      <c r="D13">
        <v>0.318396788651924</v>
      </c>
      <c r="E13">
        <v>36.758896417132</v>
      </c>
      <c r="F13">
        <v>2.5246159615272199</v>
      </c>
      <c r="G13">
        <v>-577.51130152732617</v>
      </c>
      <c r="H13">
        <v>-501.18850314357366</v>
      </c>
      <c r="I13">
        <v>75.183764353792498</v>
      </c>
      <c r="J13">
        <v>43.594344699944998</v>
      </c>
      <c r="K13">
        <v>14.5601933035769</v>
      </c>
      <c r="L13">
        <v>2.8160336528637671E-5</v>
      </c>
      <c r="M13">
        <v>1.7862566726872115E-6</v>
      </c>
      <c r="N13" s="1">
        <v>-3.0423212078190202E-7</v>
      </c>
      <c r="O13" s="1">
        <v>1.3924616553424301E-10</v>
      </c>
      <c r="P13" s="1">
        <v>1.1699061064245201E-9</v>
      </c>
      <c r="Q13">
        <v>65.734821222045994</v>
      </c>
      <c r="S13">
        <v>18.942800713226099</v>
      </c>
      <c r="AA13">
        <v>0.28968266758557698</v>
      </c>
      <c r="AB13">
        <v>3.81246219155156</v>
      </c>
      <c r="AC13">
        <v>11.2202332055907</v>
      </c>
      <c r="AJ13">
        <v>0.33576270373129902</v>
      </c>
      <c r="AK13">
        <v>1.40980877484522E-2</v>
      </c>
      <c r="AL13">
        <v>0.65013920852024798</v>
      </c>
    </row>
    <row r="14" spans="1:38" x14ac:dyDescent="0.2">
      <c r="A14">
        <v>39</v>
      </c>
      <c r="B14">
        <v>742</v>
      </c>
      <c r="C14">
        <v>250</v>
      </c>
      <c r="D14">
        <v>0.318396788651924</v>
      </c>
      <c r="E14">
        <v>18.4627453434153</v>
      </c>
      <c r="F14">
        <v>2.5904711676666601</v>
      </c>
      <c r="G14">
        <v>-298.98726938513789</v>
      </c>
      <c r="H14">
        <v>-259.98428898186916</v>
      </c>
      <c r="I14">
        <v>38.420903712031397</v>
      </c>
      <c r="J14">
        <v>22.612802672693</v>
      </c>
      <c r="K14">
        <v>7.12717654373487</v>
      </c>
      <c r="L14">
        <v>3.1124185905902775E-5</v>
      </c>
      <c r="M14">
        <v>1.7721525373272679E-6</v>
      </c>
      <c r="N14" s="1">
        <v>-3.98818408897811E-7</v>
      </c>
      <c r="O14" s="1">
        <v>6.0225698586664905E-11</v>
      </c>
      <c r="P14" s="1">
        <v>1.30970187607933E-9</v>
      </c>
      <c r="Q14">
        <v>63.427457052171498</v>
      </c>
      <c r="S14">
        <v>22.691199313813101</v>
      </c>
      <c r="AA14">
        <v>3.92054177895292</v>
      </c>
      <c r="AB14">
        <v>8.4975391114129799</v>
      </c>
      <c r="AC14">
        <v>1.4632627436493</v>
      </c>
      <c r="AJ14">
        <v>0.73086109687831902</v>
      </c>
      <c r="AK14">
        <v>0.18633676429197099</v>
      </c>
      <c r="AL14">
        <v>8.2802138829708299E-2</v>
      </c>
    </row>
    <row r="15" spans="1:38" x14ac:dyDescent="0.2">
      <c r="A15">
        <v>40</v>
      </c>
      <c r="B15">
        <v>741</v>
      </c>
      <c r="C15">
        <v>250</v>
      </c>
      <c r="D15">
        <v>0.31765567223783697</v>
      </c>
      <c r="E15">
        <v>39.1246051218478</v>
      </c>
      <c r="F15">
        <v>2.5246505893233602</v>
      </c>
      <c r="G15">
        <v>-614.56634142770895</v>
      </c>
      <c r="H15">
        <v>-533.46352735935159</v>
      </c>
      <c r="I15">
        <v>79.971221287144303</v>
      </c>
      <c r="J15">
        <v>46.405886502658802</v>
      </c>
      <c r="K15">
        <v>15.4970376048487</v>
      </c>
      <c r="L15">
        <v>2.8174267653620819E-5</v>
      </c>
      <c r="M15">
        <v>1.7863188603359514E-6</v>
      </c>
      <c r="N15" s="1">
        <v>-3.3496131318131601E-7</v>
      </c>
      <c r="O15" s="1">
        <v>1.4813251507737101E-10</v>
      </c>
      <c r="P15" s="1">
        <v>1.2769649765852801E-9</v>
      </c>
      <c r="Q15">
        <v>65.733721939428804</v>
      </c>
      <c r="S15">
        <v>18.939729965888599</v>
      </c>
      <c r="AA15">
        <v>0.28740577216082203</v>
      </c>
      <c r="AB15">
        <v>3.8019621358109199</v>
      </c>
      <c r="AC15">
        <v>11.237180186710701</v>
      </c>
      <c r="AJ15">
        <v>0.33485590812872201</v>
      </c>
      <c r="AK15">
        <v>1.3988026777666199E-2</v>
      </c>
      <c r="AL15">
        <v>0.65115606509361101</v>
      </c>
    </row>
    <row r="16" spans="1:38" x14ac:dyDescent="0.2">
      <c r="A16">
        <v>40</v>
      </c>
      <c r="B16">
        <v>741</v>
      </c>
      <c r="C16">
        <v>250</v>
      </c>
      <c r="D16">
        <v>0.31765567223783697</v>
      </c>
      <c r="E16">
        <v>19.674584457154399</v>
      </c>
      <c r="F16">
        <v>2.5906081893347999</v>
      </c>
      <c r="G16">
        <v>-318.57813632719478</v>
      </c>
      <c r="H16">
        <v>-277.08030744414691</v>
      </c>
      <c r="I16">
        <v>40.918827474286701</v>
      </c>
      <c r="J16">
        <v>24.1101721975899</v>
      </c>
      <c r="K16">
        <v>7.5945812794663903</v>
      </c>
      <c r="L16">
        <v>3.1183542248531873E-5</v>
      </c>
      <c r="M16">
        <v>1.7723556317833819E-6</v>
      </c>
      <c r="N16" s="1">
        <v>-4.3906679338901601E-7</v>
      </c>
      <c r="O16" s="1">
        <v>6.4055317236693494E-11</v>
      </c>
      <c r="P16" s="1">
        <v>1.4357309349119899E-9</v>
      </c>
      <c r="Q16">
        <v>63.424654557013803</v>
      </c>
      <c r="S16">
        <v>22.694724245219302</v>
      </c>
      <c r="AA16">
        <v>3.9241038073878798</v>
      </c>
      <c r="AB16">
        <v>8.5005349671712196</v>
      </c>
      <c r="AC16">
        <v>1.4559824232077401</v>
      </c>
      <c r="AJ16">
        <v>0.73110780495704197</v>
      </c>
      <c r="AK16">
        <v>0.186503265362673</v>
      </c>
      <c r="AL16">
        <v>8.2388929680284495E-2</v>
      </c>
    </row>
    <row r="17" spans="1:38" x14ac:dyDescent="0.2">
      <c r="A17">
        <v>50</v>
      </c>
      <c r="B17">
        <v>750</v>
      </c>
      <c r="C17">
        <v>225</v>
      </c>
      <c r="D17">
        <v>0.35115134633240402</v>
      </c>
      <c r="E17">
        <v>0.38992732181226097</v>
      </c>
      <c r="F17">
        <v>2.5883544809138499</v>
      </c>
      <c r="G17">
        <v>-6.3252130913968063</v>
      </c>
      <c r="H17">
        <v>-5.4909398279283126</v>
      </c>
      <c r="I17">
        <v>0.81539682692517601</v>
      </c>
      <c r="J17">
        <v>0.47583424738183799</v>
      </c>
      <c r="K17">
        <v>0.150646800771505</v>
      </c>
      <c r="L17">
        <v>3.0724099459114914E-5</v>
      </c>
      <c r="M17">
        <v>1.7733365151433447E-6</v>
      </c>
      <c r="N17" s="1">
        <v>-6.4150938719334798E-9</v>
      </c>
      <c r="O17" s="1">
        <v>1.2897477044265499E-12</v>
      </c>
      <c r="P17" s="1">
        <v>2.1917470394043101E-11</v>
      </c>
      <c r="Q17">
        <v>63.4886811188804</v>
      </c>
      <c r="S17">
        <v>22.656019670179099</v>
      </c>
      <c r="AA17">
        <v>3.8772324137642298</v>
      </c>
      <c r="AB17">
        <v>8.5417456519182</v>
      </c>
      <c r="AC17">
        <v>1.4363211452578799</v>
      </c>
      <c r="AJ17">
        <v>0.73450225963848603</v>
      </c>
      <c r="AK17">
        <v>0.18423796418101701</v>
      </c>
      <c r="AL17">
        <v>8.1259776180495596E-2</v>
      </c>
    </row>
    <row r="18" spans="1:38" x14ac:dyDescent="0.2">
      <c r="A18">
        <v>51</v>
      </c>
      <c r="B18">
        <v>749</v>
      </c>
      <c r="C18">
        <v>225</v>
      </c>
      <c r="D18">
        <v>0.350448075135744</v>
      </c>
      <c r="E18">
        <v>1.25471778770105</v>
      </c>
      <c r="F18">
        <v>2.5871786838237298</v>
      </c>
      <c r="G18">
        <v>-20.345418928658088</v>
      </c>
      <c r="H18">
        <v>-17.664488570432912</v>
      </c>
      <c r="I18">
        <v>2.6228345724455</v>
      </c>
      <c r="J18">
        <v>1.53178206694556</v>
      </c>
      <c r="K18">
        <v>0.48497531134828398</v>
      </c>
      <c r="L18">
        <v>3.0809972481931201E-5</v>
      </c>
      <c r="M18">
        <v>1.7759997609047214E-6</v>
      </c>
      <c r="N18" s="1">
        <v>-2.1328803212983899E-8</v>
      </c>
      <c r="O18" s="1">
        <v>4.1553849282863296E-12</v>
      </c>
      <c r="P18" s="1">
        <v>7.2485740461435399E-11</v>
      </c>
      <c r="Q18">
        <v>63.603627074339599</v>
      </c>
      <c r="S18">
        <v>22.560670990780999</v>
      </c>
      <c r="AA18">
        <v>3.7717477096738601</v>
      </c>
      <c r="AB18">
        <v>8.5479275912869692</v>
      </c>
      <c r="AC18">
        <v>1.5160266339183901</v>
      </c>
      <c r="AJ18">
        <v>0.73501289213172005</v>
      </c>
      <c r="AK18">
        <v>0.17922044348668101</v>
      </c>
      <c r="AL18">
        <v>8.5766664381598107E-2</v>
      </c>
    </row>
    <row r="19" spans="1:38" x14ac:dyDescent="0.2">
      <c r="A19">
        <v>52</v>
      </c>
      <c r="B19">
        <v>748</v>
      </c>
      <c r="C19">
        <v>225</v>
      </c>
      <c r="D19">
        <v>0.34974342652891699</v>
      </c>
      <c r="E19">
        <v>3.67023752223202</v>
      </c>
      <c r="F19">
        <v>2.58682306015496</v>
      </c>
      <c r="G19">
        <v>-59.498441162128827</v>
      </c>
      <c r="H19">
        <v>-51.66806755995453</v>
      </c>
      <c r="I19">
        <v>7.6681913550157104</v>
      </c>
      <c r="J19">
        <v>4.48225272557998</v>
      </c>
      <c r="K19">
        <v>1.41882047472243</v>
      </c>
      <c r="L19">
        <v>3.086036532931417E-5</v>
      </c>
      <c r="M19">
        <v>1.7768383820643791E-6</v>
      </c>
      <c r="N19" s="1">
        <v>-6.4340964020134696E-8</v>
      </c>
      <c r="O19" s="1">
        <v>1.2149581251139001E-11</v>
      </c>
      <c r="P19" s="1">
        <v>2.17605833426609E-10</v>
      </c>
      <c r="Q19">
        <v>63.6362054558696</v>
      </c>
      <c r="S19">
        <v>22.5300971930237</v>
      </c>
      <c r="AA19">
        <v>3.7389222935184301</v>
      </c>
      <c r="AB19">
        <v>8.5403735820578106</v>
      </c>
      <c r="AC19">
        <v>1.5544014755303199</v>
      </c>
      <c r="AJ19">
        <v>0.73439147577181196</v>
      </c>
      <c r="AK19">
        <v>0.17766749879603799</v>
      </c>
      <c r="AL19">
        <v>8.7941025432149295E-2</v>
      </c>
    </row>
    <row r="20" spans="1:38" x14ac:dyDescent="0.2">
      <c r="A20">
        <v>52</v>
      </c>
      <c r="B20">
        <v>748</v>
      </c>
      <c r="C20">
        <v>225</v>
      </c>
      <c r="D20">
        <v>0.34974342652891699</v>
      </c>
      <c r="E20">
        <v>4.4809238612165601</v>
      </c>
      <c r="F20">
        <v>2.5233490778625902</v>
      </c>
      <c r="G20">
        <v>-70.554333770842732</v>
      </c>
      <c r="H20">
        <v>-61.152304729041454</v>
      </c>
      <c r="I20">
        <v>9.2072947576764097</v>
      </c>
      <c r="J20">
        <v>5.3138662336317601</v>
      </c>
      <c r="K20">
        <v>1.7757843734455201</v>
      </c>
      <c r="L20">
        <v>2.8147055852608837E-5</v>
      </c>
      <c r="M20">
        <v>1.7887054952565875E-6</v>
      </c>
      <c r="N20" s="1">
        <v>-3.05546531683829E-8</v>
      </c>
      <c r="O20" s="1">
        <v>1.70054687356262E-11</v>
      </c>
      <c r="P20" s="1">
        <v>1.239813347113E-10</v>
      </c>
      <c r="Q20">
        <v>65.777800590104405</v>
      </c>
      <c r="S20">
        <v>18.972293680424599</v>
      </c>
      <c r="AA20">
        <v>0.30398601953734899</v>
      </c>
      <c r="AB20">
        <v>3.9855590566661898</v>
      </c>
      <c r="AC20">
        <v>10.960360653267401</v>
      </c>
      <c r="AJ20">
        <v>0.35069771317048798</v>
      </c>
      <c r="AK20">
        <v>1.4781145300570699E-2</v>
      </c>
      <c r="AL20">
        <v>0.63452114152894001</v>
      </c>
    </row>
    <row r="21" spans="1:38" x14ac:dyDescent="0.2">
      <c r="A21">
        <v>53</v>
      </c>
      <c r="B21">
        <v>747</v>
      </c>
      <c r="C21">
        <v>225</v>
      </c>
      <c r="D21">
        <v>0.34903739646130499</v>
      </c>
      <c r="E21">
        <v>7.0004379723186201</v>
      </c>
      <c r="F21">
        <v>2.5874848806927702</v>
      </c>
      <c r="G21">
        <v>-113.47931433011087</v>
      </c>
      <c r="H21">
        <v>-98.568876344760568</v>
      </c>
      <c r="I21">
        <v>14.6159270551882</v>
      </c>
      <c r="J21">
        <v>8.5519921822293394</v>
      </c>
      <c r="K21">
        <v>2.7054990831267398</v>
      </c>
      <c r="L21">
        <v>3.0875995981611317E-5</v>
      </c>
      <c r="M21">
        <v>1.7756440661123002E-6</v>
      </c>
      <c r="N21" s="1">
        <v>-1.2642444316170599E-7</v>
      </c>
      <c r="O21" s="1">
        <v>2.31137556220441E-11</v>
      </c>
      <c r="P21" s="1">
        <v>4.2565153801045998E-10</v>
      </c>
      <c r="Q21">
        <v>63.574216236380202</v>
      </c>
      <c r="S21">
        <v>22.577027738230601</v>
      </c>
      <c r="AA21">
        <v>3.7921048107653998</v>
      </c>
      <c r="AB21">
        <v>8.5252684558017506</v>
      </c>
      <c r="AC21">
        <v>1.53138275882195</v>
      </c>
      <c r="AJ21">
        <v>0.73314686472337398</v>
      </c>
      <c r="AK21">
        <v>0.180207989232055</v>
      </c>
      <c r="AL21">
        <v>8.6645146044569396E-2</v>
      </c>
    </row>
    <row r="22" spans="1:38" x14ac:dyDescent="0.2">
      <c r="A22">
        <v>53</v>
      </c>
      <c r="B22">
        <v>747</v>
      </c>
      <c r="C22">
        <v>225</v>
      </c>
      <c r="D22">
        <v>0.34903739646130499</v>
      </c>
      <c r="E22">
        <v>12.271840360875901</v>
      </c>
      <c r="F22">
        <v>2.52337336595849</v>
      </c>
      <c r="G22">
        <v>-193.1714541976917</v>
      </c>
      <c r="H22">
        <v>-167.46728487507755</v>
      </c>
      <c r="I22">
        <v>25.196460640703901</v>
      </c>
      <c r="J22">
        <v>14.5521123494063</v>
      </c>
      <c r="K22">
        <v>4.8632677694188704</v>
      </c>
      <c r="L22">
        <v>2.8138885226196257E-5</v>
      </c>
      <c r="M22">
        <v>1.7884948548784389E-6</v>
      </c>
      <c r="N22" s="1">
        <v>-8.5904487057569804E-8</v>
      </c>
      <c r="O22" s="1">
        <v>4.6565600894789399E-11</v>
      </c>
      <c r="P22" s="1">
        <v>3.4587603305558202E-10</v>
      </c>
      <c r="Q22">
        <v>65.768464050267696</v>
      </c>
      <c r="S22">
        <v>18.967335073645799</v>
      </c>
      <c r="AA22">
        <v>0.30207367210503799</v>
      </c>
      <c r="AB22">
        <v>3.9517534459120802</v>
      </c>
      <c r="AC22">
        <v>11.0103737580692</v>
      </c>
      <c r="AJ22">
        <v>0.347782987513373</v>
      </c>
      <c r="AK22">
        <v>1.4690688784762601E-2</v>
      </c>
      <c r="AL22">
        <v>0.63752632370186302</v>
      </c>
    </row>
    <row r="23" spans="1:38" x14ac:dyDescent="0.2">
      <c r="A23">
        <v>54</v>
      </c>
      <c r="B23">
        <v>746</v>
      </c>
      <c r="C23">
        <v>225</v>
      </c>
      <c r="D23">
        <v>0.34832998086640898</v>
      </c>
      <c r="E23">
        <v>18.013457934821702</v>
      </c>
      <c r="F23">
        <v>2.5889701062452399</v>
      </c>
      <c r="G23">
        <v>-292.01658092958803</v>
      </c>
      <c r="H23">
        <v>-253.71993906021146</v>
      </c>
      <c r="I23">
        <v>37.577041524188203</v>
      </c>
      <c r="J23">
        <v>22.009138098191102</v>
      </c>
      <c r="K23">
        <v>6.9577697677423096</v>
      </c>
      <c r="L23">
        <v>3.0839031470631169E-5</v>
      </c>
      <c r="M23">
        <v>1.7722478875485113E-6</v>
      </c>
      <c r="N23" s="1">
        <v>-3.33753761358375E-7</v>
      </c>
      <c r="O23" s="1">
        <v>5.9224564640006004E-11</v>
      </c>
      <c r="P23" s="1">
        <v>1.1194108785004199E-9</v>
      </c>
      <c r="Q23">
        <v>63.417439564009101</v>
      </c>
      <c r="S23">
        <v>22.692929910994302</v>
      </c>
      <c r="AA23">
        <v>3.9243069832622002</v>
      </c>
      <c r="AB23">
        <v>8.47975266166263</v>
      </c>
      <c r="AC23">
        <v>1.48557088007166</v>
      </c>
      <c r="AJ23">
        <v>0.72939584332836505</v>
      </c>
      <c r="AK23">
        <v>0.18653222158389701</v>
      </c>
      <c r="AL23">
        <v>8.4071935087737998E-2</v>
      </c>
    </row>
    <row r="24" spans="1:38" x14ac:dyDescent="0.2">
      <c r="A24">
        <v>54</v>
      </c>
      <c r="B24">
        <v>746</v>
      </c>
      <c r="C24">
        <v>225</v>
      </c>
      <c r="D24">
        <v>0.34832998086640898</v>
      </c>
      <c r="E24">
        <v>36.386143848750798</v>
      </c>
      <c r="F24">
        <v>2.5233955047875498</v>
      </c>
      <c r="G24">
        <v>-572.50693484800024</v>
      </c>
      <c r="H24">
        <v>-496.44331708480132</v>
      </c>
      <c r="I24">
        <v>74.634369585634005</v>
      </c>
      <c r="J24">
        <v>43.134609014474101</v>
      </c>
      <c r="K24">
        <v>14.4195167898637</v>
      </c>
      <c r="L24">
        <v>2.8102270883196648E-5</v>
      </c>
      <c r="M24">
        <v>1.7878862299175986E-6</v>
      </c>
      <c r="N24" s="1">
        <v>-2.58249853764421E-7</v>
      </c>
      <c r="O24" s="1">
        <v>1.3809978511554301E-10</v>
      </c>
      <c r="P24" s="1">
        <v>1.0353234112754399E-9</v>
      </c>
      <c r="Q24">
        <v>65.746366321765393</v>
      </c>
      <c r="S24">
        <v>18.959768256871701</v>
      </c>
      <c r="AA24">
        <v>0.30098717363911598</v>
      </c>
      <c r="AB24">
        <v>3.8826724488510802</v>
      </c>
      <c r="AC24">
        <v>11.110205798872499</v>
      </c>
      <c r="AJ24">
        <v>0.34182366680363901</v>
      </c>
      <c r="AK24">
        <v>1.4643003081286601E-2</v>
      </c>
      <c r="AL24">
        <v>0.64353333011507297</v>
      </c>
    </row>
    <row r="25" spans="1:38" x14ac:dyDescent="0.2">
      <c r="A25">
        <v>55</v>
      </c>
      <c r="B25">
        <v>745</v>
      </c>
      <c r="C25">
        <v>225</v>
      </c>
      <c r="D25">
        <v>0.347621175661739</v>
      </c>
      <c r="E25">
        <v>19.2571099295191</v>
      </c>
      <c r="F25">
        <v>2.5892555681379101</v>
      </c>
      <c r="G25">
        <v>-312.14941317475518</v>
      </c>
      <c r="H25">
        <v>-271.27392660487681</v>
      </c>
      <c r="I25">
        <v>40.146821755024597</v>
      </c>
      <c r="J25">
        <v>23.538670869415</v>
      </c>
      <c r="K25">
        <v>7.4373152524947796</v>
      </c>
      <c r="L25">
        <v>3.0880371586260015E-5</v>
      </c>
      <c r="M25">
        <v>1.7720275827988063E-6</v>
      </c>
      <c r="N25" s="1">
        <v>-3.6825925581649602E-7</v>
      </c>
      <c r="O25" s="1">
        <v>6.3190208014687E-11</v>
      </c>
      <c r="P25" s="1">
        <v>1.22945066205956E-9</v>
      </c>
      <c r="Q25">
        <v>63.397481287138099</v>
      </c>
      <c r="S25">
        <v>22.708951271744599</v>
      </c>
      <c r="AA25">
        <v>3.9421817609874501</v>
      </c>
      <c r="AB25">
        <v>8.4772787919015293</v>
      </c>
      <c r="AC25">
        <v>1.47410688822822</v>
      </c>
      <c r="AJ25">
        <v>0.72919175242399203</v>
      </c>
      <c r="AK25">
        <v>0.187384091081534</v>
      </c>
      <c r="AL25">
        <v>8.34241564944736E-2</v>
      </c>
    </row>
    <row r="26" spans="1:38" x14ac:dyDescent="0.2">
      <c r="A26">
        <v>55</v>
      </c>
      <c r="B26">
        <v>745</v>
      </c>
      <c r="C26">
        <v>225</v>
      </c>
      <c r="D26">
        <v>0.347621175661739</v>
      </c>
      <c r="E26">
        <v>39.037219909710799</v>
      </c>
      <c r="F26">
        <v>2.5234271627947802</v>
      </c>
      <c r="G26">
        <v>-614.09049881059366</v>
      </c>
      <c r="H26">
        <v>-532.61986993902451</v>
      </c>
      <c r="I26">
        <v>80.018296784922597</v>
      </c>
      <c r="J26">
        <v>46.279930625812</v>
      </c>
      <c r="K26">
        <v>15.4699214169018</v>
      </c>
      <c r="L26">
        <v>2.8108305221661157E-5</v>
      </c>
      <c r="M26">
        <v>1.7878697356296596E-6</v>
      </c>
      <c r="N26" s="1">
        <v>-2.8609179690122002E-7</v>
      </c>
      <c r="O26" s="1">
        <v>1.4810890014311701E-10</v>
      </c>
      <c r="P26" s="1">
        <v>1.1365343627012199E-9</v>
      </c>
      <c r="Q26">
        <v>65.743055635615093</v>
      </c>
      <c r="S26">
        <v>18.9561491983089</v>
      </c>
      <c r="AA26">
        <v>0.29877391662175701</v>
      </c>
      <c r="AB26">
        <v>3.8658069297447999</v>
      </c>
      <c r="AC26">
        <v>11.1362143197093</v>
      </c>
      <c r="AJ26">
        <v>0.34036812818614898</v>
      </c>
      <c r="AK26">
        <v>1.4536578459591699E-2</v>
      </c>
      <c r="AL26">
        <v>0.64509529335425797</v>
      </c>
    </row>
    <row r="27" spans="1:38" x14ac:dyDescent="0.2">
      <c r="A27">
        <v>59</v>
      </c>
      <c r="B27">
        <v>756</v>
      </c>
      <c r="C27">
        <v>200</v>
      </c>
      <c r="D27">
        <v>0.38206335325268598</v>
      </c>
      <c r="E27">
        <v>0.31915913425201498</v>
      </c>
      <c r="F27">
        <v>2.5867857101701901</v>
      </c>
      <c r="G27">
        <v>-5.1849893214304359</v>
      </c>
      <c r="H27">
        <v>-4.4956518993956296</v>
      </c>
      <c r="I27">
        <v>0.66981239084176702</v>
      </c>
      <c r="J27">
        <v>0.38865686270314198</v>
      </c>
      <c r="K27">
        <v>0.123380585023804</v>
      </c>
      <c r="L27">
        <v>3.0473035009994481E-5</v>
      </c>
      <c r="M27">
        <v>1.7742448616972302E-6</v>
      </c>
      <c r="N27" s="1">
        <v>-4.26883033904321E-9</v>
      </c>
      <c r="O27" s="1">
        <v>1.06397180163624E-12</v>
      </c>
      <c r="P27" s="1">
        <v>1.5113165606766601E-11</v>
      </c>
      <c r="Q27">
        <v>63.509558992940697</v>
      </c>
      <c r="S27">
        <v>22.651703103084898</v>
      </c>
      <c r="AA27">
        <v>3.8687996352202401</v>
      </c>
      <c r="AB27">
        <v>8.5769544330052003</v>
      </c>
      <c r="AC27">
        <v>1.39298383574879</v>
      </c>
      <c r="AJ27">
        <v>0.73740074885718598</v>
      </c>
      <c r="AK27">
        <v>0.18380507570021201</v>
      </c>
      <c r="AL27">
        <v>7.8794175442600894E-2</v>
      </c>
    </row>
    <row r="28" spans="1:38" x14ac:dyDescent="0.2">
      <c r="A28">
        <v>60</v>
      </c>
      <c r="B28">
        <v>755</v>
      </c>
      <c r="C28">
        <v>200</v>
      </c>
      <c r="D28">
        <v>0.38139425181150599</v>
      </c>
      <c r="E28">
        <v>1.16115707396593</v>
      </c>
      <c r="F28">
        <v>2.5857007614942198</v>
      </c>
      <c r="G28">
        <v>-18.856950418870035</v>
      </c>
      <c r="H28">
        <v>-16.352391266613125</v>
      </c>
      <c r="I28">
        <v>2.4359861423497602</v>
      </c>
      <c r="J28">
        <v>1.41446894948472</v>
      </c>
      <c r="K28">
        <v>0.44906862049068702</v>
      </c>
      <c r="L28">
        <v>3.0549118025714041E-5</v>
      </c>
      <c r="M28">
        <v>1.7767436797006888E-6</v>
      </c>
      <c r="N28" s="1">
        <v>-1.6045341655613899E-8</v>
      </c>
      <c r="O28" s="1">
        <v>3.8759744926920902E-12</v>
      </c>
      <c r="P28" s="1">
        <v>5.6459633261434697E-11</v>
      </c>
      <c r="Q28">
        <v>63.617349013818803</v>
      </c>
      <c r="S28">
        <v>22.562879604848298</v>
      </c>
      <c r="AA28">
        <v>3.7703680119072298</v>
      </c>
      <c r="AB28">
        <v>8.5842963665920102</v>
      </c>
      <c r="AC28">
        <v>1.46510700283357</v>
      </c>
      <c r="AJ28">
        <v>0.73800656421241595</v>
      </c>
      <c r="AK28">
        <v>0.17912246380371599</v>
      </c>
      <c r="AL28">
        <v>8.2870971983866504E-2</v>
      </c>
    </row>
    <row r="29" spans="1:38" x14ac:dyDescent="0.2">
      <c r="A29">
        <v>61</v>
      </c>
      <c r="B29">
        <v>754</v>
      </c>
      <c r="C29">
        <v>200</v>
      </c>
      <c r="D29">
        <v>0.38072384753930699</v>
      </c>
      <c r="E29">
        <v>2.0136231469225998</v>
      </c>
      <c r="F29">
        <v>2.5845735582675098</v>
      </c>
      <c r="G29">
        <v>-32.688062845545502</v>
      </c>
      <c r="H29">
        <v>-28.350653455158106</v>
      </c>
      <c r="I29">
        <v>4.22276141789163</v>
      </c>
      <c r="J29">
        <v>2.4536849329503099</v>
      </c>
      <c r="K29">
        <v>0.77909299214233696</v>
      </c>
      <c r="L29">
        <v>3.0623192734527842E-5</v>
      </c>
      <c r="M29">
        <v>1.7792081188589211E-6</v>
      </c>
      <c r="N29" s="1">
        <v>-2.8730729163817499E-8</v>
      </c>
      <c r="O29" s="1">
        <v>6.7306111946880598E-12</v>
      </c>
      <c r="P29" s="1">
        <v>1.00503178794238E-10</v>
      </c>
      <c r="Q29">
        <v>63.725066802752401</v>
      </c>
      <c r="S29">
        <v>22.472506428652899</v>
      </c>
      <c r="AA29">
        <v>3.6706747427475901</v>
      </c>
      <c r="AB29">
        <v>8.5874146529228099</v>
      </c>
      <c r="AC29">
        <v>1.5443373729241601</v>
      </c>
      <c r="AJ29">
        <v>0.73826477396105195</v>
      </c>
      <c r="AK29">
        <v>0.174383908258714</v>
      </c>
      <c r="AL29">
        <v>8.7351317780233195E-2</v>
      </c>
    </row>
    <row r="30" spans="1:38" x14ac:dyDescent="0.2">
      <c r="A30">
        <v>62</v>
      </c>
      <c r="B30">
        <v>753</v>
      </c>
      <c r="C30">
        <v>200</v>
      </c>
      <c r="D30">
        <v>0.380052136627202</v>
      </c>
      <c r="E30">
        <v>2.8803094742744202</v>
      </c>
      <c r="F30">
        <v>2.5833905746977601</v>
      </c>
      <c r="G30">
        <v>-46.737885876749054</v>
      </c>
      <c r="H30">
        <v>-40.54205972447285</v>
      </c>
      <c r="I30">
        <v>6.0379341736356302</v>
      </c>
      <c r="J30">
        <v>3.5108376490282498</v>
      </c>
      <c r="K30">
        <v>1.1149338015260799</v>
      </c>
      <c r="L30">
        <v>3.0694884039298615E-5</v>
      </c>
      <c r="M30">
        <v>1.7816437798118859E-6</v>
      </c>
      <c r="N30" s="1">
        <v>-4.2406883689374602E-8</v>
      </c>
      <c r="O30" s="1">
        <v>9.6412393501196696E-12</v>
      </c>
      <c r="P30" s="1">
        <v>1.47508024711435E-10</v>
      </c>
      <c r="Q30">
        <v>63.833261048593599</v>
      </c>
      <c r="S30">
        <v>22.379848966750899</v>
      </c>
      <c r="AA30">
        <v>3.56898573978496</v>
      </c>
      <c r="AB30">
        <v>8.5856061459681605</v>
      </c>
      <c r="AC30">
        <v>1.6322980989022899</v>
      </c>
      <c r="AJ30">
        <v>0.73811755261198797</v>
      </c>
      <c r="AK30">
        <v>0.169554833303385</v>
      </c>
      <c r="AL30">
        <v>9.2327614084625906E-2</v>
      </c>
    </row>
    <row r="31" spans="1:38" x14ac:dyDescent="0.2">
      <c r="A31">
        <v>63</v>
      </c>
      <c r="B31">
        <v>752</v>
      </c>
      <c r="C31">
        <v>200</v>
      </c>
      <c r="D31">
        <v>0.37937911525142798</v>
      </c>
      <c r="E31">
        <v>6.0292629220947598</v>
      </c>
      <c r="F31">
        <v>2.5841731446138101</v>
      </c>
      <c r="G31">
        <v>-97.829708857670497</v>
      </c>
      <c r="H31">
        <v>-84.882038181340675</v>
      </c>
      <c r="I31">
        <v>12.630025534146</v>
      </c>
      <c r="J31">
        <v>7.3505240683284496</v>
      </c>
      <c r="K31">
        <v>2.3331497483678798</v>
      </c>
      <c r="L31">
        <v>3.0690409810208811E-5</v>
      </c>
      <c r="M31">
        <v>1.7799934383274644E-6</v>
      </c>
      <c r="N31" s="1">
        <v>-9.1282230366569506E-8</v>
      </c>
      <c r="O31" s="1">
        <v>2.0130383832973501E-11</v>
      </c>
      <c r="P31" s="1">
        <v>3.1599645572438302E-10</v>
      </c>
      <c r="Q31">
        <v>63.753569888735903</v>
      </c>
      <c r="S31">
        <v>22.437841629533999</v>
      </c>
      <c r="AA31">
        <v>3.63542512308323</v>
      </c>
      <c r="AB31">
        <v>8.5600539741410309</v>
      </c>
      <c r="AC31">
        <v>1.61310938450574</v>
      </c>
      <c r="AJ31">
        <v>0.73601333801944702</v>
      </c>
      <c r="AK31">
        <v>0.172732944413719</v>
      </c>
      <c r="AL31">
        <v>9.1253717566833203E-2</v>
      </c>
    </row>
    <row r="32" spans="1:38" x14ac:dyDescent="0.2">
      <c r="A32">
        <v>63</v>
      </c>
      <c r="B32">
        <v>752</v>
      </c>
      <c r="C32">
        <v>200</v>
      </c>
      <c r="D32">
        <v>0.37937911525142798</v>
      </c>
      <c r="E32">
        <v>7.8824663056142104</v>
      </c>
      <c r="F32">
        <v>2.5221822746222902</v>
      </c>
      <c r="G32">
        <v>-124.32671065261887</v>
      </c>
      <c r="H32">
        <v>-107.67053596729676</v>
      </c>
      <c r="I32">
        <v>16.2475488321924</v>
      </c>
      <c r="J32">
        <v>9.3483659766465603</v>
      </c>
      <c r="K32">
        <v>3.1252564039189599</v>
      </c>
      <c r="L32">
        <v>2.8143339966514404E-5</v>
      </c>
      <c r="M32">
        <v>1.7909599677208122E-6</v>
      </c>
      <c r="N32" s="1">
        <v>-4.6847910832208899E-8</v>
      </c>
      <c r="O32" s="1">
        <v>2.9943435542222599E-11</v>
      </c>
      <c r="P32" s="1">
        <v>1.98296289982853E-10</v>
      </c>
      <c r="Q32">
        <v>65.807347952925795</v>
      </c>
      <c r="S32">
        <v>18.994172503910001</v>
      </c>
      <c r="AA32">
        <v>0.31514179975804502</v>
      </c>
      <c r="AB32">
        <v>4.1087619506558104</v>
      </c>
      <c r="AC32">
        <v>10.774575792750101</v>
      </c>
      <c r="AJ32">
        <v>0.36131176277060301</v>
      </c>
      <c r="AK32">
        <v>1.5313974568979901E-2</v>
      </c>
      <c r="AL32">
        <v>0.62337426266041596</v>
      </c>
    </row>
    <row r="33" spans="1:38" x14ac:dyDescent="0.2">
      <c r="A33">
        <v>64</v>
      </c>
      <c r="B33">
        <v>751</v>
      </c>
      <c r="C33">
        <v>200</v>
      </c>
      <c r="D33">
        <v>0.378704779573308</v>
      </c>
      <c r="E33">
        <v>15.147600983294</v>
      </c>
      <c r="F33">
        <v>2.5866145937218299</v>
      </c>
      <c r="G33">
        <v>-245.82144205580923</v>
      </c>
      <c r="H33">
        <v>-213.35810198899222</v>
      </c>
      <c r="I33">
        <v>31.697837296115701</v>
      </c>
      <c r="J33">
        <v>18.465457852929699</v>
      </c>
      <c r="K33">
        <v>5.8561491998304902</v>
      </c>
      <c r="L33">
        <v>3.0592085224214121E-5</v>
      </c>
      <c r="M33">
        <v>1.7741966530041815E-6</v>
      </c>
      <c r="N33" s="1">
        <v>-2.3417894432776901E-7</v>
      </c>
      <c r="O33" s="1">
        <v>5.0279389283635498E-11</v>
      </c>
      <c r="P33" s="1">
        <v>8.0784407292399796E-10</v>
      </c>
      <c r="Q33">
        <v>63.4924451270399</v>
      </c>
      <c r="S33">
        <v>22.631062302039499</v>
      </c>
      <c r="AA33">
        <v>3.8557640496592702</v>
      </c>
      <c r="AB33">
        <v>8.4847045570260899</v>
      </c>
      <c r="AC33">
        <v>1.5360239642351901</v>
      </c>
      <c r="AJ33">
        <v>0.72980486768285302</v>
      </c>
      <c r="AK33">
        <v>0.183269954187842</v>
      </c>
      <c r="AL33">
        <v>8.6925178129303796E-2</v>
      </c>
    </row>
    <row r="34" spans="1:38" x14ac:dyDescent="0.2">
      <c r="A34">
        <v>64</v>
      </c>
      <c r="B34">
        <v>751</v>
      </c>
      <c r="C34">
        <v>200</v>
      </c>
      <c r="D34">
        <v>0.378704779573308</v>
      </c>
      <c r="E34">
        <v>30.151886875370401</v>
      </c>
      <c r="F34">
        <v>2.5221675632836398</v>
      </c>
      <c r="G34">
        <v>-475.27420416807098</v>
      </c>
      <c r="H34">
        <v>-411.70198488291788</v>
      </c>
      <c r="I34">
        <v>62.073152648687199</v>
      </c>
      <c r="J34">
        <v>35.738537122763503</v>
      </c>
      <c r="K34">
        <v>11.9547516645227</v>
      </c>
      <c r="L34">
        <v>2.8071220573854567E-5</v>
      </c>
      <c r="M34">
        <v>1.7898429651280791E-6</v>
      </c>
      <c r="N34" s="1">
        <v>-1.7885219438895899E-7</v>
      </c>
      <c r="O34" s="1">
        <v>1.14623159484896E-10</v>
      </c>
      <c r="P34" s="1">
        <v>7.5709772095398603E-10</v>
      </c>
      <c r="Q34">
        <v>65.769635733541406</v>
      </c>
      <c r="S34">
        <v>18.9827428855269</v>
      </c>
      <c r="AA34">
        <v>0.31451187839635503</v>
      </c>
      <c r="AB34">
        <v>3.9947580612628699</v>
      </c>
      <c r="AC34">
        <v>10.9383514412723</v>
      </c>
      <c r="AJ34">
        <v>0.35149060179511599</v>
      </c>
      <c r="AK34">
        <v>1.5292239045190399E-2</v>
      </c>
      <c r="AL34">
        <v>0.63321715915969301</v>
      </c>
    </row>
    <row r="35" spans="1:38" x14ac:dyDescent="0.2">
      <c r="A35">
        <v>65</v>
      </c>
      <c r="B35">
        <v>750</v>
      </c>
      <c r="C35">
        <v>200</v>
      </c>
      <c r="D35">
        <v>0.37802912573913899</v>
      </c>
      <c r="E35">
        <v>18.249387801381001</v>
      </c>
      <c r="F35">
        <v>2.5876264605717898</v>
      </c>
      <c r="G35">
        <v>-296.15586939303023</v>
      </c>
      <c r="H35">
        <v>-257.11283947319816</v>
      </c>
      <c r="I35">
        <v>38.159634383845898</v>
      </c>
      <c r="J35">
        <v>22.250918916658801</v>
      </c>
      <c r="K35">
        <v>7.0525588138206103</v>
      </c>
      <c r="L35">
        <v>3.05797845490084E-5</v>
      </c>
      <c r="M35">
        <v>1.7720409817103178E-6</v>
      </c>
      <c r="N35" s="1">
        <v>-2.9005149542313902E-7</v>
      </c>
      <c r="O35" s="1">
        <v>6.0387111304081704E-11</v>
      </c>
      <c r="P35" s="1">
        <v>9.9600278306866497E-10</v>
      </c>
      <c r="Q35">
        <v>63.389951772780798</v>
      </c>
      <c r="S35">
        <v>22.707424127239999</v>
      </c>
      <c r="AA35">
        <v>3.9426787603746698</v>
      </c>
      <c r="AB35">
        <v>8.4564960650115992</v>
      </c>
      <c r="AC35">
        <v>1.5034492745928201</v>
      </c>
      <c r="AJ35">
        <v>0.72747935558277799</v>
      </c>
      <c r="AK35">
        <v>0.18742710879472099</v>
      </c>
      <c r="AL35">
        <v>8.50935356224993E-2</v>
      </c>
    </row>
    <row r="36" spans="1:38" x14ac:dyDescent="0.2">
      <c r="A36">
        <v>65</v>
      </c>
      <c r="B36">
        <v>750</v>
      </c>
      <c r="C36">
        <v>200</v>
      </c>
      <c r="D36">
        <v>0.37802912573913899</v>
      </c>
      <c r="E36">
        <v>37.609972979172198</v>
      </c>
      <c r="F36">
        <v>2.5221858434218301</v>
      </c>
      <c r="G36">
        <v>-592.62728564422207</v>
      </c>
      <c r="H36">
        <v>-513.47573139595022</v>
      </c>
      <c r="I36">
        <v>77.360655083097896</v>
      </c>
      <c r="J36">
        <v>44.570730483713398</v>
      </c>
      <c r="K36">
        <v>14.911658106900999</v>
      </c>
      <c r="L36">
        <v>2.8049723197375438E-5</v>
      </c>
      <c r="M36">
        <v>1.7894621007277207E-6</v>
      </c>
      <c r="N36" s="1">
        <v>-2.2783129659553E-7</v>
      </c>
      <c r="O36" s="1">
        <v>1.4298333741767E-10</v>
      </c>
      <c r="P36" s="1">
        <v>9.5778901232047095E-10</v>
      </c>
      <c r="Q36">
        <v>65.755056132935906</v>
      </c>
      <c r="S36">
        <v>18.976495737492598</v>
      </c>
      <c r="AA36">
        <v>0.31275986778769599</v>
      </c>
      <c r="AB36">
        <v>3.9458904922838798</v>
      </c>
      <c r="AC36">
        <v>11.0097977694998</v>
      </c>
      <c r="AJ36">
        <v>0.347277296228169</v>
      </c>
      <c r="AK36">
        <v>1.5210839169853401E-2</v>
      </c>
      <c r="AL36">
        <v>0.63751186460197695</v>
      </c>
    </row>
    <row r="37" spans="1:38" x14ac:dyDescent="0.2">
      <c r="A37">
        <v>66</v>
      </c>
      <c r="B37">
        <v>749</v>
      </c>
      <c r="C37">
        <v>200</v>
      </c>
      <c r="D37">
        <v>0.37735214988015597</v>
      </c>
      <c r="E37">
        <v>19.117477493403399</v>
      </c>
      <c r="F37">
        <v>2.5879773023390098</v>
      </c>
      <c r="G37">
        <v>-310.21781744849329</v>
      </c>
      <c r="H37">
        <v>-269.38290006575551</v>
      </c>
      <c r="I37">
        <v>39.950024343528398</v>
      </c>
      <c r="J37">
        <v>23.317299537727902</v>
      </c>
      <c r="K37">
        <v>7.3870344520120099</v>
      </c>
      <c r="L37">
        <v>3.0610077094939766E-5</v>
      </c>
      <c r="M37">
        <v>1.7716264401027695E-6</v>
      </c>
      <c r="N37" s="1">
        <v>-3.1343834194877002E-7</v>
      </c>
      <c r="O37" s="1">
        <v>6.3142485603354994E-11</v>
      </c>
      <c r="P37" s="1">
        <v>1.07087961713254E-9</v>
      </c>
      <c r="Q37">
        <v>63.362507712764902</v>
      </c>
      <c r="S37">
        <v>22.728924685139699</v>
      </c>
      <c r="AA37">
        <v>3.9668206370104602</v>
      </c>
      <c r="AB37">
        <v>8.4517049565552007</v>
      </c>
      <c r="AC37">
        <v>1.49004200852963</v>
      </c>
      <c r="AJ37">
        <v>0.72708416515263996</v>
      </c>
      <c r="AK37">
        <v>0.18857916699021901</v>
      </c>
      <c r="AL37">
        <v>8.4336667857140002E-2</v>
      </c>
    </row>
    <row r="38" spans="1:38" x14ac:dyDescent="0.2">
      <c r="A38">
        <v>66</v>
      </c>
      <c r="B38">
        <v>749</v>
      </c>
      <c r="C38">
        <v>200</v>
      </c>
      <c r="D38">
        <v>0.37735214988015597</v>
      </c>
      <c r="E38">
        <v>39.602373510609901</v>
      </c>
      <c r="F38">
        <v>2.5222136780492299</v>
      </c>
      <c r="G38">
        <v>-623.88285860794133</v>
      </c>
      <c r="H38">
        <v>-540.67676989293193</v>
      </c>
      <c r="I38">
        <v>81.403011999226393</v>
      </c>
      <c r="J38">
        <v>46.9324568869975</v>
      </c>
      <c r="K38">
        <v>15.701434757597401</v>
      </c>
      <c r="L38">
        <v>2.8051294960202208E-5</v>
      </c>
      <c r="M38">
        <v>1.7894081449667073E-6</v>
      </c>
      <c r="N38" s="1">
        <v>-2.4757378979068098E-7</v>
      </c>
      <c r="O38" s="1">
        <v>1.5051895976382699E-10</v>
      </c>
      <c r="P38" s="1">
        <v>1.03050814593693E-9</v>
      </c>
      <c r="Q38">
        <v>65.750820117594301</v>
      </c>
      <c r="S38">
        <v>18.972558279002399</v>
      </c>
      <c r="AA38">
        <v>0.31049984048690399</v>
      </c>
      <c r="AB38">
        <v>3.9261281998845701</v>
      </c>
      <c r="AC38">
        <v>11.0399935630317</v>
      </c>
      <c r="AJ38">
        <v>0.34557283000655098</v>
      </c>
      <c r="AK38">
        <v>1.5102445765404499E-2</v>
      </c>
      <c r="AL38">
        <v>0.63932472422804398</v>
      </c>
    </row>
    <row r="39" spans="1:38" x14ac:dyDescent="0.2">
      <c r="A39">
        <v>68</v>
      </c>
      <c r="B39">
        <v>764</v>
      </c>
      <c r="C39">
        <v>175</v>
      </c>
      <c r="D39">
        <v>0.41388468398978101</v>
      </c>
      <c r="E39">
        <v>9.40492422789376E-2</v>
      </c>
      <c r="F39">
        <v>2.5852863004181401</v>
      </c>
      <c r="G39">
        <v>-1.5305890869970564</v>
      </c>
      <c r="H39">
        <v>-1.324932120786128</v>
      </c>
      <c r="I39">
        <v>0.198290475062361</v>
      </c>
      <c r="J39">
        <v>0.114285987274729</v>
      </c>
      <c r="K39">
        <v>3.6378656500723403E-2</v>
      </c>
      <c r="L39">
        <v>3.0192872954338066E-5</v>
      </c>
      <c r="M39">
        <v>1.7742357097159789E-6</v>
      </c>
      <c r="N39" s="1">
        <v>-9.6015290762164209E-10</v>
      </c>
      <c r="O39" s="1">
        <v>3.15921150296442E-13</v>
      </c>
      <c r="P39" s="1">
        <v>3.5921476596380101E-12</v>
      </c>
      <c r="Q39">
        <v>63.499861879553599</v>
      </c>
      <c r="S39">
        <v>22.667621727594</v>
      </c>
      <c r="AA39">
        <v>3.8841953522747299</v>
      </c>
      <c r="AB39">
        <v>8.5970776794732604</v>
      </c>
      <c r="AC39">
        <v>1.35124336110432</v>
      </c>
      <c r="AJ39">
        <v>0.73905657613876596</v>
      </c>
      <c r="AK39">
        <v>0.18451797910316201</v>
      </c>
      <c r="AL39">
        <v>7.6425444758070796E-2</v>
      </c>
    </row>
    <row r="40" spans="1:38" x14ac:dyDescent="0.2">
      <c r="A40">
        <v>69</v>
      </c>
      <c r="B40">
        <v>763</v>
      </c>
      <c r="C40">
        <v>175</v>
      </c>
      <c r="D40">
        <v>0.41325145973073701</v>
      </c>
      <c r="E40">
        <v>0.41104999261012198</v>
      </c>
      <c r="F40">
        <v>2.5848656376778298</v>
      </c>
      <c r="G40">
        <v>-6.6881931419143914</v>
      </c>
      <c r="H40">
        <v>-5.7906311204425567</v>
      </c>
      <c r="I40">
        <v>0.86624718570847203</v>
      </c>
      <c r="J40">
        <v>0.49963057642112901</v>
      </c>
      <c r="K40">
        <v>0.159021802378632</v>
      </c>
      <c r="L40">
        <v>3.0245259414699665E-5</v>
      </c>
      <c r="M40">
        <v>1.7755705687959293E-6</v>
      </c>
      <c r="N40" s="1">
        <v>-4.3373151320190396E-9</v>
      </c>
      <c r="O40" s="1">
        <v>1.38100848714485E-12</v>
      </c>
      <c r="P40" s="1">
        <v>1.6107011338339501E-11</v>
      </c>
      <c r="Q40">
        <v>63.552250043876001</v>
      </c>
      <c r="S40">
        <v>22.627476912340899</v>
      </c>
      <c r="AA40">
        <v>3.8388514066883901</v>
      </c>
      <c r="AB40">
        <v>8.6085770423567496</v>
      </c>
      <c r="AC40">
        <v>1.3728445947377701</v>
      </c>
      <c r="AJ40">
        <v>0.74000350507432</v>
      </c>
      <c r="AK40">
        <v>0.182353665903945</v>
      </c>
      <c r="AL40">
        <v>7.7642829021734E-2</v>
      </c>
    </row>
    <row r="41" spans="1:38" x14ac:dyDescent="0.2">
      <c r="A41">
        <v>70</v>
      </c>
      <c r="B41">
        <v>762</v>
      </c>
      <c r="C41">
        <v>175</v>
      </c>
      <c r="D41">
        <v>0.41261701202724399</v>
      </c>
      <c r="E41">
        <v>0.93420306853149704</v>
      </c>
      <c r="F41">
        <v>2.5842061202129201</v>
      </c>
      <c r="G41">
        <v>-15.196388231305987</v>
      </c>
      <c r="H41">
        <v>-13.159316934946801</v>
      </c>
      <c r="I41">
        <v>1.9678996245560401</v>
      </c>
      <c r="J41">
        <v>1.1358233306552299</v>
      </c>
      <c r="K41">
        <v>0.36150485877439298</v>
      </c>
      <c r="L41">
        <v>3.0303564939321277E-5</v>
      </c>
      <c r="M41">
        <v>1.7773058148362411E-6</v>
      </c>
      <c r="N41" s="1">
        <v>-1.01857498731122E-8</v>
      </c>
      <c r="O41" s="1">
        <v>3.14067368384382E-12</v>
      </c>
      <c r="P41" s="1">
        <v>3.7553628136561699E-11</v>
      </c>
      <c r="Q41">
        <v>63.624145582928001</v>
      </c>
      <c r="S41">
        <v>22.5700180969508</v>
      </c>
      <c r="AA41">
        <v>3.7746714544975402</v>
      </c>
      <c r="AB41">
        <v>8.6181566415485999</v>
      </c>
      <c r="AC41">
        <v>1.41300822407486</v>
      </c>
      <c r="AJ41">
        <v>0.74079268790916597</v>
      </c>
      <c r="AK41">
        <v>0.179296681135205</v>
      </c>
      <c r="AL41">
        <v>7.9910630955628503E-2</v>
      </c>
    </row>
    <row r="42" spans="1:38" x14ac:dyDescent="0.2">
      <c r="A42">
        <v>71</v>
      </c>
      <c r="B42">
        <v>761</v>
      </c>
      <c r="C42">
        <v>175</v>
      </c>
      <c r="D42">
        <v>0.411981337330175</v>
      </c>
      <c r="E42">
        <v>1.75949096604334</v>
      </c>
      <c r="F42">
        <v>2.5831766029884502</v>
      </c>
      <c r="G42">
        <v>-28.610723810285172</v>
      </c>
      <c r="H42">
        <v>-24.779249598273566</v>
      </c>
      <c r="I42">
        <v>3.7049501639139399</v>
      </c>
      <c r="J42">
        <v>2.1397498402126902</v>
      </c>
      <c r="K42">
        <v>0.68113460148555105</v>
      </c>
      <c r="L42">
        <v>3.0368822532236344E-5</v>
      </c>
      <c r="M42">
        <v>1.7796128074082932E-6</v>
      </c>
      <c r="N42" s="1">
        <v>-1.9810233335000599E-8</v>
      </c>
      <c r="O42" s="1">
        <v>5.9233098090003002E-12</v>
      </c>
      <c r="P42" s="1">
        <v>7.2530360248806799E-11</v>
      </c>
      <c r="Q42">
        <v>63.724715591439903</v>
      </c>
      <c r="S42">
        <v>22.486409126221702</v>
      </c>
      <c r="AA42">
        <v>3.6822265609525102</v>
      </c>
      <c r="AB42">
        <v>8.6230797264947796</v>
      </c>
      <c r="AC42">
        <v>1.4835689948909501</v>
      </c>
      <c r="AJ42">
        <v>0.74119917854267903</v>
      </c>
      <c r="AK42">
        <v>0.174901616963267</v>
      </c>
      <c r="AL42">
        <v>8.3899204494053206E-2</v>
      </c>
    </row>
    <row r="43" spans="1:38" x14ac:dyDescent="0.2">
      <c r="A43">
        <v>72</v>
      </c>
      <c r="B43">
        <v>760</v>
      </c>
      <c r="C43">
        <v>175</v>
      </c>
      <c r="D43">
        <v>0.41134443207665999</v>
      </c>
      <c r="E43">
        <v>2.59396394094078</v>
      </c>
      <c r="F43">
        <v>2.5821090255189398</v>
      </c>
      <c r="G43">
        <v>-42.163801306813177</v>
      </c>
      <c r="H43">
        <v>-36.522842484164805</v>
      </c>
      <c r="I43">
        <v>5.45996111179244</v>
      </c>
      <c r="J43">
        <v>3.1553031149752102</v>
      </c>
      <c r="K43">
        <v>1.0045911753937</v>
      </c>
      <c r="L43">
        <v>3.0432075977453054E-5</v>
      </c>
      <c r="M43">
        <v>1.7818836517458584E-6</v>
      </c>
      <c r="N43" s="1">
        <v>-3.0141612708718199E-8</v>
      </c>
      <c r="O43" s="1">
        <v>8.7448963241138993E-12</v>
      </c>
      <c r="P43" s="1">
        <v>1.0961867715264901E-10</v>
      </c>
      <c r="Q43">
        <v>63.825043153150098</v>
      </c>
      <c r="S43">
        <v>22.401478960295599</v>
      </c>
      <c r="AA43">
        <v>3.5887482394886301</v>
      </c>
      <c r="AB43">
        <v>8.6239988467667192</v>
      </c>
      <c r="AC43">
        <v>1.56073080029885</v>
      </c>
      <c r="AJ43">
        <v>0.74127628117194699</v>
      </c>
      <c r="AK43">
        <v>0.170461064856165</v>
      </c>
      <c r="AL43">
        <v>8.8262653971886401E-2</v>
      </c>
    </row>
    <row r="44" spans="1:38" x14ac:dyDescent="0.2">
      <c r="A44">
        <v>73</v>
      </c>
      <c r="B44">
        <v>759</v>
      </c>
      <c r="C44">
        <v>175</v>
      </c>
      <c r="D44">
        <v>0.41070629269001901</v>
      </c>
      <c r="E44">
        <v>3.44102620674163</v>
      </c>
      <c r="F44">
        <v>2.5809916450022601</v>
      </c>
      <c r="G44">
        <v>-55.909707528333449</v>
      </c>
      <c r="H44">
        <v>-48.436912060132137</v>
      </c>
      <c r="I44">
        <v>7.2400285503088702</v>
      </c>
      <c r="J44">
        <v>4.1865801420048498</v>
      </c>
      <c r="K44">
        <v>1.3332186539250099</v>
      </c>
      <c r="L44">
        <v>3.0493006736018208E-5</v>
      </c>
      <c r="M44">
        <v>1.7841228937701987E-6</v>
      </c>
      <c r="N44" s="1">
        <v>-4.1239035225047202E-8</v>
      </c>
      <c r="O44" s="1">
        <v>1.16176779969058E-11</v>
      </c>
      <c r="P44" s="1">
        <v>1.4901539020227599E-10</v>
      </c>
      <c r="Q44">
        <v>63.925591158877602</v>
      </c>
      <c r="S44">
        <v>22.314595790848902</v>
      </c>
      <c r="AA44">
        <v>3.4936072325254099</v>
      </c>
      <c r="AB44">
        <v>8.6202891620744904</v>
      </c>
      <c r="AC44">
        <v>1.6459166556735501</v>
      </c>
      <c r="AJ44">
        <v>0.74097260761477901</v>
      </c>
      <c r="AK44">
        <v>0.16594538817601401</v>
      </c>
      <c r="AL44">
        <v>9.3082004209205801E-2</v>
      </c>
    </row>
    <row r="45" spans="1:38" x14ac:dyDescent="0.2">
      <c r="A45">
        <v>74</v>
      </c>
      <c r="B45">
        <v>758</v>
      </c>
      <c r="C45">
        <v>175</v>
      </c>
      <c r="D45">
        <v>0.41006691557969399</v>
      </c>
      <c r="E45">
        <v>4.3776868360102403</v>
      </c>
      <c r="F45">
        <v>2.57988949065094</v>
      </c>
      <c r="G45">
        <v>-71.098546954121232</v>
      </c>
      <c r="H45">
        <v>-61.604830002665288</v>
      </c>
      <c r="I45">
        <v>9.2069213513610606</v>
      </c>
      <c r="J45">
        <v>5.3272066373780902</v>
      </c>
      <c r="K45">
        <v>1.6968505247508401</v>
      </c>
      <c r="L45">
        <v>3.0548199889834902E-5</v>
      </c>
      <c r="M45">
        <v>1.7861743569128475E-6</v>
      </c>
      <c r="N45" s="1">
        <v>-5.4062907620915999E-8</v>
      </c>
      <c r="O45" s="1">
        <v>1.4800907687691301E-11</v>
      </c>
      <c r="P45" s="1">
        <v>1.9416009906889E-10</v>
      </c>
      <c r="Q45">
        <v>64.019445753379202</v>
      </c>
      <c r="S45">
        <v>22.230992295706098</v>
      </c>
      <c r="AA45">
        <v>3.4027338064488699</v>
      </c>
      <c r="AB45">
        <v>8.6102616619265007</v>
      </c>
      <c r="AC45">
        <v>1.73656648253919</v>
      </c>
      <c r="AJ45">
        <v>0.74014905147134902</v>
      </c>
      <c r="AK45">
        <v>0.161637305988063</v>
      </c>
      <c r="AL45">
        <v>9.8213642540587204E-2</v>
      </c>
    </row>
    <row r="46" spans="1:38" x14ac:dyDescent="0.2">
      <c r="A46">
        <v>74</v>
      </c>
      <c r="B46">
        <v>758</v>
      </c>
      <c r="C46">
        <v>175</v>
      </c>
      <c r="D46">
        <v>0.41006691557969399</v>
      </c>
      <c r="E46">
        <v>0.29190823335267102</v>
      </c>
      <c r="F46">
        <v>2.52106096563646</v>
      </c>
      <c r="G46">
        <v>-4.6151010921422149</v>
      </c>
      <c r="H46">
        <v>-3.9917249716077112</v>
      </c>
      <c r="I46">
        <v>0.60454455756631298</v>
      </c>
      <c r="J46">
        <v>0.34635403859317998</v>
      </c>
      <c r="K46">
        <v>0.11578785175430099</v>
      </c>
      <c r="L46">
        <v>2.8183897639750193E-5</v>
      </c>
      <c r="M46">
        <v>1.7938991006530878E-6</v>
      </c>
      <c r="N46" s="1">
        <v>-1.4403162492883901E-9</v>
      </c>
      <c r="O46" s="1">
        <v>1.1095841376257601E-12</v>
      </c>
      <c r="P46" s="1">
        <v>6.4965528630813903E-12</v>
      </c>
      <c r="Q46">
        <v>65.8610608558715</v>
      </c>
      <c r="S46">
        <v>19.029295047428199</v>
      </c>
      <c r="AA46">
        <v>0.331585086186658</v>
      </c>
      <c r="AB46">
        <v>4.3205365889742904</v>
      </c>
      <c r="AC46">
        <v>10.457522421539201</v>
      </c>
      <c r="AJ46">
        <v>0.379525288155733</v>
      </c>
      <c r="AK46">
        <v>1.6095660777994601E-2</v>
      </c>
      <c r="AL46">
        <v>0.60437905106627099</v>
      </c>
    </row>
    <row r="47" spans="1:38" x14ac:dyDescent="0.2">
      <c r="A47">
        <v>75</v>
      </c>
      <c r="B47">
        <v>757</v>
      </c>
      <c r="C47">
        <v>175</v>
      </c>
      <c r="D47">
        <v>0.40942629714119499</v>
      </c>
      <c r="E47">
        <v>7.2319657551574403</v>
      </c>
      <c r="F47">
        <v>2.5813165703216501</v>
      </c>
      <c r="G47">
        <v>-117.46194011921247</v>
      </c>
      <c r="H47">
        <v>-101.80610900373497</v>
      </c>
      <c r="I47">
        <v>15.197622788406999</v>
      </c>
      <c r="J47">
        <v>8.8013460496101406</v>
      </c>
      <c r="K47">
        <v>2.8016578200078199</v>
      </c>
      <c r="L47">
        <v>3.0512201550603483E-5</v>
      </c>
      <c r="M47">
        <v>1.7831683625074483E-6</v>
      </c>
      <c r="N47" s="1">
        <v>-9.1680852770976394E-8</v>
      </c>
      <c r="O47" s="1">
        <v>2.43631380203311E-11</v>
      </c>
      <c r="P47" s="1">
        <v>3.2760935216255098E-10</v>
      </c>
      <c r="Q47">
        <v>63.878126813249999</v>
      </c>
      <c r="S47">
        <v>22.337821446816299</v>
      </c>
      <c r="AA47">
        <v>3.52384379268327</v>
      </c>
      <c r="AB47">
        <v>8.5754064894399509</v>
      </c>
      <c r="AC47">
        <v>1.6848014578103401</v>
      </c>
      <c r="AJ47">
        <v>0.73727881304493503</v>
      </c>
      <c r="AK47">
        <v>0.16741889731145199</v>
      </c>
      <c r="AL47">
        <v>9.5302289643612106E-2</v>
      </c>
    </row>
    <row r="48" spans="1:38" x14ac:dyDescent="0.2">
      <c r="A48">
        <v>75</v>
      </c>
      <c r="B48">
        <v>757</v>
      </c>
      <c r="C48">
        <v>175</v>
      </c>
      <c r="D48">
        <v>0.40942629714119499</v>
      </c>
      <c r="E48">
        <v>8.8000477936982406</v>
      </c>
      <c r="F48">
        <v>2.5210311794716498</v>
      </c>
      <c r="G48">
        <v>-139.06718448341786</v>
      </c>
      <c r="H48">
        <v>-120.3109739836744</v>
      </c>
      <c r="I48">
        <v>18.207261563600799</v>
      </c>
      <c r="J48">
        <v>10.438038394465201</v>
      </c>
      <c r="K48">
        <v>3.4906540884363402</v>
      </c>
      <c r="L48">
        <v>2.8144064153926129E-5</v>
      </c>
      <c r="M48">
        <v>1.7932460843653962E-6</v>
      </c>
      <c r="N48" s="1">
        <v>-4.4007766029614599E-8</v>
      </c>
      <c r="O48" s="1">
        <v>3.3461201576350301E-11</v>
      </c>
      <c r="P48" s="1">
        <v>1.9748658464217099E-10</v>
      </c>
      <c r="Q48">
        <v>65.838755455953006</v>
      </c>
      <c r="S48">
        <v>19.020671888678802</v>
      </c>
      <c r="AA48">
        <v>0.32967555206090099</v>
      </c>
      <c r="AB48">
        <v>4.2482234694749499</v>
      </c>
      <c r="AC48">
        <v>10.562673633832301</v>
      </c>
      <c r="AJ48">
        <v>0.37331043349404402</v>
      </c>
      <c r="AK48">
        <v>1.60088563101017E-2</v>
      </c>
      <c r="AL48">
        <v>0.61068071019585302</v>
      </c>
    </row>
    <row r="49" spans="1:38" x14ac:dyDescent="0.2">
      <c r="A49">
        <v>76</v>
      </c>
      <c r="B49">
        <v>756</v>
      </c>
      <c r="C49">
        <v>175</v>
      </c>
      <c r="D49">
        <v>0.40878443375601398</v>
      </c>
      <c r="E49">
        <v>15.089109057155699</v>
      </c>
      <c r="F49">
        <v>2.5846767679634302</v>
      </c>
      <c r="G49">
        <v>-245.14583213057176</v>
      </c>
      <c r="H49">
        <v>-212.55200026841553</v>
      </c>
      <c r="I49">
        <v>31.6706329127495</v>
      </c>
      <c r="J49">
        <v>18.358582254699598</v>
      </c>
      <c r="K49">
        <v>5.8379094996257503</v>
      </c>
      <c r="L49">
        <v>3.036020079150714E-5</v>
      </c>
      <c r="M49">
        <v>1.7751505074074335E-6</v>
      </c>
      <c r="N49" s="1">
        <v>-1.9446719988316401E-7</v>
      </c>
      <c r="O49" s="1">
        <v>5.04555502380498E-11</v>
      </c>
      <c r="P49" s="1">
        <v>6.92803336283848E-10</v>
      </c>
      <c r="Q49">
        <v>63.519438782955199</v>
      </c>
      <c r="S49">
        <v>22.604015032012999</v>
      </c>
      <c r="AA49">
        <v>3.82715117436463</v>
      </c>
      <c r="AB49">
        <v>8.4739505371321702</v>
      </c>
      <c r="AC49">
        <v>1.5754444735348301</v>
      </c>
      <c r="AJ49">
        <v>0.72891934898656896</v>
      </c>
      <c r="AK49">
        <v>0.18191979656548299</v>
      </c>
      <c r="AL49">
        <v>8.9160854447946095E-2</v>
      </c>
    </row>
    <row r="50" spans="1:38" x14ac:dyDescent="0.2">
      <c r="A50">
        <v>76</v>
      </c>
      <c r="B50">
        <v>756</v>
      </c>
      <c r="C50">
        <v>175</v>
      </c>
      <c r="D50">
        <v>0.40878443375601398</v>
      </c>
      <c r="E50">
        <v>30.170904740697299</v>
      </c>
      <c r="F50">
        <v>2.52096058330627</v>
      </c>
      <c r="G50">
        <v>-476.39892923562155</v>
      </c>
      <c r="H50">
        <v>-412.25093469358967</v>
      </c>
      <c r="I50">
        <v>62.331044592170102</v>
      </c>
      <c r="J50">
        <v>35.756658030790703</v>
      </c>
      <c r="K50">
        <v>11.9680192306409</v>
      </c>
      <c r="L50">
        <v>2.8038876286506846E-5</v>
      </c>
      <c r="M50">
        <v>1.7916270801658041E-6</v>
      </c>
      <c r="N50" s="1">
        <v>-1.48069859814597E-7</v>
      </c>
      <c r="O50" s="1">
        <v>1.1485715224604201E-10</v>
      </c>
      <c r="P50" s="1">
        <v>6.6846630312948299E-10</v>
      </c>
      <c r="Q50">
        <v>65.785819420123204</v>
      </c>
      <c r="S50">
        <v>19.004983158352399</v>
      </c>
      <c r="AA50">
        <v>0.32908408918086002</v>
      </c>
      <c r="AB50">
        <v>4.0891283057205401</v>
      </c>
      <c r="AC50">
        <v>10.790985026622799</v>
      </c>
      <c r="AJ50">
        <v>0.35962107296048101</v>
      </c>
      <c r="AK50">
        <v>1.5993078547687299E-2</v>
      </c>
      <c r="AL50">
        <v>0.62438584849183099</v>
      </c>
    </row>
    <row r="51" spans="1:38" x14ac:dyDescent="0.2">
      <c r="A51">
        <v>77</v>
      </c>
      <c r="B51">
        <v>755</v>
      </c>
      <c r="C51">
        <v>175</v>
      </c>
      <c r="D51">
        <v>0.40814132179156798</v>
      </c>
      <c r="E51">
        <v>17.8774975575027</v>
      </c>
      <c r="F51">
        <v>2.58608061972456</v>
      </c>
      <c r="G51">
        <v>-290.45812237013888</v>
      </c>
      <c r="H51">
        <v>-251.91081975486895</v>
      </c>
      <c r="I51">
        <v>37.491905476117203</v>
      </c>
      <c r="J51">
        <v>21.7524798805463</v>
      </c>
      <c r="K51">
        <v>6.9129699287591402</v>
      </c>
      <c r="L51">
        <v>3.0318909309514414E-5</v>
      </c>
      <c r="M51">
        <v>1.771978245492316E-6</v>
      </c>
      <c r="N51" s="1">
        <v>-2.3634091183050401E-7</v>
      </c>
      <c r="O51" s="1">
        <v>5.95603379833278E-11</v>
      </c>
      <c r="P51" s="1">
        <v>8.3797171075874901E-10</v>
      </c>
      <c r="Q51">
        <v>63.373530552389703</v>
      </c>
      <c r="S51">
        <v>22.712387620750999</v>
      </c>
      <c r="AA51">
        <v>3.95060536062919</v>
      </c>
      <c r="AB51">
        <v>8.4329146993780206</v>
      </c>
      <c r="AC51">
        <v>1.53056176685196</v>
      </c>
      <c r="AJ51">
        <v>0.72553582015528295</v>
      </c>
      <c r="AK51">
        <v>0.18782594836612901</v>
      </c>
      <c r="AL51">
        <v>8.6638231478586403E-2</v>
      </c>
    </row>
    <row r="52" spans="1:38" x14ac:dyDescent="0.2">
      <c r="A52">
        <v>77</v>
      </c>
      <c r="B52">
        <v>755</v>
      </c>
      <c r="C52">
        <v>175</v>
      </c>
      <c r="D52">
        <v>0.40814132179156798</v>
      </c>
      <c r="E52">
        <v>37.575975447732297</v>
      </c>
      <c r="F52">
        <v>2.52096058542715</v>
      </c>
      <c r="G52">
        <v>-593.0718734874979</v>
      </c>
      <c r="H52">
        <v>-513.3334554323643</v>
      </c>
      <c r="I52">
        <v>77.555238102546994</v>
      </c>
      <c r="J52">
        <v>44.519433358476803</v>
      </c>
      <c r="K52">
        <v>14.9054196503296</v>
      </c>
      <c r="L52">
        <v>2.8002489413754027E-5</v>
      </c>
      <c r="M52">
        <v>1.7910430500587546E-6</v>
      </c>
      <c r="N52" s="1">
        <v>-1.8710094162800399E-7</v>
      </c>
      <c r="O52" s="1">
        <v>1.43087919480579E-10</v>
      </c>
      <c r="P52" s="1">
        <v>8.4005257423528797E-10</v>
      </c>
      <c r="Q52">
        <v>65.765127657634295</v>
      </c>
      <c r="S52">
        <v>18.996998627810001</v>
      </c>
      <c r="AA52">
        <v>0.32732490963058802</v>
      </c>
      <c r="AB52">
        <v>4.0220853375852501</v>
      </c>
      <c r="AC52">
        <v>10.888463467339699</v>
      </c>
      <c r="AJ52">
        <v>0.353845721582772</v>
      </c>
      <c r="AK52">
        <v>1.5913016566878099E-2</v>
      </c>
      <c r="AL52">
        <v>0.63024126185034901</v>
      </c>
    </row>
    <row r="53" spans="1:38" x14ac:dyDescent="0.2">
      <c r="A53">
        <v>78</v>
      </c>
      <c r="B53">
        <v>754</v>
      </c>
      <c r="C53">
        <v>175</v>
      </c>
      <c r="D53">
        <v>0.40749695760112897</v>
      </c>
      <c r="E53">
        <v>18.7350284625951</v>
      </c>
      <c r="F53">
        <v>2.5865788899084601</v>
      </c>
      <c r="G53">
        <v>-304.37037541238823</v>
      </c>
      <c r="H53">
        <v>-264.03942999227064</v>
      </c>
      <c r="I53">
        <v>39.264903295640899</v>
      </c>
      <c r="J53">
        <v>22.801376837510801</v>
      </c>
      <c r="K53">
        <v>7.2431691666895999</v>
      </c>
      <c r="L53">
        <v>3.033324145950928E-5</v>
      </c>
      <c r="M53">
        <v>1.7711568266311458E-6</v>
      </c>
      <c r="N53" s="1">
        <v>-2.5524222331426999E-7</v>
      </c>
      <c r="O53" s="1">
        <v>6.2297414742772002E-11</v>
      </c>
      <c r="P53" s="1">
        <v>8.9995401227708601E-10</v>
      </c>
      <c r="Q53">
        <v>63.329400560737099</v>
      </c>
      <c r="S53">
        <v>22.746119510286899</v>
      </c>
      <c r="AA53">
        <v>3.9887316451397399</v>
      </c>
      <c r="AB53">
        <v>8.4230059129989101</v>
      </c>
      <c r="AC53">
        <v>1.51274237083727</v>
      </c>
      <c r="AJ53">
        <v>0.72471847648125698</v>
      </c>
      <c r="AK53">
        <v>0.18964781226801899</v>
      </c>
      <c r="AL53">
        <v>8.5633711250722E-2</v>
      </c>
    </row>
    <row r="54" spans="1:38" x14ac:dyDescent="0.2">
      <c r="A54">
        <v>78</v>
      </c>
      <c r="B54">
        <v>754</v>
      </c>
      <c r="C54">
        <v>175</v>
      </c>
      <c r="D54">
        <v>0.40749695760112897</v>
      </c>
      <c r="E54">
        <v>39.746492374942498</v>
      </c>
      <c r="F54">
        <v>2.52098162801013</v>
      </c>
      <c r="G54">
        <v>-627.17181843129924</v>
      </c>
      <c r="H54">
        <v>-542.97003739816876</v>
      </c>
      <c r="I54">
        <v>81.976129127323802</v>
      </c>
      <c r="J54">
        <v>47.088576140627801</v>
      </c>
      <c r="K54">
        <v>15.766276093933699</v>
      </c>
      <c r="L54">
        <v>2.7996894089163529E-5</v>
      </c>
      <c r="M54">
        <v>1.7909112982042289E-6</v>
      </c>
      <c r="N54" s="1">
        <v>-2.03877395538183E-7</v>
      </c>
      <c r="O54" s="1">
        <v>1.51334185117979E-10</v>
      </c>
      <c r="P54" s="1">
        <v>9.0571727439763396E-10</v>
      </c>
      <c r="Q54">
        <v>65.758710657116197</v>
      </c>
      <c r="S54">
        <v>18.992396169436201</v>
      </c>
      <c r="AA54">
        <v>0.32502515369164198</v>
      </c>
      <c r="AB54">
        <v>3.9957194530090399</v>
      </c>
      <c r="AC54">
        <v>10.928148566746801</v>
      </c>
      <c r="AJ54">
        <v>0.35157338978123698</v>
      </c>
      <c r="AK54">
        <v>1.5803335895679602E-2</v>
      </c>
      <c r="AL54">
        <v>0.63262327432308296</v>
      </c>
    </row>
    <row r="55" spans="1:38" x14ac:dyDescent="0.2">
      <c r="A55">
        <v>80</v>
      </c>
      <c r="B55">
        <v>774</v>
      </c>
      <c r="C55">
        <v>150</v>
      </c>
      <c r="D55">
        <v>0.44641216635630598</v>
      </c>
      <c r="E55">
        <v>0.263941563255089</v>
      </c>
      <c r="F55">
        <v>2.5831037671459698</v>
      </c>
      <c r="G55">
        <v>-4.3035362330859908</v>
      </c>
      <c r="H55">
        <v>-3.7174755410812446</v>
      </c>
      <c r="I55">
        <v>0.55967215012629101</v>
      </c>
      <c r="J55">
        <v>0.32016044088790802</v>
      </c>
      <c r="K55">
        <v>0.102180007869646</v>
      </c>
      <c r="L55">
        <v>2.9943240199779881E-5</v>
      </c>
      <c r="M55">
        <v>1.7749873577695732E-6</v>
      </c>
      <c r="N55" s="1">
        <v>-1.9284133412805099E-9</v>
      </c>
      <c r="O55" s="1">
        <v>8.93790205441188E-13</v>
      </c>
      <c r="P55" s="1">
        <v>7.8500118174339504E-12</v>
      </c>
      <c r="Q55">
        <v>63.532153047173601</v>
      </c>
      <c r="S55">
        <v>22.645127005476301</v>
      </c>
      <c r="AA55">
        <v>3.8581022736845898</v>
      </c>
      <c r="AB55">
        <v>8.6100639765863693</v>
      </c>
      <c r="AC55">
        <v>1.35455369707901</v>
      </c>
      <c r="AJ55">
        <v>0.74012554111877804</v>
      </c>
      <c r="AK55">
        <v>0.18326669146858701</v>
      </c>
      <c r="AL55">
        <v>7.6607767412633601E-2</v>
      </c>
    </row>
    <row r="56" spans="1:38" x14ac:dyDescent="0.2">
      <c r="A56">
        <v>81</v>
      </c>
      <c r="B56">
        <v>773</v>
      </c>
      <c r="C56">
        <v>150</v>
      </c>
      <c r="D56">
        <v>0.44581608755914398</v>
      </c>
      <c r="E56">
        <v>0.56861638226114497</v>
      </c>
      <c r="F56">
        <v>2.5827107019403801</v>
      </c>
      <c r="G56">
        <v>-9.2693586103804027</v>
      </c>
      <c r="H56">
        <v>-8.0085728932115696</v>
      </c>
      <c r="I56">
        <v>1.20516724864391</v>
      </c>
      <c r="J56">
        <v>0.68985472456026897</v>
      </c>
      <c r="K56">
        <v>0.22016263061671801</v>
      </c>
      <c r="L56">
        <v>2.9986020209615733E-5</v>
      </c>
      <c r="M56">
        <v>1.7762262249509915E-6</v>
      </c>
      <c r="N56" s="1">
        <v>-4.2955964050613499E-9</v>
      </c>
      <c r="O56" s="1">
        <v>1.9261820864300501E-12</v>
      </c>
      <c r="P56" s="1">
        <v>1.7321977176111898E-11</v>
      </c>
      <c r="Q56">
        <v>63.581375617895603</v>
      </c>
      <c r="S56">
        <v>22.607385359323899</v>
      </c>
      <c r="AA56">
        <v>3.8154796152029302</v>
      </c>
      <c r="AB56">
        <v>8.6208092040943001</v>
      </c>
      <c r="AC56">
        <v>1.37495020348313</v>
      </c>
      <c r="AJ56">
        <v>0.74101026429047201</v>
      </c>
      <c r="AK56">
        <v>0.18123251543018901</v>
      </c>
      <c r="AL56">
        <v>7.7757220279337597E-2</v>
      </c>
    </row>
    <row r="57" spans="1:38" x14ac:dyDescent="0.2">
      <c r="A57">
        <v>82</v>
      </c>
      <c r="B57">
        <v>772</v>
      </c>
      <c r="C57">
        <v>150</v>
      </c>
      <c r="D57">
        <v>0.44521886810505501</v>
      </c>
      <c r="E57">
        <v>0.873558396312893</v>
      </c>
      <c r="F57">
        <v>2.58232054023618</v>
      </c>
      <c r="G57">
        <v>-14.237525759537279</v>
      </c>
      <c r="H57">
        <v>-12.303334937231677</v>
      </c>
      <c r="I57">
        <v>1.85063466708663</v>
      </c>
      <c r="J57">
        <v>1.06001162414274</v>
      </c>
      <c r="K57">
        <v>0.33828426126874001</v>
      </c>
      <c r="L57">
        <v>3.0028903915493655E-5</v>
      </c>
      <c r="M57">
        <v>1.7774478338153237E-6</v>
      </c>
      <c r="N57" s="1">
        <v>-6.8222382106315403E-9</v>
      </c>
      <c r="O57" s="1">
        <v>2.9601165369650598E-12</v>
      </c>
      <c r="P57" s="1">
        <v>2.7259529595205701E-11</v>
      </c>
      <c r="Q57">
        <v>63.629891205187398</v>
      </c>
      <c r="S57">
        <v>22.570046327529699</v>
      </c>
      <c r="AA57">
        <v>3.7733540826076699</v>
      </c>
      <c r="AB57">
        <v>8.6310344628183895</v>
      </c>
      <c r="AC57">
        <v>1.39567392185671</v>
      </c>
      <c r="AJ57">
        <v>0.74185211373526805</v>
      </c>
      <c r="AK57">
        <v>0.17922262680777501</v>
      </c>
      <c r="AL57">
        <v>7.8925259456955998E-2</v>
      </c>
    </row>
    <row r="58" spans="1:38" x14ac:dyDescent="0.2">
      <c r="A58">
        <v>83</v>
      </c>
      <c r="B58">
        <v>771</v>
      </c>
      <c r="C58">
        <v>150</v>
      </c>
      <c r="D58">
        <v>0.44462050471675502</v>
      </c>
      <c r="E58">
        <v>1.1787278454508101</v>
      </c>
      <c r="F58">
        <v>2.58193321576299</v>
      </c>
      <c r="G58">
        <v>-19.207374562942793</v>
      </c>
      <c r="H58">
        <v>-16.601192558729558</v>
      </c>
      <c r="I58">
        <v>2.4959842974795099</v>
      </c>
      <c r="J58">
        <v>1.4305884891517899</v>
      </c>
      <c r="K58">
        <v>0.45652917676357802</v>
      </c>
      <c r="L58">
        <v>3.0071906444110598E-5</v>
      </c>
      <c r="M58">
        <v>1.7786522885094233E-6</v>
      </c>
      <c r="N58" s="1">
        <v>-9.5148812715436797E-9</v>
      </c>
      <c r="O58" s="1">
        <v>3.9953779048572101E-12</v>
      </c>
      <c r="P58" s="1">
        <v>3.7680935846846401E-11</v>
      </c>
      <c r="Q58">
        <v>63.677703033313698</v>
      </c>
      <c r="S58">
        <v>22.533106132835201</v>
      </c>
      <c r="AA58">
        <v>3.73172180728363</v>
      </c>
      <c r="AB58">
        <v>8.6407370352853405</v>
      </c>
      <c r="AC58">
        <v>1.41673199128205</v>
      </c>
      <c r="AJ58">
        <v>0.74265087892904902</v>
      </c>
      <c r="AK58">
        <v>0.177236825098638</v>
      </c>
      <c r="AL58">
        <v>8.0112295972312494E-2</v>
      </c>
    </row>
    <row r="59" spans="1:38" x14ac:dyDescent="0.2">
      <c r="A59">
        <v>84</v>
      </c>
      <c r="B59">
        <v>770</v>
      </c>
      <c r="C59">
        <v>150</v>
      </c>
      <c r="D59">
        <v>0.44402099410439499</v>
      </c>
      <c r="E59">
        <v>1.48408588875884</v>
      </c>
      <c r="F59">
        <v>2.5815486556544598</v>
      </c>
      <c r="G59">
        <v>-24.178256951553468</v>
      </c>
      <c r="H59">
        <v>-20.901589138572945</v>
      </c>
      <c r="I59">
        <v>3.14112813399848</v>
      </c>
      <c r="J59">
        <v>1.8015439993686</v>
      </c>
      <c r="K59">
        <v>0.57488201336364297</v>
      </c>
      <c r="L59">
        <v>3.0115043583007553E-5</v>
      </c>
      <c r="M59">
        <v>1.779839706375125E-6</v>
      </c>
      <c r="N59" s="1">
        <v>-1.23803398030854E-8</v>
      </c>
      <c r="O59" s="1">
        <v>5.0317516056127799E-12</v>
      </c>
      <c r="P59" s="1">
        <v>4.8605222542579903E-11</v>
      </c>
      <c r="Q59">
        <v>63.724814905841399</v>
      </c>
      <c r="S59">
        <v>22.496560503712701</v>
      </c>
      <c r="AA59">
        <v>3.6905783776664798</v>
      </c>
      <c r="AB59">
        <v>8.6499141991750204</v>
      </c>
      <c r="AC59">
        <v>1.4381320136043301</v>
      </c>
      <c r="AJ59">
        <v>0.74340634837388297</v>
      </c>
      <c r="AK59">
        <v>0.175274884324919</v>
      </c>
      <c r="AL59">
        <v>8.1318767301196401E-2</v>
      </c>
    </row>
    <row r="60" spans="1:38" x14ac:dyDescent="0.2">
      <c r="A60">
        <v>85</v>
      </c>
      <c r="B60">
        <v>769</v>
      </c>
      <c r="C60">
        <v>150</v>
      </c>
      <c r="D60">
        <v>0.44342033296550898</v>
      </c>
      <c r="E60">
        <v>1.7895947691708201</v>
      </c>
      <c r="F60">
        <v>2.5811667802161899</v>
      </c>
      <c r="G60">
        <v>-29.149542537072637</v>
      </c>
      <c r="H60">
        <v>-25.203982833691374</v>
      </c>
      <c r="I60">
        <v>3.7859806202382198</v>
      </c>
      <c r="J60">
        <v>2.1728383739510702</v>
      </c>
      <c r="K60">
        <v>0.69332783254746999</v>
      </c>
      <c r="L60">
        <v>3.0158331777770603E-5</v>
      </c>
      <c r="M60">
        <v>1.7810102176691241E-6</v>
      </c>
      <c r="N60" s="1">
        <v>-1.5425713426628201E-8</v>
      </c>
      <c r="O60" s="1">
        <v>6.0690246895617503E-12</v>
      </c>
      <c r="P60" s="1">
        <v>6.0052214942137703E-11</v>
      </c>
      <c r="Q60">
        <v>63.7712312013889</v>
      </c>
      <c r="S60">
        <v>22.460404667974</v>
      </c>
      <c r="AA60">
        <v>3.6499188349612801</v>
      </c>
      <c r="AB60">
        <v>8.6585632010918907</v>
      </c>
      <c r="AC60">
        <v>1.45988209458388</v>
      </c>
      <c r="AJ60">
        <v>0.744118307430082</v>
      </c>
      <c r="AK60">
        <v>0.173336552856003</v>
      </c>
      <c r="AL60">
        <v>8.2545139713913293E-2</v>
      </c>
    </row>
    <row r="61" spans="1:38" x14ac:dyDescent="0.2">
      <c r="A61">
        <v>86</v>
      </c>
      <c r="B61">
        <v>768</v>
      </c>
      <c r="C61">
        <v>150</v>
      </c>
      <c r="D61">
        <v>0.442818517984921</v>
      </c>
      <c r="E61">
        <v>2.59238122123663</v>
      </c>
      <c r="F61">
        <v>2.5801908362975601</v>
      </c>
      <c r="G61">
        <v>-42.210432265144298</v>
      </c>
      <c r="H61">
        <v>-36.502693917522954</v>
      </c>
      <c r="I61">
        <v>5.4821479591041999</v>
      </c>
      <c r="J61">
        <v>3.1480492520948702</v>
      </c>
      <c r="K61">
        <v>1.00472460593517</v>
      </c>
      <c r="L61">
        <v>3.0212383520551076E-5</v>
      </c>
      <c r="M61">
        <v>1.7831004234302769E-6</v>
      </c>
      <c r="N61" s="1">
        <v>-2.3065124195889301E-8</v>
      </c>
      <c r="O61" s="1">
        <v>8.8039462794227107E-12</v>
      </c>
      <c r="P61" s="1">
        <v>8.9067805353872896E-11</v>
      </c>
      <c r="Q61">
        <v>63.863753850975598</v>
      </c>
      <c r="S61">
        <v>22.3822818644067</v>
      </c>
      <c r="AA61">
        <v>3.5638778266893798</v>
      </c>
      <c r="AB61">
        <v>8.6599358786208303</v>
      </c>
      <c r="AC61">
        <v>1.53015057930732</v>
      </c>
      <c r="AJ61">
        <v>0.74423256946333904</v>
      </c>
      <c r="AK61">
        <v>0.16924957758879899</v>
      </c>
      <c r="AL61">
        <v>8.6517852947861004E-2</v>
      </c>
    </row>
    <row r="62" spans="1:38" x14ac:dyDescent="0.2">
      <c r="A62">
        <v>87</v>
      </c>
      <c r="B62">
        <v>767</v>
      </c>
      <c r="C62">
        <v>150</v>
      </c>
      <c r="D62">
        <v>0.44221554583473799</v>
      </c>
      <c r="E62">
        <v>3.4089952728066599</v>
      </c>
      <c r="F62">
        <v>2.5791719538576499</v>
      </c>
      <c r="G62">
        <v>-55.485833380959093</v>
      </c>
      <c r="H62">
        <v>-47.990353722205121</v>
      </c>
      <c r="I62">
        <v>7.2061526306340102</v>
      </c>
      <c r="J62">
        <v>4.1403131813349701</v>
      </c>
      <c r="K62">
        <v>1.3217402072428099</v>
      </c>
      <c r="L62">
        <v>3.0264515525300349E-5</v>
      </c>
      <c r="M62">
        <v>1.7851645451225827E-6</v>
      </c>
      <c r="N62" s="1">
        <v>-3.1287755252313003E-8</v>
      </c>
      <c r="O62" s="1">
        <v>1.1594248050008001E-11</v>
      </c>
      <c r="P62" s="1">
        <v>1.1988355121329999E-10</v>
      </c>
      <c r="Q62">
        <v>63.956495486839401</v>
      </c>
      <c r="S62">
        <v>22.302457887585</v>
      </c>
      <c r="AA62">
        <v>3.4763822356098202</v>
      </c>
      <c r="AB62">
        <v>8.6573367084722204</v>
      </c>
      <c r="AC62">
        <v>1.6073276814934501</v>
      </c>
      <c r="AJ62">
        <v>0.74402021712146005</v>
      </c>
      <c r="AK62">
        <v>0.1650968321771</v>
      </c>
      <c r="AL62">
        <v>9.0882950701438106E-2</v>
      </c>
    </row>
    <row r="63" spans="1:38" x14ac:dyDescent="0.2">
      <c r="A63">
        <v>88</v>
      </c>
      <c r="B63">
        <v>766</v>
      </c>
      <c r="C63">
        <v>150</v>
      </c>
      <c r="D63">
        <v>0.44161141317423203</v>
      </c>
      <c r="E63">
        <v>4.2377699010288303</v>
      </c>
      <c r="F63">
        <v>2.5781049195169099</v>
      </c>
      <c r="G63">
        <v>-68.94735046046479</v>
      </c>
      <c r="H63">
        <v>-59.642396396220462</v>
      </c>
      <c r="I63">
        <v>8.9543897072071594</v>
      </c>
      <c r="J63">
        <v>5.1475570220414104</v>
      </c>
      <c r="K63">
        <v>1.6437538553795099</v>
      </c>
      <c r="L63">
        <v>3.0314314869630682E-5</v>
      </c>
      <c r="M63">
        <v>1.7871969525162198E-6</v>
      </c>
      <c r="N63" s="1">
        <v>-4.0093486892472503E-8</v>
      </c>
      <c r="O63" s="1">
        <v>1.4435054552799E-11</v>
      </c>
      <c r="P63" s="1">
        <v>1.5248194281432899E-10</v>
      </c>
      <c r="Q63">
        <v>64.049406744851595</v>
      </c>
      <c r="S63">
        <v>22.2207642607918</v>
      </c>
      <c r="AA63">
        <v>3.3873045851507402</v>
      </c>
      <c r="AB63">
        <v>8.65021400171522</v>
      </c>
      <c r="AC63">
        <v>1.6923104074905899</v>
      </c>
      <c r="AJ63">
        <v>0.74343585149719205</v>
      </c>
      <c r="AK63">
        <v>0.160872454921036</v>
      </c>
      <c r="AL63">
        <v>9.5691693581771001E-2</v>
      </c>
    </row>
    <row r="64" spans="1:38" x14ac:dyDescent="0.2">
      <c r="A64">
        <v>89</v>
      </c>
      <c r="B64">
        <v>765</v>
      </c>
      <c r="C64">
        <v>150</v>
      </c>
      <c r="D64">
        <v>0.44100611664981298</v>
      </c>
      <c r="E64">
        <v>5.0833768958844301</v>
      </c>
      <c r="F64">
        <v>2.5769742118857302</v>
      </c>
      <c r="G64">
        <v>-82.669285779183056</v>
      </c>
      <c r="H64">
        <v>-71.523039514238889</v>
      </c>
      <c r="I64">
        <v>10.7366433222021</v>
      </c>
      <c r="J64">
        <v>6.1753820519262304</v>
      </c>
      <c r="K64">
        <v>1.9726145773746799</v>
      </c>
      <c r="L64">
        <v>3.0361367714945213E-5</v>
      </c>
      <c r="M64">
        <v>1.7892032415798146E-6</v>
      </c>
      <c r="N64" s="1">
        <v>-4.9536933425303002E-8</v>
      </c>
      <c r="O64" s="1">
        <v>1.7343553287769199E-11</v>
      </c>
      <c r="P64" s="1">
        <v>1.87057611915115E-10</v>
      </c>
      <c r="Q64">
        <v>64.1430836291444</v>
      </c>
      <c r="S64">
        <v>22.1363725828745</v>
      </c>
      <c r="AA64">
        <v>3.2958223664626001</v>
      </c>
      <c r="AB64">
        <v>8.6377241602810901</v>
      </c>
      <c r="AC64">
        <v>1.7869972612373299</v>
      </c>
      <c r="AJ64">
        <v>0.74241001388272498</v>
      </c>
      <c r="AK64">
        <v>0.156537746373662</v>
      </c>
      <c r="AL64">
        <v>0.10105223974361099</v>
      </c>
    </row>
    <row r="65" spans="1:38" x14ac:dyDescent="0.2">
      <c r="A65">
        <v>90</v>
      </c>
      <c r="B65">
        <v>764</v>
      </c>
      <c r="C65">
        <v>150</v>
      </c>
      <c r="D65">
        <v>0.44039965289495597</v>
      </c>
      <c r="E65">
        <v>6.6213485161069903</v>
      </c>
      <c r="F65">
        <v>2.5770514533026998</v>
      </c>
      <c r="G65">
        <v>-107.65743546797155</v>
      </c>
      <c r="H65">
        <v>-93.161685083490184</v>
      </c>
      <c r="I65">
        <v>13.9765225709698</v>
      </c>
      <c r="J65">
        <v>8.0441644190060408</v>
      </c>
      <c r="K65">
        <v>2.5693505295057899</v>
      </c>
      <c r="L65">
        <v>3.0363086084829166E-5</v>
      </c>
      <c r="M65">
        <v>1.7887491252486172E-6</v>
      </c>
      <c r="N65" s="1">
        <v>-6.6299467736998103E-8</v>
      </c>
      <c r="O65" s="1">
        <v>2.2573956454439699E-11</v>
      </c>
      <c r="P65" s="1">
        <v>2.48783905090202E-10</v>
      </c>
      <c r="Q65">
        <v>64.122857003854406</v>
      </c>
      <c r="S65">
        <v>22.143100350642801</v>
      </c>
      <c r="AA65">
        <v>3.3060924502540798</v>
      </c>
      <c r="AB65">
        <v>8.6102879282047997</v>
      </c>
      <c r="AC65">
        <v>1.8176622670438201</v>
      </c>
      <c r="AJ65">
        <v>0.74015275028072403</v>
      </c>
      <c r="AK65">
        <v>0.15704693571391101</v>
      </c>
      <c r="AL65">
        <v>0.10280031400536301</v>
      </c>
    </row>
    <row r="66" spans="1:38" x14ac:dyDescent="0.2">
      <c r="A66">
        <v>90</v>
      </c>
      <c r="B66">
        <v>764</v>
      </c>
      <c r="C66">
        <v>150</v>
      </c>
      <c r="D66">
        <v>0.44039965289495597</v>
      </c>
      <c r="E66">
        <v>3.7078115593262102</v>
      </c>
      <c r="F66">
        <v>2.5199581355943299</v>
      </c>
      <c r="G66">
        <v>-58.744438740005457</v>
      </c>
      <c r="H66">
        <v>-50.745841702353324</v>
      </c>
      <c r="I66">
        <v>7.71209279048559</v>
      </c>
      <c r="J66">
        <v>4.4003307756036296</v>
      </c>
      <c r="K66">
        <v>1.4713782371831801</v>
      </c>
      <c r="L66">
        <v>2.8187626559928543E-5</v>
      </c>
      <c r="M66">
        <v>1.7961300149167671E-6</v>
      </c>
      <c r="N66" s="1">
        <v>-1.4764717616217301E-8</v>
      </c>
      <c r="O66" s="1">
        <v>1.4106088745219199E-11</v>
      </c>
      <c r="P66" s="1">
        <v>7.2290834728978305E-11</v>
      </c>
      <c r="Q66">
        <v>65.890257796288495</v>
      </c>
      <c r="S66">
        <v>19.060703205428698</v>
      </c>
      <c r="AA66">
        <v>0.350684431232271</v>
      </c>
      <c r="AB66">
        <v>4.4679409747536196</v>
      </c>
      <c r="AC66">
        <v>10.2304135922968</v>
      </c>
      <c r="AJ66">
        <v>0.39217948567016497</v>
      </c>
      <c r="AK66">
        <v>1.7010015975966498E-2</v>
      </c>
      <c r="AL66">
        <v>0.59081049835386801</v>
      </c>
    </row>
    <row r="67" spans="1:38" x14ac:dyDescent="0.2">
      <c r="A67">
        <v>91</v>
      </c>
      <c r="B67">
        <v>763</v>
      </c>
      <c r="C67">
        <v>150</v>
      </c>
      <c r="D67">
        <v>0.43979201853014099</v>
      </c>
      <c r="E67">
        <v>8.6317048987178602</v>
      </c>
      <c r="F67">
        <v>2.5785761780215899</v>
      </c>
      <c r="G67">
        <v>-140.35486397852611</v>
      </c>
      <c r="H67">
        <v>-121.49140757523294</v>
      </c>
      <c r="I67">
        <v>18.205333593874599</v>
      </c>
      <c r="J67">
        <v>10.4869245654605</v>
      </c>
      <c r="K67">
        <v>3.34746941831306</v>
      </c>
      <c r="L67">
        <v>3.0320073012192928E-5</v>
      </c>
      <c r="M67">
        <v>1.785589176995794E-6</v>
      </c>
      <c r="N67" s="1">
        <v>-8.8695415861016797E-8</v>
      </c>
      <c r="O67" s="1">
        <v>2.9322164634378399E-11</v>
      </c>
      <c r="P67" s="1">
        <v>3.3092555635475802E-10</v>
      </c>
      <c r="Q67">
        <v>63.974342542000699</v>
      </c>
      <c r="S67">
        <v>22.256193838626402</v>
      </c>
      <c r="AA67">
        <v>3.4340495551760002</v>
      </c>
      <c r="AB67">
        <v>8.5758206948967501</v>
      </c>
      <c r="AC67">
        <v>1.7595933693000001</v>
      </c>
      <c r="AJ67">
        <v>0.73731432828094101</v>
      </c>
      <c r="AK67">
        <v>0.16315272425140001</v>
      </c>
      <c r="AL67">
        <v>9.9532947467658006E-2</v>
      </c>
    </row>
    <row r="68" spans="1:38" x14ac:dyDescent="0.2">
      <c r="A68">
        <v>91</v>
      </c>
      <c r="B68">
        <v>763</v>
      </c>
      <c r="C68">
        <v>150</v>
      </c>
      <c r="D68">
        <v>0.43979201853014099</v>
      </c>
      <c r="E68">
        <v>10.7070351568173</v>
      </c>
      <c r="F68">
        <v>2.5198984715412598</v>
      </c>
      <c r="G68">
        <v>-169.55471277371439</v>
      </c>
      <c r="H68">
        <v>-146.50247330121732</v>
      </c>
      <c r="I68">
        <v>22.247975170098002</v>
      </c>
      <c r="J68">
        <v>12.7021483687287</v>
      </c>
      <c r="K68">
        <v>4.2489946629748703</v>
      </c>
      <c r="L68">
        <v>2.8142485291147253E-5</v>
      </c>
      <c r="M68">
        <v>1.7954011069680197E-6</v>
      </c>
      <c r="N68" s="1">
        <v>-4.3113643481549699E-8</v>
      </c>
      <c r="O68" s="1">
        <v>4.0751423136985403E-11</v>
      </c>
      <c r="P68" s="1">
        <v>2.1007569242349999E-10</v>
      </c>
      <c r="Q68">
        <v>65.866179957368999</v>
      </c>
      <c r="S68">
        <v>19.050992843303899</v>
      </c>
      <c r="AA68">
        <v>0.34829151759988802</v>
      </c>
      <c r="AB68">
        <v>4.3888278249801402</v>
      </c>
      <c r="AC68">
        <v>10.345707856747</v>
      </c>
      <c r="AJ68">
        <v>0.38539016593873299</v>
      </c>
      <c r="AK68">
        <v>1.6900742029569302E-2</v>
      </c>
      <c r="AL68">
        <v>0.59770909203169598</v>
      </c>
    </row>
    <row r="69" spans="1:38" x14ac:dyDescent="0.2">
      <c r="A69">
        <v>92</v>
      </c>
      <c r="B69">
        <v>762</v>
      </c>
      <c r="C69">
        <v>150</v>
      </c>
      <c r="D69">
        <v>0.439183210162781</v>
      </c>
      <c r="E69">
        <v>15.410175104750101</v>
      </c>
      <c r="F69">
        <v>2.5829026755242599</v>
      </c>
      <c r="G69">
        <v>-250.67677342378684</v>
      </c>
      <c r="H69">
        <v>-217.07868217299912</v>
      </c>
      <c r="I69">
        <v>32.457219968881503</v>
      </c>
      <c r="J69">
        <v>18.714345082563302</v>
      </c>
      <c r="K69">
        <v>5.9662236795748296</v>
      </c>
      <c r="L69">
        <v>3.0116200632955498E-5</v>
      </c>
      <c r="M69">
        <v>1.7753147891762705E-6</v>
      </c>
      <c r="N69" s="1">
        <v>-1.60226352620903E-7</v>
      </c>
      <c r="O69" s="1">
        <v>5.1872902569024903E-11</v>
      </c>
      <c r="P69" s="1">
        <v>5.9642732796236502E-10</v>
      </c>
      <c r="Q69">
        <v>63.515613756952703</v>
      </c>
      <c r="S69">
        <v>22.5979029348434</v>
      </c>
      <c r="AA69">
        <v>3.8230011491430398</v>
      </c>
      <c r="AB69">
        <v>8.4494030144182606</v>
      </c>
      <c r="AC69">
        <v>1.6140791446424501</v>
      </c>
      <c r="AJ69">
        <v>0.72689671539380896</v>
      </c>
      <c r="AK69">
        <v>0.18174476071756299</v>
      </c>
      <c r="AL69">
        <v>9.1358523888627405E-2</v>
      </c>
    </row>
    <row r="70" spans="1:38" x14ac:dyDescent="0.2">
      <c r="A70">
        <v>92</v>
      </c>
      <c r="B70">
        <v>762</v>
      </c>
      <c r="C70">
        <v>150</v>
      </c>
      <c r="D70">
        <v>0.439183210162781</v>
      </c>
      <c r="E70">
        <v>31.495571889375899</v>
      </c>
      <c r="F70">
        <v>2.5197455082001401</v>
      </c>
      <c r="G70">
        <v>-498.24170312826249</v>
      </c>
      <c r="H70">
        <v>-430.61525741207072</v>
      </c>
      <c r="I70">
        <v>65.330092949033201</v>
      </c>
      <c r="J70">
        <v>37.323170698740903</v>
      </c>
      <c r="K70">
        <v>12.499505123385701</v>
      </c>
      <c r="L70">
        <v>2.8003789652737986E-5</v>
      </c>
      <c r="M70">
        <v>1.7932448035700541E-6</v>
      </c>
      <c r="N70" s="1">
        <v>-1.2190334268921099E-7</v>
      </c>
      <c r="O70" s="1">
        <v>1.20068417575024E-10</v>
      </c>
      <c r="P70" s="1">
        <v>6.0311630054405596E-10</v>
      </c>
      <c r="Q70">
        <v>65.797225913991994</v>
      </c>
      <c r="S70">
        <v>19.030138196555001</v>
      </c>
      <c r="AA70">
        <v>0.34717570385742202</v>
      </c>
      <c r="AB70">
        <v>4.1804942687413904</v>
      </c>
      <c r="AC70">
        <v>10.644965916854099</v>
      </c>
      <c r="AJ70">
        <v>0.36748523322673998</v>
      </c>
      <c r="AK70">
        <v>1.6864457489680702E-2</v>
      </c>
      <c r="AL70">
        <v>0.615650309283579</v>
      </c>
    </row>
    <row r="71" spans="1:38" x14ac:dyDescent="0.2">
      <c r="A71">
        <v>93</v>
      </c>
      <c r="B71">
        <v>761</v>
      </c>
      <c r="C71">
        <v>150</v>
      </c>
      <c r="D71">
        <v>0.43857322438717999</v>
      </c>
      <c r="E71">
        <v>17.566135628104899</v>
      </c>
      <c r="F71">
        <v>2.5844889810190801</v>
      </c>
      <c r="G71">
        <v>-285.76461748907229</v>
      </c>
      <c r="H71">
        <v>-247.53599481277033</v>
      </c>
      <c r="I71">
        <v>36.966226056473403</v>
      </c>
      <c r="J71">
        <v>21.3321923508142</v>
      </c>
      <c r="K71">
        <v>6.7967539258683498</v>
      </c>
      <c r="L71">
        <v>3.0059993180864615E-5</v>
      </c>
      <c r="M71">
        <v>1.771688583753124E-6</v>
      </c>
      <c r="N71" s="1">
        <v>-1.87129635814436E-7</v>
      </c>
      <c r="O71" s="1">
        <v>5.8903515779057097E-11</v>
      </c>
      <c r="P71" s="1">
        <v>6.9292142210748998E-10</v>
      </c>
      <c r="Q71">
        <v>63.350455998598697</v>
      </c>
      <c r="S71">
        <v>22.720716082172899</v>
      </c>
      <c r="AA71">
        <v>3.9628605582566601</v>
      </c>
      <c r="AB71">
        <v>8.4033284378543893</v>
      </c>
      <c r="AC71">
        <v>1.56263892311719</v>
      </c>
      <c r="AJ71">
        <v>0.72309669077835403</v>
      </c>
      <c r="AK71">
        <v>0.188436321369092</v>
      </c>
      <c r="AL71">
        <v>8.84669878525529E-2</v>
      </c>
    </row>
    <row r="72" spans="1:38" x14ac:dyDescent="0.2">
      <c r="A72">
        <v>93</v>
      </c>
      <c r="B72">
        <v>761</v>
      </c>
      <c r="C72">
        <v>150</v>
      </c>
      <c r="D72">
        <v>0.43857322438717999</v>
      </c>
      <c r="E72">
        <v>37.851596542128597</v>
      </c>
      <c r="F72">
        <v>2.51972531639279</v>
      </c>
      <c r="G72">
        <v>-598.51039407847111</v>
      </c>
      <c r="H72">
        <v>-517.39613454040943</v>
      </c>
      <c r="I72">
        <v>78.435681030857793</v>
      </c>
      <c r="J72">
        <v>44.839112042566597</v>
      </c>
      <c r="K72">
        <v>15.0221122500433</v>
      </c>
      <c r="L72">
        <v>2.7960080848869706E-5</v>
      </c>
      <c r="M72">
        <v>1.7925610682697089E-6</v>
      </c>
      <c r="N72" s="1">
        <v>-1.48104988697676E-7</v>
      </c>
      <c r="O72" s="1">
        <v>1.4435771397755499E-10</v>
      </c>
      <c r="P72" s="1">
        <v>7.2924352081108205E-10</v>
      </c>
      <c r="Q72">
        <v>65.773770805024</v>
      </c>
      <c r="S72">
        <v>19.020986148190801</v>
      </c>
      <c r="AA72">
        <v>0.34509809927331198</v>
      </c>
      <c r="AB72">
        <v>4.1042325313848202</v>
      </c>
      <c r="AC72">
        <v>10.7559124161269</v>
      </c>
      <c r="AJ72">
        <v>0.36092154368058599</v>
      </c>
      <c r="AK72">
        <v>1.6770044129321999E-2</v>
      </c>
      <c r="AL72">
        <v>0.62230841219009103</v>
      </c>
    </row>
    <row r="73" spans="1:38" x14ac:dyDescent="0.2">
      <c r="A73">
        <v>94</v>
      </c>
      <c r="B73">
        <v>760</v>
      </c>
      <c r="C73">
        <v>150</v>
      </c>
      <c r="D73">
        <v>0.43796205778444602</v>
      </c>
      <c r="E73">
        <v>18.341204454346698</v>
      </c>
      <c r="F73">
        <v>2.58511508837893</v>
      </c>
      <c r="G73">
        <v>-298.35794644398885</v>
      </c>
      <c r="H73">
        <v>-258.50772910962604</v>
      </c>
      <c r="I73">
        <v>38.571569795637402</v>
      </c>
      <c r="J73">
        <v>22.2768359834661</v>
      </c>
      <c r="K73">
        <v>7.0949276250010396</v>
      </c>
      <c r="L73">
        <v>3.0060407524000636E-5</v>
      </c>
      <c r="M73">
        <v>1.7705201284559248E-6</v>
      </c>
      <c r="N73" s="1">
        <v>-2.0118866101036901E-7</v>
      </c>
      <c r="O73" s="1">
        <v>6.1381468907109401E-11</v>
      </c>
      <c r="P73" s="1">
        <v>7.4029680041899803E-10</v>
      </c>
      <c r="Q73">
        <v>63.292111790494801</v>
      </c>
      <c r="S73">
        <v>22.764931681138499</v>
      </c>
      <c r="AA73">
        <v>4.0129527034794101</v>
      </c>
      <c r="AB73">
        <v>8.3892284394946</v>
      </c>
      <c r="AC73">
        <v>1.5407753853925501</v>
      </c>
      <c r="AJ73">
        <v>0.72193332878863903</v>
      </c>
      <c r="AK73">
        <v>0.19083142925052901</v>
      </c>
      <c r="AL73">
        <v>8.72352419608311E-2</v>
      </c>
    </row>
    <row r="74" spans="1:38" x14ac:dyDescent="0.2">
      <c r="A74">
        <v>94</v>
      </c>
      <c r="B74">
        <v>760</v>
      </c>
      <c r="C74">
        <v>150</v>
      </c>
      <c r="D74">
        <v>0.43796205778444602</v>
      </c>
      <c r="E74">
        <v>40.014507687035803</v>
      </c>
      <c r="F74">
        <v>2.51973703539403</v>
      </c>
      <c r="G74">
        <v>-632.53457386335151</v>
      </c>
      <c r="H74">
        <v>-546.93214890290699</v>
      </c>
      <c r="I74">
        <v>82.855756628218998</v>
      </c>
      <c r="J74">
        <v>47.396179327005903</v>
      </c>
      <c r="K74">
        <v>15.880430030976701</v>
      </c>
      <c r="L74">
        <v>2.7948265967797029E-5</v>
      </c>
      <c r="M74">
        <v>1.7923611790137762E-6</v>
      </c>
      <c r="N74" s="1">
        <v>-1.6108612152595699E-7</v>
      </c>
      <c r="O74" s="1">
        <v>1.5260539885969899E-10</v>
      </c>
      <c r="P74" s="1">
        <v>7.8392777106051502E-10</v>
      </c>
      <c r="Q74">
        <v>65.765508007319795</v>
      </c>
      <c r="S74">
        <v>19.015696286561401</v>
      </c>
      <c r="AA74">
        <v>0.34266192014975499</v>
      </c>
      <c r="AB74">
        <v>4.0719512697440701</v>
      </c>
      <c r="AC74">
        <v>10.8041825162249</v>
      </c>
      <c r="AJ74">
        <v>0.358141639092105</v>
      </c>
      <c r="AK74">
        <v>1.66543957121255E-2</v>
      </c>
      <c r="AL74">
        <v>0.62520396519576804</v>
      </c>
    </row>
    <row r="75" spans="1:38" x14ac:dyDescent="0.2">
      <c r="A75">
        <v>96</v>
      </c>
      <c r="B75">
        <v>787</v>
      </c>
      <c r="C75">
        <v>125</v>
      </c>
      <c r="D75">
        <v>0.479998585105882</v>
      </c>
      <c r="E75">
        <v>0.186929584921189</v>
      </c>
      <c r="F75">
        <v>2.5808556100284799</v>
      </c>
      <c r="G75">
        <v>-3.05485509772417</v>
      </c>
      <c r="H75">
        <v>-2.6316071926273108</v>
      </c>
      <c r="I75">
        <v>0.39923398113178199</v>
      </c>
      <c r="J75">
        <v>0.22645005974244201</v>
      </c>
      <c r="K75">
        <v>7.2429307627607298E-2</v>
      </c>
      <c r="L75">
        <v>2.9713004078233836E-5</v>
      </c>
      <c r="M75">
        <v>1.7752041638652972E-6</v>
      </c>
      <c r="N75" s="1">
        <v>-8.7629333422804202E-10</v>
      </c>
      <c r="O75" s="1">
        <v>6.3749930932707398E-13</v>
      </c>
      <c r="P75" s="1">
        <v>4.1232766937841601E-12</v>
      </c>
      <c r="Q75">
        <v>63.546838459362</v>
      </c>
      <c r="S75">
        <v>22.635683477088399</v>
      </c>
      <c r="AA75">
        <v>3.8468846258988298</v>
      </c>
      <c r="AB75">
        <v>8.6180321928364592</v>
      </c>
      <c r="AC75">
        <v>1.3525612448142199</v>
      </c>
      <c r="AJ75">
        <v>0.74078129945756399</v>
      </c>
      <c r="AK75">
        <v>0.182726632209253</v>
      </c>
      <c r="AL75">
        <v>7.6492068333182006E-2</v>
      </c>
    </row>
    <row r="76" spans="1:38" x14ac:dyDescent="0.2">
      <c r="A76">
        <v>97</v>
      </c>
      <c r="B76">
        <v>786</v>
      </c>
      <c r="C76">
        <v>125</v>
      </c>
      <c r="D76">
        <v>0.47944153330501299</v>
      </c>
      <c r="E76">
        <v>0.47973690615398201</v>
      </c>
      <c r="F76">
        <v>2.5804885344948199</v>
      </c>
      <c r="G76">
        <v>-7.8384494669115377</v>
      </c>
      <c r="H76">
        <v>-6.7537370111547901</v>
      </c>
      <c r="I76">
        <v>1.02413487773851</v>
      </c>
      <c r="J76">
        <v>0.58122183927131899</v>
      </c>
      <c r="K76">
        <v>0.18590933450820299</v>
      </c>
      <c r="L76">
        <v>2.9747228950110838E-5</v>
      </c>
      <c r="M76">
        <v>1.7763575165806469E-6</v>
      </c>
      <c r="N76" s="1">
        <v>-2.3300610616976499E-9</v>
      </c>
      <c r="O76" s="1">
        <v>1.6368653341137401E-12</v>
      </c>
      <c r="P76" s="1">
        <v>1.0819650122643801E-11</v>
      </c>
      <c r="Q76">
        <v>63.593214883328997</v>
      </c>
      <c r="S76">
        <v>22.600149186234201</v>
      </c>
      <c r="AA76">
        <v>3.8067471675757099</v>
      </c>
      <c r="AB76">
        <v>8.6282218037951104</v>
      </c>
      <c r="AC76">
        <v>1.3716669590658901</v>
      </c>
      <c r="AJ76">
        <v>0.74162020723063604</v>
      </c>
      <c r="AK76">
        <v>0.18081109546131899</v>
      </c>
      <c r="AL76">
        <v>7.7568697308043499E-2</v>
      </c>
    </row>
    <row r="77" spans="1:38" x14ac:dyDescent="0.2">
      <c r="A77">
        <v>98</v>
      </c>
      <c r="B77">
        <v>785</v>
      </c>
      <c r="C77">
        <v>125</v>
      </c>
      <c r="D77">
        <v>0.47888342862543298</v>
      </c>
      <c r="E77">
        <v>0.77266216156185896</v>
      </c>
      <c r="F77">
        <v>2.58012433107023</v>
      </c>
      <c r="G77">
        <v>-12.622077125581542</v>
      </c>
      <c r="H77">
        <v>-10.877483257603416</v>
      </c>
      <c r="I77">
        <v>1.6487207560157999</v>
      </c>
      <c r="J77">
        <v>0.93621166696263103</v>
      </c>
      <c r="K77">
        <v>0.29946702655269303</v>
      </c>
      <c r="L77">
        <v>2.9781414529474743E-5</v>
      </c>
      <c r="M77">
        <v>1.7774946615868966E-6</v>
      </c>
      <c r="N77" s="1">
        <v>-3.88683494899279E-9</v>
      </c>
      <c r="O77" s="1">
        <v>2.63754100640348E-12</v>
      </c>
      <c r="P77" s="1">
        <v>1.7818514931823301E-11</v>
      </c>
      <c r="Q77">
        <v>63.638937961428397</v>
      </c>
      <c r="S77">
        <v>22.5649933130546</v>
      </c>
      <c r="AA77">
        <v>3.7670743570352299</v>
      </c>
      <c r="AB77">
        <v>8.6379475396506393</v>
      </c>
      <c r="AC77">
        <v>1.3910468288309701</v>
      </c>
      <c r="AJ77">
        <v>0.74242086805157403</v>
      </c>
      <c r="AK77">
        <v>0.178918229304115</v>
      </c>
      <c r="AL77">
        <v>7.8660902644310804E-2</v>
      </c>
    </row>
    <row r="78" spans="1:38" x14ac:dyDescent="0.2">
      <c r="A78">
        <v>99</v>
      </c>
      <c r="B78">
        <v>784</v>
      </c>
      <c r="C78">
        <v>125</v>
      </c>
      <c r="D78">
        <v>0.47832426807926898</v>
      </c>
      <c r="E78">
        <v>1.0656702190756</v>
      </c>
      <c r="F78">
        <v>2.57976294750957</v>
      </c>
      <c r="G78">
        <v>-17.405153293208311</v>
      </c>
      <c r="H78">
        <v>-15.002344546147102</v>
      </c>
      <c r="I78">
        <v>2.2729118356536002</v>
      </c>
      <c r="J78">
        <v>1.29138012872665</v>
      </c>
      <c r="K78">
        <v>0.41308842740933799</v>
      </c>
      <c r="L78">
        <v>2.9815570760788518E-5</v>
      </c>
      <c r="M78">
        <v>1.7786156919993937E-6</v>
      </c>
      <c r="N78" s="1">
        <v>-5.5504690284542304E-9</v>
      </c>
      <c r="O78" s="1">
        <v>3.6393488308549899E-12</v>
      </c>
      <c r="P78" s="1">
        <v>2.5130624130145201E-11</v>
      </c>
      <c r="Q78">
        <v>63.684010796659202</v>
      </c>
      <c r="S78">
        <v>22.530212653682199</v>
      </c>
      <c r="AA78">
        <v>3.7278628270115099</v>
      </c>
      <c r="AB78">
        <v>8.6472079159145494</v>
      </c>
      <c r="AC78">
        <v>1.4107058067324301</v>
      </c>
      <c r="AJ78">
        <v>0.74318317085240704</v>
      </c>
      <c r="AK78">
        <v>0.177047858854498</v>
      </c>
      <c r="AL78">
        <v>7.9768970293094099E-2</v>
      </c>
    </row>
    <row r="79" spans="1:38" x14ac:dyDescent="0.2">
      <c r="A79">
        <v>100</v>
      </c>
      <c r="B79">
        <v>783</v>
      </c>
      <c r="C79">
        <v>125</v>
      </c>
      <c r="D79">
        <v>0.47776404866733202</v>
      </c>
      <c r="E79">
        <v>1.35872667457605</v>
      </c>
      <c r="F79">
        <v>2.5794043267278899</v>
      </c>
      <c r="G79">
        <v>-22.187105245712271</v>
      </c>
      <c r="H79">
        <v>-19.127829433100558</v>
      </c>
      <c r="I79">
        <v>2.8966300360855102</v>
      </c>
      <c r="J79">
        <v>1.6466888223472</v>
      </c>
      <c r="K79">
        <v>0.52675986486370896</v>
      </c>
      <c r="L79">
        <v>2.9849708035092817E-5</v>
      </c>
      <c r="M79">
        <v>1.7797207112971122E-6</v>
      </c>
      <c r="N79" s="1">
        <v>-7.3249646732122304E-9</v>
      </c>
      <c r="O79" s="1">
        <v>4.6421126545146502E-12</v>
      </c>
      <c r="P79" s="1">
        <v>3.2767147212860398E-11</v>
      </c>
      <c r="Q79">
        <v>63.728436947192101</v>
      </c>
      <c r="S79">
        <v>22.495803628471499</v>
      </c>
      <c r="AA79">
        <v>3.6891087940100098</v>
      </c>
      <c r="AB79">
        <v>8.6560014772739304</v>
      </c>
      <c r="AC79">
        <v>1.43064915305228</v>
      </c>
      <c r="AJ79">
        <v>0.74390700648460295</v>
      </c>
      <c r="AK79">
        <v>0.17519978972577299</v>
      </c>
      <c r="AL79">
        <v>8.08932037896226E-2</v>
      </c>
    </row>
    <row r="80" spans="1:38" x14ac:dyDescent="0.2">
      <c r="A80">
        <v>101</v>
      </c>
      <c r="B80">
        <v>782</v>
      </c>
      <c r="C80">
        <v>125</v>
      </c>
      <c r="D80">
        <v>0.47720276737904699</v>
      </c>
      <c r="E80">
        <v>1.65179796727596</v>
      </c>
      <c r="F80">
        <v>2.5790484067513799</v>
      </c>
      <c r="G80">
        <v>-26.967374165212359</v>
      </c>
      <c r="H80">
        <v>-23.253458016643506</v>
      </c>
      <c r="I80">
        <v>3.5197992215029599</v>
      </c>
      <c r="J80">
        <v>2.0021005025551402</v>
      </c>
      <c r="K80">
        <v>0.64046799701468304</v>
      </c>
      <c r="L80">
        <v>2.988383718974289E-5</v>
      </c>
      <c r="M80">
        <v>1.7808098330586652E-6</v>
      </c>
      <c r="N80" s="1">
        <v>-9.2144779296078108E-9</v>
      </c>
      <c r="O80" s="1">
        <v>5.6456580815716201E-12</v>
      </c>
      <c r="P80" s="1">
        <v>4.0739691387514202E-11</v>
      </c>
      <c r="Q80">
        <v>63.772220418231399</v>
      </c>
      <c r="S80">
        <v>22.461762284312702</v>
      </c>
      <c r="AA80">
        <v>3.6508080621148302</v>
      </c>
      <c r="AB80">
        <v>8.66432678551989</v>
      </c>
      <c r="AC80">
        <v>1.4508824498210899</v>
      </c>
      <c r="AJ80">
        <v>0.74459226672002798</v>
      </c>
      <c r="AK80">
        <v>0.17337380822172499</v>
      </c>
      <c r="AL80">
        <v>8.2033925058245305E-2</v>
      </c>
    </row>
    <row r="81" spans="1:38" x14ac:dyDescent="0.2">
      <c r="A81">
        <v>102</v>
      </c>
      <c r="B81">
        <v>781</v>
      </c>
      <c r="C81">
        <v>125</v>
      </c>
      <c r="D81">
        <v>0.476640421192431</v>
      </c>
      <c r="E81">
        <v>1.94485150120563</v>
      </c>
      <c r="F81">
        <v>2.57869512057523</v>
      </c>
      <c r="G81">
        <v>-31.745417084322856</v>
      </c>
      <c r="H81">
        <v>-27.378763619881514</v>
      </c>
      <c r="I81">
        <v>4.1423454578962602</v>
      </c>
      <c r="J81">
        <v>2.3575792335801098</v>
      </c>
      <c r="K81">
        <v>0.75419986088615099</v>
      </c>
      <c r="L81">
        <v>2.9917969502659691E-5</v>
      </c>
      <c r="M81">
        <v>1.781883180653718E-6</v>
      </c>
      <c r="N81" s="1">
        <v>-1.12233272859375E-8</v>
      </c>
      <c r="O81" s="1">
        <v>6.6498129084240796E-12</v>
      </c>
      <c r="P81" s="1">
        <v>4.9060324055311399E-11</v>
      </c>
      <c r="Q81">
        <v>63.8153656546882</v>
      </c>
      <c r="S81">
        <v>22.428084292519699</v>
      </c>
      <c r="AA81">
        <v>3.6129560229565798</v>
      </c>
      <c r="AB81">
        <v>8.6721823976857593</v>
      </c>
      <c r="AC81">
        <v>1.47141163214966</v>
      </c>
      <c r="AJ81">
        <v>0.74523884244754901</v>
      </c>
      <c r="AK81">
        <v>0.17156968135525899</v>
      </c>
      <c r="AL81">
        <v>8.31914761971915E-2</v>
      </c>
    </row>
    <row r="82" spans="1:38" x14ac:dyDescent="0.2">
      <c r="A82">
        <v>103</v>
      </c>
      <c r="B82">
        <v>780</v>
      </c>
      <c r="C82">
        <v>125</v>
      </c>
      <c r="D82">
        <v>0.47607700707401701</v>
      </c>
      <c r="E82">
        <v>2.2378557654271698</v>
      </c>
      <c r="F82">
        <v>2.5783443960190899</v>
      </c>
      <c r="G82">
        <v>-36.520708804939154</v>
      </c>
      <c r="H82">
        <v>-31.503294453852572</v>
      </c>
      <c r="I82">
        <v>4.7641972663785603</v>
      </c>
      <c r="J82">
        <v>2.7130905403024701</v>
      </c>
      <c r="K82">
        <v>0.86794292061307599</v>
      </c>
      <c r="L82">
        <v>2.9952116688685804E-5</v>
      </c>
      <c r="M82">
        <v>1.7829408869846296E-6</v>
      </c>
      <c r="N82" s="1">
        <v>-1.33560018678534E-8</v>
      </c>
      <c r="O82" s="1">
        <v>7.6544075535268094E-12</v>
      </c>
      <c r="P82" s="1">
        <v>5.7741596453230103E-11</v>
      </c>
      <c r="Q82">
        <v>63.857877535588401</v>
      </c>
      <c r="S82">
        <v>22.394764946192499</v>
      </c>
      <c r="AA82">
        <v>3.5755476548404102</v>
      </c>
      <c r="AB82">
        <v>8.6795668466688305</v>
      </c>
      <c r="AC82">
        <v>1.4922430167096401</v>
      </c>
      <c r="AJ82">
        <v>0.745846622074679</v>
      </c>
      <c r="AK82">
        <v>0.169787156823169</v>
      </c>
      <c r="AL82">
        <v>8.4366221102151404E-2</v>
      </c>
    </row>
    <row r="83" spans="1:38" x14ac:dyDescent="0.2">
      <c r="A83">
        <v>104</v>
      </c>
      <c r="B83">
        <v>779</v>
      </c>
      <c r="C83">
        <v>125</v>
      </c>
      <c r="D83">
        <v>0.475512521978807</v>
      </c>
      <c r="E83">
        <v>2.5307804536936001</v>
      </c>
      <c r="F83">
        <v>2.57799615560522</v>
      </c>
      <c r="G83">
        <v>-41.292743803115059</v>
      </c>
      <c r="H83">
        <v>-35.62661527051177</v>
      </c>
      <c r="I83">
        <v>5.3852858742605898</v>
      </c>
      <c r="J83">
        <v>3.0686015588501498</v>
      </c>
      <c r="K83">
        <v>0.98168511546886394</v>
      </c>
      <c r="L83">
        <v>2.9986290893554169E-5</v>
      </c>
      <c r="M83">
        <v>1.7839830941353648E-6</v>
      </c>
      <c r="N83" s="1">
        <v>-1.5617170077304301E-8</v>
      </c>
      <c r="O83" s="1">
        <v>8.6592754837818907E-12</v>
      </c>
      <c r="P83" s="1">
        <v>6.6796568506603303E-11</v>
      </c>
      <c r="Q83">
        <v>63.899761364752898</v>
      </c>
      <c r="S83">
        <v>22.361799159968399</v>
      </c>
      <c r="AA83">
        <v>3.5385775247158899</v>
      </c>
      <c r="AB83">
        <v>8.6864786198093604</v>
      </c>
      <c r="AC83">
        <v>1.51338333075333</v>
      </c>
      <c r="AJ83">
        <v>0.74641548976184002</v>
      </c>
      <c r="AK83">
        <v>0.16802596311583001</v>
      </c>
      <c r="AL83">
        <v>8.5558547122328701E-2</v>
      </c>
    </row>
    <row r="84" spans="1:38" x14ac:dyDescent="0.2">
      <c r="A84">
        <v>105</v>
      </c>
      <c r="B84">
        <v>778</v>
      </c>
      <c r="C84">
        <v>125</v>
      </c>
      <c r="D84">
        <v>0.47494696285021398</v>
      </c>
      <c r="E84">
        <v>2.8235965879955298</v>
      </c>
      <c r="F84">
        <v>2.5776503164025102</v>
      </c>
      <c r="G84">
        <v>-46.061038191939048</v>
      </c>
      <c r="H84">
        <v>-39.748309067650091</v>
      </c>
      <c r="I84">
        <v>6.0055454733282003</v>
      </c>
      <c r="J84">
        <v>3.4240811920187002</v>
      </c>
      <c r="K84">
        <v>1.09541490947316</v>
      </c>
      <c r="L84">
        <v>3.0020504687251077E-5</v>
      </c>
      <c r="M84">
        <v>1.785009953037584E-6</v>
      </c>
      <c r="N84" s="1">
        <v>-1.80116887196255E-8</v>
      </c>
      <c r="O84" s="1">
        <v>9.6642536531843192E-12</v>
      </c>
      <c r="P84" s="1">
        <v>7.6238835052794201E-11</v>
      </c>
      <c r="Q84">
        <v>63.941022862904802</v>
      </c>
      <c r="S84">
        <v>22.329181467891502</v>
      </c>
      <c r="AA84">
        <v>3.5020397882610901</v>
      </c>
      <c r="AB84">
        <v>8.6929161357188001</v>
      </c>
      <c r="AC84">
        <v>1.5348397452237399</v>
      </c>
      <c r="AJ84">
        <v>0.74694532351319198</v>
      </c>
      <c r="AK84">
        <v>0.166285809537003</v>
      </c>
      <c r="AL84">
        <v>8.6768866949803902E-2</v>
      </c>
    </row>
    <row r="85" spans="1:38" x14ac:dyDescent="0.2">
      <c r="A85">
        <v>106</v>
      </c>
      <c r="B85">
        <v>777</v>
      </c>
      <c r="C85">
        <v>125</v>
      </c>
      <c r="D85">
        <v>0.47438032662001101</v>
      </c>
      <c r="E85">
        <v>3.45603366684024</v>
      </c>
      <c r="F85">
        <v>2.5768991135524901</v>
      </c>
      <c r="G85">
        <v>-56.360276992840689</v>
      </c>
      <c r="H85">
        <v>-48.644260417871621</v>
      </c>
      <c r="I85">
        <v>7.3475375660325302</v>
      </c>
      <c r="J85">
        <v>4.1914059595605604</v>
      </c>
      <c r="K85">
        <v>1.3411598648407199</v>
      </c>
      <c r="L85">
        <v>3.0060619592437141E-5</v>
      </c>
      <c r="M85">
        <v>1.7866169417160206E-6</v>
      </c>
      <c r="N85" s="1">
        <v>-2.2764213872352998E-8</v>
      </c>
      <c r="O85" s="1">
        <v>1.1841918814853799E-11</v>
      </c>
      <c r="P85" s="1">
        <v>9.5399805421864903E-11</v>
      </c>
      <c r="Q85">
        <v>64.012133439835196</v>
      </c>
      <c r="S85">
        <v>22.2686451576098</v>
      </c>
      <c r="AA85">
        <v>3.43550403145364</v>
      </c>
      <c r="AB85">
        <v>8.6926784359506506</v>
      </c>
      <c r="AC85">
        <v>1.59103893515064</v>
      </c>
      <c r="AJ85">
        <v>0.74692685000130099</v>
      </c>
      <c r="AK85">
        <v>0.163126947661592</v>
      </c>
      <c r="AL85">
        <v>8.9946202337106401E-2</v>
      </c>
    </row>
    <row r="86" spans="1:38" x14ac:dyDescent="0.2">
      <c r="A86">
        <v>107</v>
      </c>
      <c r="B86">
        <v>776</v>
      </c>
      <c r="C86">
        <v>125</v>
      </c>
      <c r="D86">
        <v>0.47381261020826598</v>
      </c>
      <c r="E86">
        <v>4.2531664878371398</v>
      </c>
      <c r="F86">
        <v>2.5759280665014401</v>
      </c>
      <c r="G86">
        <v>-69.333405199024298</v>
      </c>
      <c r="H86">
        <v>-59.850663311519384</v>
      </c>
      <c r="I86">
        <v>9.0384996306580607</v>
      </c>
      <c r="J86">
        <v>5.1584825846762898</v>
      </c>
      <c r="K86">
        <v>1.6511200538350701</v>
      </c>
      <c r="L86">
        <v>3.010170859880514E-5</v>
      </c>
      <c r="M86">
        <v>1.7884682913636988E-6</v>
      </c>
      <c r="N86" s="1">
        <v>-2.8896859177652298E-8</v>
      </c>
      <c r="O86" s="1">
        <v>1.4595254370794101E-11</v>
      </c>
      <c r="P86" s="1">
        <v>1.19956353496358E-10</v>
      </c>
      <c r="Q86">
        <v>64.097081352842295</v>
      </c>
      <c r="S86">
        <v>22.1939741363752</v>
      </c>
      <c r="AA86">
        <v>3.3540782401771501</v>
      </c>
      <c r="AB86">
        <v>8.6862205153003504</v>
      </c>
      <c r="AC86">
        <v>1.6686457553048999</v>
      </c>
      <c r="AJ86">
        <v>0.74639722873774905</v>
      </c>
      <c r="AK86">
        <v>0.159266027288962</v>
      </c>
      <c r="AL86">
        <v>9.4336743973287798E-2</v>
      </c>
    </row>
    <row r="87" spans="1:38" x14ac:dyDescent="0.2">
      <c r="A87">
        <v>108</v>
      </c>
      <c r="B87">
        <v>775</v>
      </c>
      <c r="C87">
        <v>125</v>
      </c>
      <c r="D87">
        <v>0.473243810523307</v>
      </c>
      <c r="E87">
        <v>5.0622883399134198</v>
      </c>
      <c r="F87">
        <v>2.5749098236193801</v>
      </c>
      <c r="G87">
        <v>-82.490124917278223</v>
      </c>
      <c r="H87">
        <v>-71.218909234355479</v>
      </c>
      <c r="I87">
        <v>10.7534376596124</v>
      </c>
      <c r="J87">
        <v>6.1401210564825801</v>
      </c>
      <c r="K87">
        <v>1.9660060688252301</v>
      </c>
      <c r="L87">
        <v>3.0140477388799074E-5</v>
      </c>
      <c r="M87">
        <v>1.7902887232685979E-6</v>
      </c>
      <c r="N87" s="1">
        <v>-3.5449126775298298E-8</v>
      </c>
      <c r="O87" s="1">
        <v>1.7399180194728302E-11</v>
      </c>
      <c r="P87" s="1">
        <v>1.4582567409396999E-10</v>
      </c>
      <c r="Q87">
        <v>64.182195517045301</v>
      </c>
      <c r="S87">
        <v>22.117470695167299</v>
      </c>
      <c r="AA87">
        <v>3.2711018912164298</v>
      </c>
      <c r="AB87">
        <v>8.67532914933523</v>
      </c>
      <c r="AC87">
        <v>1.7539027472356099</v>
      </c>
      <c r="AJ87">
        <v>0.745503063671896</v>
      </c>
      <c r="AK87">
        <v>0.155334646608529</v>
      </c>
      <c r="AL87">
        <v>9.9162289719574595E-2</v>
      </c>
    </row>
    <row r="88" spans="1:38" x14ac:dyDescent="0.2">
      <c r="A88">
        <v>109</v>
      </c>
      <c r="B88">
        <v>774</v>
      </c>
      <c r="C88">
        <v>125</v>
      </c>
      <c r="D88">
        <v>0.47267392446163797</v>
      </c>
      <c r="E88">
        <v>5.8880489729266499</v>
      </c>
      <c r="F88">
        <v>2.5738296980500399</v>
      </c>
      <c r="G88">
        <v>-95.904490976606382</v>
      </c>
      <c r="H88">
        <v>-82.812876681764976</v>
      </c>
      <c r="I88">
        <v>12.502138466161799</v>
      </c>
      <c r="J88">
        <v>7.1418810371834098</v>
      </c>
      <c r="K88">
        <v>2.2876606705515501</v>
      </c>
      <c r="L88">
        <v>3.0176541143090191E-5</v>
      </c>
      <c r="M88">
        <v>1.7920829898898206E-6</v>
      </c>
      <c r="N88" s="1">
        <v>-4.2458228089146501E-8</v>
      </c>
      <c r="O88" s="1">
        <v>2.0270988522718299E-11</v>
      </c>
      <c r="P88" s="1">
        <v>1.73152314513952E-10</v>
      </c>
      <c r="Q88">
        <v>64.268018227150407</v>
      </c>
      <c r="S88">
        <v>22.038360272654199</v>
      </c>
      <c r="AA88">
        <v>3.1858094264857901</v>
      </c>
      <c r="AB88">
        <v>8.6591821994997993</v>
      </c>
      <c r="AC88">
        <v>1.84862987420972</v>
      </c>
      <c r="AJ88">
        <v>0.744176635398483</v>
      </c>
      <c r="AK88">
        <v>0.151296797713278</v>
      </c>
      <c r="AL88">
        <v>0.104526566888238</v>
      </c>
    </row>
    <row r="89" spans="1:38" x14ac:dyDescent="0.2">
      <c r="A89">
        <v>110</v>
      </c>
      <c r="B89">
        <v>773</v>
      </c>
      <c r="C89">
        <v>125</v>
      </c>
      <c r="D89">
        <v>0.472102948907902</v>
      </c>
      <c r="E89">
        <v>6.7371634807291496</v>
      </c>
      <c r="F89">
        <v>2.5726664417928999</v>
      </c>
      <c r="G89">
        <v>-109.68343743274889</v>
      </c>
      <c r="H89">
        <v>-94.724810642398182</v>
      </c>
      <c r="I89">
        <v>14.298739942026099</v>
      </c>
      <c r="J89">
        <v>8.1717904710119598</v>
      </c>
      <c r="K89">
        <v>2.6187473709316098</v>
      </c>
      <c r="L89">
        <v>3.020933711174244E-5</v>
      </c>
      <c r="M89">
        <v>1.7938578198566047E-6</v>
      </c>
      <c r="N89" s="1">
        <v>-4.9973548222166799E-8</v>
      </c>
      <c r="O89" s="1">
        <v>2.3235813329007801E-11</v>
      </c>
      <c r="P89" s="1">
        <v>2.0213264429945999E-10</v>
      </c>
      <c r="Q89">
        <v>64.355330255942306</v>
      </c>
      <c r="S89">
        <v>21.955523689112901</v>
      </c>
      <c r="AA89">
        <v>3.0970953285987699</v>
      </c>
      <c r="AB89">
        <v>8.6365855009347605</v>
      </c>
      <c r="AC89">
        <v>1.95546522541109</v>
      </c>
      <c r="AJ89">
        <v>0.74231952270645296</v>
      </c>
      <c r="AK89">
        <v>0.14710050684402401</v>
      </c>
      <c r="AL89">
        <v>0.110579970449522</v>
      </c>
    </row>
    <row r="90" spans="1:38" x14ac:dyDescent="0.2">
      <c r="A90">
        <v>111</v>
      </c>
      <c r="B90">
        <v>772</v>
      </c>
      <c r="C90">
        <v>125</v>
      </c>
      <c r="D90">
        <v>0.47153088073482102</v>
      </c>
      <c r="E90">
        <v>8.1962083618814994</v>
      </c>
      <c r="F90">
        <v>2.5737760261137002</v>
      </c>
      <c r="G90">
        <v>-133.43443678840939</v>
      </c>
      <c r="H90">
        <v>-115.26710024797575</v>
      </c>
      <c r="I90">
        <v>17.3825159454945</v>
      </c>
      <c r="J90">
        <v>9.9412618834648203</v>
      </c>
      <c r="K90">
        <v>3.18450722934793</v>
      </c>
      <c r="L90">
        <v>3.0171707798169247E-5</v>
      </c>
      <c r="M90">
        <v>1.79143310375266E-6</v>
      </c>
      <c r="N90" s="1">
        <v>-6.2376516541239595E-8</v>
      </c>
      <c r="O90" s="1">
        <v>2.81957213456344E-11</v>
      </c>
      <c r="P90" s="1">
        <v>2.5054451954337001E-10</v>
      </c>
      <c r="Q90">
        <v>64.242650441307703</v>
      </c>
      <c r="S90">
        <v>22.0378002965675</v>
      </c>
      <c r="AA90">
        <v>3.1912666665070999</v>
      </c>
      <c r="AB90">
        <v>8.6011833988027497</v>
      </c>
      <c r="AC90">
        <v>1.9270991968147699</v>
      </c>
      <c r="AJ90">
        <v>0.73940543593846797</v>
      </c>
      <c r="AK90">
        <v>0.15159969143438701</v>
      </c>
      <c r="AL90">
        <v>0.108994872627144</v>
      </c>
    </row>
    <row r="91" spans="1:38" x14ac:dyDescent="0.2">
      <c r="A91">
        <v>111</v>
      </c>
      <c r="B91">
        <v>772</v>
      </c>
      <c r="C91">
        <v>125</v>
      </c>
      <c r="D91">
        <v>0.47153088073482102</v>
      </c>
      <c r="E91">
        <v>5.5964029954384298</v>
      </c>
      <c r="F91">
        <v>2.5189101890258798</v>
      </c>
      <c r="G91">
        <v>-88.890936057821676</v>
      </c>
      <c r="H91">
        <v>-76.657515857306095</v>
      </c>
      <c r="I91">
        <v>11.704942066225501</v>
      </c>
      <c r="J91">
        <v>6.6444430406985804</v>
      </c>
      <c r="K91">
        <v>2.2217556702975099</v>
      </c>
      <c r="L91">
        <v>2.8205985286978011E-5</v>
      </c>
      <c r="M91">
        <v>1.7984308996489244E-6</v>
      </c>
      <c r="N91" s="1">
        <v>-1.6564954124665001E-8</v>
      </c>
      <c r="O91" s="1">
        <v>2.1305689726060401E-11</v>
      </c>
      <c r="P91" s="1">
        <v>9.2449366991199798E-11</v>
      </c>
      <c r="Q91">
        <v>65.9220368515074</v>
      </c>
      <c r="S91">
        <v>19.102434139392301</v>
      </c>
      <c r="AA91">
        <v>0.377697670955009</v>
      </c>
      <c r="AB91">
        <v>4.6481619641611296</v>
      </c>
      <c r="AC91">
        <v>9.9496693739840598</v>
      </c>
      <c r="AJ91">
        <v>0.407625105010193</v>
      </c>
      <c r="AK91">
        <v>1.83035263282182E-2</v>
      </c>
      <c r="AL91">
        <v>0.57407136866158803</v>
      </c>
    </row>
    <row r="92" spans="1:38" x14ac:dyDescent="0.2">
      <c r="A92">
        <v>112</v>
      </c>
      <c r="B92">
        <v>771</v>
      </c>
      <c r="C92">
        <v>125</v>
      </c>
      <c r="D92">
        <v>0.47095771680314102</v>
      </c>
      <c r="E92">
        <v>11.116740182537001</v>
      </c>
      <c r="F92">
        <v>2.5767207415611599</v>
      </c>
      <c r="G92">
        <v>-181.03041107327476</v>
      </c>
      <c r="H92">
        <v>-156.43865549656076</v>
      </c>
      <c r="I92">
        <v>23.551937534562999</v>
      </c>
      <c r="J92">
        <v>13.481409843012701</v>
      </c>
      <c r="K92">
        <v>4.3142976276900402</v>
      </c>
      <c r="L92">
        <v>3.0056684936077028E-5</v>
      </c>
      <c r="M92">
        <v>1.7850617126704235E-6</v>
      </c>
      <c r="N92" s="1">
        <v>-8.63208225904191E-8</v>
      </c>
      <c r="O92" s="1">
        <v>3.80090588338028E-11</v>
      </c>
      <c r="P92" s="1">
        <v>3.4495297431714302E-10</v>
      </c>
      <c r="Q92">
        <v>63.950176940118098</v>
      </c>
      <c r="S92">
        <v>22.260482064956101</v>
      </c>
      <c r="AA92">
        <v>3.4432260986403298</v>
      </c>
      <c r="AB92">
        <v>8.5332110896399094</v>
      </c>
      <c r="AC92">
        <v>1.8129038066454399</v>
      </c>
      <c r="AJ92">
        <v>0.73380639793500402</v>
      </c>
      <c r="AK92">
        <v>0.16362337132639801</v>
      </c>
      <c r="AL92">
        <v>0.102570230738596</v>
      </c>
    </row>
    <row r="93" spans="1:38" x14ac:dyDescent="0.2">
      <c r="A93">
        <v>112</v>
      </c>
      <c r="B93">
        <v>771</v>
      </c>
      <c r="C93">
        <v>125</v>
      </c>
      <c r="D93">
        <v>0.47095771680314102</v>
      </c>
      <c r="E93">
        <v>17.157741042024298</v>
      </c>
      <c r="F93">
        <v>2.5187208285374401</v>
      </c>
      <c r="G93">
        <v>-272.30873821125232</v>
      </c>
      <c r="H93">
        <v>-234.89069574330108</v>
      </c>
      <c r="I93">
        <v>35.835888012212003</v>
      </c>
      <c r="J93">
        <v>20.355262100944898</v>
      </c>
      <c r="K93">
        <v>6.8120852647204098</v>
      </c>
      <c r="L93">
        <v>2.8109888427635782E-5</v>
      </c>
      <c r="M93">
        <v>1.796891218505028E-6</v>
      </c>
      <c r="N93" s="1">
        <v>-4.9834137796032599E-8</v>
      </c>
      <c r="O93" s="1">
        <v>6.5392206434039801E-11</v>
      </c>
      <c r="P93" s="1">
        <v>2.8048884977080301E-10</v>
      </c>
      <c r="Q93">
        <v>65.874060509746997</v>
      </c>
      <c r="S93">
        <v>19.085013223643202</v>
      </c>
      <c r="AA93">
        <v>0.37451986055730901</v>
      </c>
      <c r="AB93">
        <v>4.49557806342691</v>
      </c>
      <c r="AC93">
        <v>10.1708283426255</v>
      </c>
      <c r="AJ93">
        <v>0.394549755326084</v>
      </c>
      <c r="AK93">
        <v>1.8163597871137999E-2</v>
      </c>
      <c r="AL93">
        <v>0.58728664680277698</v>
      </c>
    </row>
    <row r="94" spans="1:38" x14ac:dyDescent="0.2">
      <c r="A94">
        <v>113</v>
      </c>
      <c r="B94">
        <v>770</v>
      </c>
      <c r="C94">
        <v>125</v>
      </c>
      <c r="D94">
        <v>0.47038345396155901</v>
      </c>
      <c r="E94">
        <v>14.7637553289305</v>
      </c>
      <c r="F94">
        <v>2.5802647158604599</v>
      </c>
      <c r="G94">
        <v>-240.49724869580075</v>
      </c>
      <c r="H94">
        <v>-207.90817225330619</v>
      </c>
      <c r="I94">
        <v>31.2410261635378</v>
      </c>
      <c r="J94">
        <v>17.8988004026114</v>
      </c>
      <c r="K94">
        <v>5.72179871242676</v>
      </c>
      <c r="L94">
        <v>2.9898616945911941E-5</v>
      </c>
      <c r="M94">
        <v>1.7768829607722883E-6</v>
      </c>
      <c r="N94" s="1">
        <v>-1.16422002362745E-7</v>
      </c>
      <c r="O94" s="1">
        <v>5.0105933382129002E-11</v>
      </c>
      <c r="P94" s="1">
        <v>4.6350220923456198E-10</v>
      </c>
      <c r="Q94">
        <v>63.582290392269599</v>
      </c>
      <c r="S94">
        <v>22.536348585615599</v>
      </c>
      <c r="AA94">
        <v>3.75666009944077</v>
      </c>
      <c r="AB94">
        <v>8.4366155920514299</v>
      </c>
      <c r="AC94">
        <v>1.6880853306225401</v>
      </c>
      <c r="AJ94">
        <v>0.72584388086831197</v>
      </c>
      <c r="AK94">
        <v>0.17860254829566399</v>
      </c>
      <c r="AL94">
        <v>9.5553570836023199E-2</v>
      </c>
    </row>
    <row r="95" spans="1:38" x14ac:dyDescent="0.2">
      <c r="A95">
        <v>113</v>
      </c>
      <c r="B95">
        <v>770</v>
      </c>
      <c r="C95">
        <v>125</v>
      </c>
      <c r="D95">
        <v>0.47038345396155901</v>
      </c>
      <c r="E95">
        <v>30.162822014526</v>
      </c>
      <c r="F95">
        <v>2.5185469426801701</v>
      </c>
      <c r="G95">
        <v>-478.28174287845621</v>
      </c>
      <c r="H95">
        <v>-412.66560316467633</v>
      </c>
      <c r="I95">
        <v>62.901921788601598</v>
      </c>
      <c r="J95">
        <v>35.751962467350502</v>
      </c>
      <c r="K95">
        <v>11.976279458356</v>
      </c>
      <c r="L95">
        <v>2.7997711986124808E-5</v>
      </c>
      <c r="M95">
        <v>1.7951174175756713E-6</v>
      </c>
      <c r="N95" s="1">
        <v>-8.4925833016113695E-8</v>
      </c>
      <c r="O95" s="1">
        <v>1.15107711088306E-10</v>
      </c>
      <c r="P95" s="1">
        <v>4.8491668795889198E-10</v>
      </c>
      <c r="Q95">
        <v>65.817953394124601</v>
      </c>
      <c r="S95">
        <v>19.065826449595601</v>
      </c>
      <c r="AA95">
        <v>0.37178240390830902</v>
      </c>
      <c r="AB95">
        <v>4.3202457419892903</v>
      </c>
      <c r="AC95">
        <v>10.4241920103821</v>
      </c>
      <c r="AJ95">
        <v>0.37949996568059302</v>
      </c>
      <c r="AK95">
        <v>1.8046912457447498E-2</v>
      </c>
      <c r="AL95">
        <v>0.60245312186195898</v>
      </c>
    </row>
    <row r="96" spans="1:38" x14ac:dyDescent="0.2">
      <c r="A96">
        <v>114</v>
      </c>
      <c r="B96">
        <v>769</v>
      </c>
      <c r="C96">
        <v>125</v>
      </c>
      <c r="D96">
        <v>0.46980808904668597</v>
      </c>
      <c r="E96">
        <v>16.869771495861801</v>
      </c>
      <c r="F96">
        <v>2.58242444428276</v>
      </c>
      <c r="G96">
        <v>-274.83965836526028</v>
      </c>
      <c r="H96">
        <v>-237.67336766785795</v>
      </c>
      <c r="I96">
        <v>35.663091395098903</v>
      </c>
      <c r="J96">
        <v>20.449087135084699</v>
      </c>
      <c r="K96">
        <v>6.5325324553869599</v>
      </c>
      <c r="L96">
        <v>2.9807469708303998E-5</v>
      </c>
      <c r="M96">
        <v>1.7718640308747672E-6</v>
      </c>
      <c r="N96" s="1">
        <v>-1.3588541971973799E-7</v>
      </c>
      <c r="O96" s="1">
        <v>5.69804667100247E-11</v>
      </c>
      <c r="P96" s="1">
        <v>5.3805587450779996E-10</v>
      </c>
      <c r="Q96">
        <v>63.356360039708697</v>
      </c>
      <c r="S96">
        <v>22.704661556841099</v>
      </c>
      <c r="AA96">
        <v>3.9482377831931399</v>
      </c>
      <c r="AB96">
        <v>8.3743962515178794</v>
      </c>
      <c r="AC96">
        <v>1.6163443687390699</v>
      </c>
      <c r="AJ96">
        <v>0.72071120278308898</v>
      </c>
      <c r="AK96">
        <v>0.18776811949216901</v>
      </c>
      <c r="AL96">
        <v>9.1520677724740304E-2</v>
      </c>
    </row>
    <row r="97" spans="1:38" x14ac:dyDescent="0.2">
      <c r="A97">
        <v>114</v>
      </c>
      <c r="B97">
        <v>769</v>
      </c>
      <c r="C97">
        <v>125</v>
      </c>
      <c r="D97">
        <v>0.46980808904668597</v>
      </c>
      <c r="E97">
        <v>37.2247579419329</v>
      </c>
      <c r="F97">
        <v>2.5184781502573501</v>
      </c>
      <c r="G97">
        <v>-589.91125022363849</v>
      </c>
      <c r="H97">
        <v>-509.10308744319843</v>
      </c>
      <c r="I97">
        <v>77.539857775214699</v>
      </c>
      <c r="J97">
        <v>44.099541731393302</v>
      </c>
      <c r="K97">
        <v>14.7806555074258</v>
      </c>
      <c r="L97">
        <v>2.7934068537481792E-5</v>
      </c>
      <c r="M97">
        <v>1.7941281999382629E-6</v>
      </c>
      <c r="N97" s="1">
        <v>-1.04623918477787E-7</v>
      </c>
      <c r="O97" s="1">
        <v>1.42155510978602E-10</v>
      </c>
      <c r="P97" s="1">
        <v>5.9766144748767198E-10</v>
      </c>
      <c r="Q97">
        <v>65.785503422041202</v>
      </c>
      <c r="S97">
        <v>19.053490773345999</v>
      </c>
      <c r="AA97">
        <v>0.36917710206128701</v>
      </c>
      <c r="AB97">
        <v>4.2155931400637998</v>
      </c>
      <c r="AC97">
        <v>10.5762355624876</v>
      </c>
      <c r="AJ97">
        <v>0.370504237152119</v>
      </c>
      <c r="AK97">
        <v>1.7929989556821999E-2</v>
      </c>
      <c r="AL97">
        <v>0.61156577329105799</v>
      </c>
    </row>
    <row r="98" spans="1:38" x14ac:dyDescent="0.2">
      <c r="A98">
        <v>115</v>
      </c>
      <c r="B98">
        <v>768</v>
      </c>
      <c r="C98">
        <v>125</v>
      </c>
      <c r="D98">
        <v>0.46923161888296799</v>
      </c>
      <c r="E98">
        <v>17.722228906494401</v>
      </c>
      <c r="F98">
        <v>2.5833521219676001</v>
      </c>
      <c r="G98">
        <v>-288.72295649229665</v>
      </c>
      <c r="H98">
        <v>-249.74413514577284</v>
      </c>
      <c r="I98">
        <v>37.438237858640697</v>
      </c>
      <c r="J98">
        <v>21.483321933748499</v>
      </c>
      <c r="K98">
        <v>6.8601677470883802</v>
      </c>
      <c r="L98">
        <v>2.9784623087785369E-5</v>
      </c>
      <c r="M98">
        <v>1.7699161022823654E-6</v>
      </c>
      <c r="N98" s="1">
        <v>-1.4676307901480701E-7</v>
      </c>
      <c r="O98" s="1">
        <v>5.9718117277220503E-11</v>
      </c>
      <c r="P98" s="1">
        <v>5.7696074674252901E-10</v>
      </c>
      <c r="Q98">
        <v>63.264882020862103</v>
      </c>
      <c r="S98">
        <v>22.773385119352699</v>
      </c>
      <c r="AA98">
        <v>4.02628057105139</v>
      </c>
      <c r="AB98">
        <v>8.3507101451703001</v>
      </c>
      <c r="AC98">
        <v>1.5847421435634601</v>
      </c>
      <c r="AJ98">
        <v>0.71875635366090995</v>
      </c>
      <c r="AK98">
        <v>0.19150191137466699</v>
      </c>
      <c r="AL98">
        <v>8.9741734964422698E-2</v>
      </c>
    </row>
    <row r="99" spans="1:38" x14ac:dyDescent="0.2">
      <c r="A99">
        <v>115</v>
      </c>
      <c r="B99">
        <v>768</v>
      </c>
      <c r="C99">
        <v>125</v>
      </c>
      <c r="D99">
        <v>0.46923161888296799</v>
      </c>
      <c r="E99">
        <v>39.919337081672303</v>
      </c>
      <c r="F99">
        <v>2.5184692442350598</v>
      </c>
      <c r="G99">
        <v>-632.39787330405773</v>
      </c>
      <c r="H99">
        <v>-545.8942938609606</v>
      </c>
      <c r="I99">
        <v>83.084646249913206</v>
      </c>
      <c r="J99">
        <v>47.2820342506256</v>
      </c>
      <c r="K99">
        <v>15.850635132055</v>
      </c>
      <c r="L99">
        <v>2.7910666680274397E-5</v>
      </c>
      <c r="M99">
        <v>1.7937731786706409E-6</v>
      </c>
      <c r="N99" s="1">
        <v>-1.14945254800933E-7</v>
      </c>
      <c r="O99" s="1">
        <v>1.5247268901198201E-10</v>
      </c>
      <c r="P99" s="1">
        <v>6.4883764252131396E-10</v>
      </c>
      <c r="Q99">
        <v>65.772739514805906</v>
      </c>
      <c r="S99">
        <v>19.046627514830298</v>
      </c>
      <c r="AA99">
        <v>0.366493126771264</v>
      </c>
      <c r="AB99">
        <v>4.1691565326801401</v>
      </c>
      <c r="AC99">
        <v>10.644983310912201</v>
      </c>
      <c r="AJ99">
        <v>0.36650958210350998</v>
      </c>
      <c r="AK99">
        <v>1.78038430385597E-2</v>
      </c>
      <c r="AL99">
        <v>0.61568657485792999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EEC92-C033-4C32-9B6A-E558C28D2C19}">
  <sheetPr codeName="Sheet12"/>
  <dimension ref="A1:AJ91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757</v>
      </c>
      <c r="C2">
        <v>275</v>
      </c>
      <c r="D2">
        <v>0.30264573120419402</v>
      </c>
      <c r="E2">
        <v>0.19468436146937801</v>
      </c>
      <c r="F2">
        <v>2.54384628309294</v>
      </c>
      <c r="G2">
        <v>-3.1746153756372637</v>
      </c>
      <c r="H2">
        <v>-2.7797332342718581</v>
      </c>
      <c r="I2">
        <v>0.38332489575829298</v>
      </c>
      <c r="J2">
        <v>0.22561616526146899</v>
      </c>
      <c r="K2">
        <v>7.6531495933264707E-2</v>
      </c>
      <c r="L2">
        <v>0</v>
      </c>
      <c r="M2">
        <v>1.238311233006107E-6</v>
      </c>
      <c r="N2">
        <v>0</v>
      </c>
      <c r="O2" s="1">
        <v>1.08845589455759E-13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756</v>
      </c>
      <c r="C3">
        <v>275</v>
      </c>
      <c r="D3">
        <v>0.30190011174270298</v>
      </c>
      <c r="E3">
        <v>0.40740848517051997</v>
      </c>
      <c r="F3">
        <v>2.54384628309294</v>
      </c>
      <c r="G3">
        <v>-6.642593715480027</v>
      </c>
      <c r="H3">
        <v>-5.8175130746182333</v>
      </c>
      <c r="I3">
        <v>0.801710771862015</v>
      </c>
      <c r="J3">
        <v>0.47207846021643601</v>
      </c>
      <c r="K3">
        <v>0.16015452186645901</v>
      </c>
      <c r="L3">
        <v>0</v>
      </c>
      <c r="M3">
        <v>1.2383112330061072E-6</v>
      </c>
      <c r="N3">
        <v>0</v>
      </c>
      <c r="O3" s="1">
        <v>2.27776984155136E-13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755</v>
      </c>
      <c r="C4">
        <v>275</v>
      </c>
      <c r="D4">
        <v>0.30115304187132302</v>
      </c>
      <c r="E4">
        <v>0.61907413714246395</v>
      </c>
      <c r="F4">
        <v>2.54384628309294</v>
      </c>
      <c r="G4">
        <v>-10.092479528746969</v>
      </c>
      <c r="H4">
        <v>-8.8406703618147926</v>
      </c>
      <c r="I4">
        <v>1.2175355414406199</v>
      </c>
      <c r="J4">
        <v>0.71725175340020797</v>
      </c>
      <c r="K4">
        <v>0.24336145672676401</v>
      </c>
      <c r="L4">
        <v>0</v>
      </c>
      <c r="M4">
        <v>1.2383112330061072E-6</v>
      </c>
      <c r="N4">
        <v>0</v>
      </c>
      <c r="O4" s="1">
        <v>3.4611660056057501E-13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754</v>
      </c>
      <c r="C5">
        <v>275</v>
      </c>
      <c r="D5">
        <v>0.30040451735384299</v>
      </c>
      <c r="E5">
        <v>0.82968990569461998</v>
      </c>
      <c r="F5">
        <v>2.54384628309294</v>
      </c>
      <c r="G5">
        <v>-13.524419772423576</v>
      </c>
      <c r="H5">
        <v>-11.849323978077706</v>
      </c>
      <c r="I5">
        <v>1.6308190569496801</v>
      </c>
      <c r="J5">
        <v>0.96114625774434304</v>
      </c>
      <c r="K5">
        <v>0.32615567662596301</v>
      </c>
      <c r="L5">
        <v>0</v>
      </c>
      <c r="M5">
        <v>1.238311233006107E-6</v>
      </c>
      <c r="N5">
        <v>0</v>
      </c>
      <c r="O5" s="1">
        <v>4.6386924028835798E-13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753</v>
      </c>
      <c r="C6">
        <v>275</v>
      </c>
      <c r="D6">
        <v>0.29965453393753799</v>
      </c>
      <c r="E6">
        <v>1.0392642846767599</v>
      </c>
      <c r="F6">
        <v>2.54384628309294</v>
      </c>
      <c r="G6">
        <v>-16.938559790079374</v>
      </c>
      <c r="H6">
        <v>-14.84359149693451</v>
      </c>
      <c r="I6">
        <v>2.0415809512691698</v>
      </c>
      <c r="J6">
        <v>1.2037720728485899</v>
      </c>
      <c r="K6">
        <v>0.40854052054323398</v>
      </c>
      <c r="L6">
        <v>0</v>
      </c>
      <c r="M6">
        <v>1.238311233006107E-6</v>
      </c>
      <c r="N6">
        <v>0</v>
      </c>
      <c r="O6" s="1">
        <v>5.8103965214357102E-13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752</v>
      </c>
      <c r="C7">
        <v>275</v>
      </c>
      <c r="D7">
        <v>0.29890308735307097</v>
      </c>
      <c r="E7">
        <v>1.24780567522495</v>
      </c>
      <c r="F7">
        <v>2.54384628309294</v>
      </c>
      <c r="G7">
        <v>-20.335043341336675</v>
      </c>
      <c r="H7">
        <v>-17.823589207605398</v>
      </c>
      <c r="I7">
        <v>2.4498406415951601</v>
      </c>
      <c r="J7">
        <v>1.4451391870516199</v>
      </c>
      <c r="K7">
        <v>0.490519291011487</v>
      </c>
      <c r="L7">
        <v>0</v>
      </c>
      <c r="M7">
        <v>1.238311233006107E-6</v>
      </c>
      <c r="N7">
        <v>0</v>
      </c>
      <c r="O7" s="1">
        <v>6.9763253309622197E-13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751</v>
      </c>
      <c r="C8">
        <v>275</v>
      </c>
      <c r="D8">
        <v>0.29815017331445698</v>
      </c>
      <c r="E8">
        <v>1.45532238826545</v>
      </c>
      <c r="F8">
        <v>2.54384628309294</v>
      </c>
      <c r="G8">
        <v>-23.714012643668227</v>
      </c>
      <c r="H8">
        <v>-20.789432150224485</v>
      </c>
      <c r="I8">
        <v>2.85561733480812</v>
      </c>
      <c r="J8">
        <v>1.6852574803782401</v>
      </c>
      <c r="K8">
        <v>0.57209525510165504</v>
      </c>
      <c r="L8">
        <v>0</v>
      </c>
      <c r="M8">
        <v>1.238311233006107E-6</v>
      </c>
      <c r="N8">
        <v>0</v>
      </c>
      <c r="O8" s="1">
        <v>8.1365252968114304E-13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750</v>
      </c>
      <c r="C9">
        <v>275</v>
      </c>
      <c r="D9">
        <v>0.29739578751893703</v>
      </c>
      <c r="E9">
        <v>1.6618226433868499</v>
      </c>
      <c r="F9">
        <v>2.54384628309294</v>
      </c>
      <c r="G9">
        <v>-27.075608354993104</v>
      </c>
      <c r="H9">
        <v>-23.741234099194756</v>
      </c>
      <c r="I9">
        <v>3.25893002570331</v>
      </c>
      <c r="J9">
        <v>1.92413672327967</v>
      </c>
      <c r="K9">
        <v>0.65327164397933901</v>
      </c>
      <c r="L9">
        <v>0</v>
      </c>
      <c r="M9">
        <v>1.2383112330061072E-6</v>
      </c>
      <c r="N9">
        <v>0</v>
      </c>
      <c r="O9" s="1">
        <v>9.2910423736742792E-13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749</v>
      </c>
      <c r="C10">
        <v>275</v>
      </c>
      <c r="D10">
        <v>0.29663992564692099</v>
      </c>
      <c r="E10">
        <v>1.8673145714678101</v>
      </c>
      <c r="F10">
        <v>2.54384628309294</v>
      </c>
      <c r="G10">
        <v>-30.419969617464993</v>
      </c>
      <c r="H10">
        <v>-26.679107600192197</v>
      </c>
      <c r="I10">
        <v>3.6597975025904201</v>
      </c>
      <c r="J10">
        <v>2.1617865797229801</v>
      </c>
      <c r="K10">
        <v>0.73405165393776695</v>
      </c>
      <c r="L10">
        <v>0</v>
      </c>
      <c r="M10">
        <v>1.2383112330061072E-6</v>
      </c>
      <c r="N10">
        <v>0</v>
      </c>
      <c r="O10" s="1">
        <v>1.0439922020275501E-12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748</v>
      </c>
      <c r="C11">
        <v>275</v>
      </c>
      <c r="D11">
        <v>0.29588258336189799</v>
      </c>
      <c r="E11">
        <v>2.0718062165147</v>
      </c>
      <c r="F11">
        <v>2.54384628309294</v>
      </c>
      <c r="G11">
        <v>-33.747234088359754</v>
      </c>
      <c r="H11">
        <v>-29.603163995900129</v>
      </c>
      <c r="I11">
        <v>4.0582383513290203</v>
      </c>
      <c r="J11">
        <v>2.3982166093639199</v>
      </c>
      <c r="K11">
        <v>0.81443844712019897</v>
      </c>
      <c r="L11">
        <v>0</v>
      </c>
      <c r="M11">
        <v>1.2383112330061072E-6</v>
      </c>
      <c r="N11">
        <v>0</v>
      </c>
      <c r="O11" s="1">
        <v>1.1583209209647799E-12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747</v>
      </c>
      <c r="C12">
        <v>275</v>
      </c>
      <c r="D12">
        <v>0.29512375631034898</v>
      </c>
      <c r="E12">
        <v>2.2753055354982199</v>
      </c>
      <c r="F12">
        <v>2.54384628309294</v>
      </c>
      <c r="G12">
        <v>-37.057537938348517</v>
      </c>
      <c r="H12">
        <v>-32.51351342316137</v>
      </c>
      <c r="I12">
        <v>4.4542709554351196</v>
      </c>
      <c r="J12">
        <v>2.6334362674023799</v>
      </c>
      <c r="K12">
        <v>0.89443515145568597</v>
      </c>
      <c r="L12">
        <v>0</v>
      </c>
      <c r="M12">
        <v>1.2383112330061072E-6</v>
      </c>
      <c r="N12">
        <v>0</v>
      </c>
      <c r="O12" s="1">
        <v>1.2720948428218301E-12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746</v>
      </c>
      <c r="C13">
        <v>275</v>
      </c>
      <c r="D13">
        <v>0.29436344012167098</v>
      </c>
      <c r="E13">
        <v>2.47782039946956</v>
      </c>
      <c r="F13">
        <v>2.54384628309294</v>
      </c>
      <c r="G13">
        <v>-40.351015870609679</v>
      </c>
      <c r="H13">
        <v>-35.410264828416253</v>
      </c>
      <c r="I13">
        <v>4.8479134986934502</v>
      </c>
      <c r="J13">
        <v>2.8674549059191001</v>
      </c>
      <c r="K13">
        <v>0.97404486109785704</v>
      </c>
      <c r="L13">
        <v>0</v>
      </c>
      <c r="M13">
        <v>1.2383112330061067E-6</v>
      </c>
      <c r="N13">
        <v>0</v>
      </c>
      <c r="O13" s="1">
        <v>1.3853183682048901E-12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745</v>
      </c>
      <c r="C14">
        <v>275</v>
      </c>
      <c r="D14">
        <v>0.29360163040809401</v>
      </c>
      <c r="E14">
        <v>2.6793585955189898</v>
      </c>
      <c r="F14">
        <v>2.54384628309294</v>
      </c>
      <c r="G14">
        <v>-43.627801153642316</v>
      </c>
      <c r="H14">
        <v>-38.293525995187231</v>
      </c>
      <c r="I14">
        <v>5.2391839694102798</v>
      </c>
      <c r="J14">
        <v>3.1002817761863701</v>
      </c>
      <c r="K14">
        <v>1.0532706371948199</v>
      </c>
      <c r="L14">
        <v>0</v>
      </c>
      <c r="M14">
        <v>1.238311233006107E-6</v>
      </c>
      <c r="N14">
        <v>0</v>
      </c>
      <c r="O14" s="1">
        <v>1.49799585077866E-12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744</v>
      </c>
      <c r="C15">
        <v>275</v>
      </c>
      <c r="D15">
        <v>0.29283832276459099</v>
      </c>
      <c r="E15">
        <v>2.8799278285446999</v>
      </c>
      <c r="F15">
        <v>2.54384628309294</v>
      </c>
      <c r="G15">
        <v>-46.888025650967144</v>
      </c>
      <c r="H15">
        <v>-41.163403568866364</v>
      </c>
      <c r="I15">
        <v>5.6281001642833202</v>
      </c>
      <c r="J15">
        <v>3.3319260307578</v>
      </c>
      <c r="K15">
        <v>1.13211550858455</v>
      </c>
      <c r="L15">
        <v>0</v>
      </c>
      <c r="M15">
        <v>1.2383112330061072E-6</v>
      </c>
      <c r="N15">
        <v>0</v>
      </c>
      <c r="O15" s="1">
        <v>1.61013159825526E-12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743</v>
      </c>
      <c r="C16">
        <v>275</v>
      </c>
      <c r="D16">
        <v>0.29207351276878402</v>
      </c>
      <c r="E16">
        <v>3.0795357200494902</v>
      </c>
      <c r="F16">
        <v>2.54384628309294</v>
      </c>
      <c r="G16">
        <v>-50.131819802421589</v>
      </c>
      <c r="H16">
        <v>-44.020003039029852</v>
      </c>
      <c r="I16">
        <v>6.0146796864554801</v>
      </c>
      <c r="J16">
        <v>3.56239672211855</v>
      </c>
      <c r="K16">
        <v>1.2105824713218201</v>
      </c>
      <c r="L16">
        <v>0</v>
      </c>
      <c r="M16">
        <v>1.238311233006107E-6</v>
      </c>
      <c r="N16">
        <v>0</v>
      </c>
      <c r="O16" s="1">
        <v>1.7217298717215E-12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742</v>
      </c>
      <c r="C17">
        <v>275</v>
      </c>
      <c r="D17">
        <v>0.291307195980888</v>
      </c>
      <c r="E17">
        <v>3.2781898114942098</v>
      </c>
      <c r="F17">
        <v>2.54384628309294</v>
      </c>
      <c r="G17">
        <v>-53.359312679637618</v>
      </c>
      <c r="H17">
        <v>-46.863428786885144</v>
      </c>
      <c r="I17">
        <v>6.3989399524725101</v>
      </c>
      <c r="J17">
        <v>3.79170280660749</v>
      </c>
      <c r="K17">
        <v>1.2886744899964699</v>
      </c>
      <c r="L17">
        <v>0</v>
      </c>
      <c r="M17">
        <v>1.238311233006107E-6</v>
      </c>
      <c r="N17">
        <v>0</v>
      </c>
      <c r="O17" s="1">
        <v>1.8327948875137401E-12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741</v>
      </c>
      <c r="C18">
        <v>275</v>
      </c>
      <c r="D18">
        <v>0.29053936794360102</v>
      </c>
      <c r="E18">
        <v>3.7974808777170401</v>
      </c>
      <c r="F18">
        <v>2.54384628309294</v>
      </c>
      <c r="G18">
        <v>-61.804437339345853</v>
      </c>
      <c r="H18">
        <v>-54.291356782703772</v>
      </c>
      <c r="I18">
        <v>7.4082537658552301</v>
      </c>
      <c r="J18">
        <v>4.3917621750729898</v>
      </c>
      <c r="K18">
        <v>1.49281067136645</v>
      </c>
      <c r="L18">
        <v>0</v>
      </c>
      <c r="M18">
        <v>1.2383112330061072E-6</v>
      </c>
      <c r="N18">
        <v>0</v>
      </c>
      <c r="O18" s="1">
        <v>2.1231240221988799E-12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740</v>
      </c>
      <c r="C19">
        <v>275</v>
      </c>
      <c r="D19">
        <v>0.28977002418201098</v>
      </c>
      <c r="E19">
        <v>9.4521537001182292</v>
      </c>
      <c r="F19">
        <v>2.54384628309294</v>
      </c>
      <c r="G19">
        <v>-153.81645264551724</v>
      </c>
      <c r="H19">
        <v>-135.14531720026338</v>
      </c>
      <c r="I19">
        <v>18.428796767757799</v>
      </c>
      <c r="J19">
        <v>10.929917516554699</v>
      </c>
      <c r="K19">
        <v>3.7156937362684501</v>
      </c>
      <c r="L19">
        <v>0</v>
      </c>
      <c r="M19">
        <v>1.238311233006107E-6</v>
      </c>
      <c r="N19">
        <v>0</v>
      </c>
      <c r="O19" s="1">
        <v>5.2845808125047201E-12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739</v>
      </c>
      <c r="C20">
        <v>275</v>
      </c>
      <c r="D20">
        <v>0.28899916020352701</v>
      </c>
      <c r="E20">
        <v>28.205376497691098</v>
      </c>
      <c r="F20">
        <v>2.54384628309294</v>
      </c>
      <c r="G20">
        <v>-458.93575761305857</v>
      </c>
      <c r="H20">
        <v>-403.30838204804127</v>
      </c>
      <c r="I20">
        <v>54.959616227848898</v>
      </c>
      <c r="J20">
        <v>32.610748587549899</v>
      </c>
      <c r="K20">
        <v>11.0876890184565</v>
      </c>
      <c r="L20">
        <v>0</v>
      </c>
      <c r="M20">
        <v>1.2383112330061067E-6</v>
      </c>
      <c r="N20">
        <v>0</v>
      </c>
      <c r="O20" s="1">
        <v>1.57692729274288E-11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738</v>
      </c>
      <c r="C21">
        <v>275</v>
      </c>
      <c r="D21">
        <v>0.28822677149780002</v>
      </c>
      <c r="E21">
        <v>33.227484539597697</v>
      </c>
      <c r="F21">
        <v>2.54384628309294</v>
      </c>
      <c r="G21">
        <v>-540.5868330685737</v>
      </c>
      <c r="H21">
        <v>-475.15786686577889</v>
      </c>
      <c r="I21">
        <v>64.707477825045501</v>
      </c>
      <c r="J21">
        <v>38.4121799658501</v>
      </c>
      <c r="K21">
        <v>13.061907380346099</v>
      </c>
      <c r="L21">
        <v>0</v>
      </c>
      <c r="M21">
        <v>1.2383112330061072E-6</v>
      </c>
      <c r="N21">
        <v>0</v>
      </c>
      <c r="O21" s="1">
        <v>1.85770706673505E-11</v>
      </c>
      <c r="P21">
        <v>0</v>
      </c>
      <c r="Q21">
        <v>100</v>
      </c>
      <c r="AJ21">
        <v>1</v>
      </c>
    </row>
    <row r="22" spans="1:36" x14ac:dyDescent="0.2">
      <c r="A22">
        <v>24</v>
      </c>
      <c r="B22">
        <v>757</v>
      </c>
      <c r="C22">
        <v>250</v>
      </c>
      <c r="D22">
        <v>0.32934087268844398</v>
      </c>
      <c r="E22">
        <v>0.207440340879678</v>
      </c>
      <c r="F22">
        <v>2.5430588954681599</v>
      </c>
      <c r="G22">
        <v>-3.3846593796303992</v>
      </c>
      <c r="H22">
        <v>-2.9639040329046087</v>
      </c>
      <c r="I22">
        <v>0.40844085494907501</v>
      </c>
      <c r="J22">
        <v>0.240398837772938</v>
      </c>
      <c r="K22">
        <v>8.1571190210870101E-2</v>
      </c>
      <c r="L22">
        <v>0</v>
      </c>
      <c r="M22">
        <v>1.2382833910659954E-6</v>
      </c>
      <c r="N22">
        <v>0</v>
      </c>
      <c r="O22" s="1">
        <v>1.1597729786582599E-13</v>
      </c>
      <c r="P22">
        <v>0</v>
      </c>
      <c r="Q22">
        <v>100</v>
      </c>
      <c r="AJ22">
        <v>1</v>
      </c>
    </row>
    <row r="23" spans="1:36" x14ac:dyDescent="0.2">
      <c r="A23">
        <v>25</v>
      </c>
      <c r="B23">
        <v>756</v>
      </c>
      <c r="C23">
        <v>250</v>
      </c>
      <c r="D23">
        <v>0.32862119224602798</v>
      </c>
      <c r="E23">
        <v>0.414122368983601</v>
      </c>
      <c r="F23">
        <v>2.5430588954681599</v>
      </c>
      <c r="G23">
        <v>-6.7561307428991393</v>
      </c>
      <c r="H23">
        <v>-5.9174531943616264</v>
      </c>
      <c r="I23">
        <v>0.814922556029259</v>
      </c>
      <c r="J23">
        <v>0.479858072197823</v>
      </c>
      <c r="K23">
        <v>0.16284419119100399</v>
      </c>
      <c r="L23">
        <v>0</v>
      </c>
      <c r="M23">
        <v>1.2382833910659956E-6</v>
      </c>
      <c r="N23">
        <v>0</v>
      </c>
      <c r="O23" s="1">
        <v>2.3153063255122102E-13</v>
      </c>
      <c r="P23">
        <v>0</v>
      </c>
      <c r="Q23">
        <v>100</v>
      </c>
      <c r="AJ23">
        <v>1</v>
      </c>
    </row>
    <row r="24" spans="1:36" x14ac:dyDescent="0.2">
      <c r="A24">
        <v>26</v>
      </c>
      <c r="B24">
        <v>755</v>
      </c>
      <c r="C24">
        <v>250</v>
      </c>
      <c r="D24">
        <v>0.32790011185138401</v>
      </c>
      <c r="E24">
        <v>0.61979739695593195</v>
      </c>
      <c r="F24">
        <v>2.5430588954681599</v>
      </c>
      <c r="G24">
        <v>-10.110362586488888</v>
      </c>
      <c r="H24">
        <v>-8.8570909400082165</v>
      </c>
      <c r="I24">
        <v>1.2189579793616401</v>
      </c>
      <c r="J24">
        <v>0.718089713408953</v>
      </c>
      <c r="K24">
        <v>0.24372121230083801</v>
      </c>
      <c r="L24">
        <v>0</v>
      </c>
      <c r="M24">
        <v>1.2382833910659954E-6</v>
      </c>
      <c r="N24">
        <v>0</v>
      </c>
      <c r="O24" s="1">
        <v>3.4652096606858199E-13</v>
      </c>
      <c r="P24">
        <v>0</v>
      </c>
      <c r="Q24">
        <v>100</v>
      </c>
      <c r="AJ24">
        <v>1</v>
      </c>
    </row>
    <row r="25" spans="1:36" x14ac:dyDescent="0.2">
      <c r="A25">
        <v>27</v>
      </c>
      <c r="B25">
        <v>754</v>
      </c>
      <c r="C25">
        <v>250</v>
      </c>
      <c r="D25">
        <v>0.32717762741566497</v>
      </c>
      <c r="E25">
        <v>0.82447334660768201</v>
      </c>
      <c r="F25">
        <v>2.5430588954681599</v>
      </c>
      <c r="G25">
        <v>-13.44749075693001</v>
      </c>
      <c r="H25">
        <v>-11.782926892799887</v>
      </c>
      <c r="I25">
        <v>1.62056551051951</v>
      </c>
      <c r="J25">
        <v>0.95510318525388704</v>
      </c>
      <c r="K25">
        <v>0.32420536861215699</v>
      </c>
      <c r="L25">
        <v>0</v>
      </c>
      <c r="M25">
        <v>1.2382833910659954E-6</v>
      </c>
      <c r="N25">
        <v>0</v>
      </c>
      <c r="O25" s="1">
        <v>4.6095272740328101E-13</v>
      </c>
      <c r="P25">
        <v>0</v>
      </c>
      <c r="Q25">
        <v>100</v>
      </c>
      <c r="AJ25">
        <v>1</v>
      </c>
    </row>
    <row r="26" spans="1:36" x14ac:dyDescent="0.2">
      <c r="A26">
        <v>28</v>
      </c>
      <c r="B26">
        <v>753</v>
      </c>
      <c r="C26">
        <v>250</v>
      </c>
      <c r="D26">
        <v>0.32645373483409301</v>
      </c>
      <c r="E26">
        <v>1.02815805492507</v>
      </c>
      <c r="F26">
        <v>2.5430588954681599</v>
      </c>
      <c r="G26">
        <v>-16.767649649101667</v>
      </c>
      <c r="H26">
        <v>-14.695069500656123</v>
      </c>
      <c r="I26">
        <v>2.0197633371783201</v>
      </c>
      <c r="J26">
        <v>1.19090780972818</v>
      </c>
      <c r="K26">
        <v>0.404299741841327</v>
      </c>
      <c r="L26">
        <v>0</v>
      </c>
      <c r="M26">
        <v>1.2382833910659954E-6</v>
      </c>
      <c r="N26">
        <v>0</v>
      </c>
      <c r="O26" s="1">
        <v>5.7483029811621001E-13</v>
      </c>
      <c r="P26">
        <v>0</v>
      </c>
      <c r="Q26">
        <v>100</v>
      </c>
      <c r="AJ26">
        <v>1</v>
      </c>
    </row>
    <row r="27" spans="1:36" x14ac:dyDescent="0.2">
      <c r="A27">
        <v>29</v>
      </c>
      <c r="B27">
        <v>752</v>
      </c>
      <c r="C27">
        <v>250</v>
      </c>
      <c r="D27">
        <v>0.32572842998585799</v>
      </c>
      <c r="E27">
        <v>1.2308592753883201</v>
      </c>
      <c r="F27">
        <v>2.5430588954681599</v>
      </c>
      <c r="G27">
        <v>-20.070972228651147</v>
      </c>
      <c r="H27">
        <v>-17.593626054810265</v>
      </c>
      <c r="I27">
        <v>2.41656945212006</v>
      </c>
      <c r="J27">
        <v>1.42551280854605</v>
      </c>
      <c r="K27">
        <v>0.48400738086788397</v>
      </c>
      <c r="L27">
        <v>0</v>
      </c>
      <c r="M27">
        <v>1.2382833910659956E-6</v>
      </c>
      <c r="N27">
        <v>0</v>
      </c>
      <c r="O27" s="1">
        <v>6.8815801308110602E-13</v>
      </c>
      <c r="P27">
        <v>0</v>
      </c>
      <c r="Q27">
        <v>100</v>
      </c>
      <c r="AJ27">
        <v>1</v>
      </c>
    </row>
    <row r="28" spans="1:36" x14ac:dyDescent="0.2">
      <c r="A28">
        <v>30</v>
      </c>
      <c r="B28">
        <v>751</v>
      </c>
      <c r="C28">
        <v>250</v>
      </c>
      <c r="D28">
        <v>0.32500170873407402</v>
      </c>
      <c r="E28">
        <v>1.43258467699329</v>
      </c>
      <c r="F28">
        <v>2.5430588954681599</v>
      </c>
      <c r="G28">
        <v>-23.35759001694203</v>
      </c>
      <c r="H28">
        <v>-20.478702675330691</v>
      </c>
      <c r="I28">
        <v>2.8110016517222398</v>
      </c>
      <c r="J28">
        <v>1.6589273020500199</v>
      </c>
      <c r="K28">
        <v>0.56333130134981202</v>
      </c>
      <c r="L28">
        <v>0</v>
      </c>
      <c r="M28">
        <v>1.2382833910659956E-6</v>
      </c>
      <c r="N28">
        <v>0</v>
      </c>
      <c r="O28" s="1">
        <v>8.0094015993755502E-13</v>
      </c>
      <c r="P28">
        <v>0</v>
      </c>
      <c r="Q28">
        <v>100</v>
      </c>
      <c r="AJ28">
        <v>1</v>
      </c>
    </row>
    <row r="29" spans="1:36" x14ac:dyDescent="0.2">
      <c r="A29">
        <v>31</v>
      </c>
      <c r="B29">
        <v>750</v>
      </c>
      <c r="C29">
        <v>250</v>
      </c>
      <c r="D29">
        <v>0.324273566925672</v>
      </c>
      <c r="E29">
        <v>1.63334184792689</v>
      </c>
      <c r="F29">
        <v>2.5430588954681599</v>
      </c>
      <c r="G29">
        <v>-26.627633151881028</v>
      </c>
      <c r="H29">
        <v>-23.350404363166234</v>
      </c>
      <c r="I29">
        <v>3.20307754358089</v>
      </c>
      <c r="J29">
        <v>1.8911603135100701</v>
      </c>
      <c r="K29">
        <v>0.64227448716880897</v>
      </c>
      <c r="L29">
        <v>0</v>
      </c>
      <c r="M29">
        <v>1.2382833910659954E-6</v>
      </c>
      <c r="N29">
        <v>0</v>
      </c>
      <c r="O29" s="1">
        <v>9.13180981145863E-13</v>
      </c>
      <c r="P29">
        <v>0</v>
      </c>
      <c r="Q29">
        <v>100</v>
      </c>
      <c r="AJ29">
        <v>1</v>
      </c>
    </row>
    <row r="30" spans="1:36" x14ac:dyDescent="0.2">
      <c r="A30">
        <v>32</v>
      </c>
      <c r="B30">
        <v>749</v>
      </c>
      <c r="C30">
        <v>250</v>
      </c>
      <c r="D30">
        <v>0.32354400039133302</v>
      </c>
      <c r="E30">
        <v>1.8331382953922599</v>
      </c>
      <c r="F30">
        <v>2.5430588954681599</v>
      </c>
      <c r="G30">
        <v>-29.881230385939961</v>
      </c>
      <c r="H30">
        <v>-26.208834997170126</v>
      </c>
      <c r="I30">
        <v>3.5928145465634498</v>
      </c>
      <c r="J30">
        <v>2.1222207689624799</v>
      </c>
      <c r="K30">
        <v>0.72083989036156204</v>
      </c>
      <c r="L30">
        <v>0</v>
      </c>
      <c r="M30">
        <v>1.2382833910659956E-6</v>
      </c>
      <c r="N30">
        <v>0</v>
      </c>
      <c r="O30" s="1">
        <v>1.0248846738893299E-12</v>
      </c>
      <c r="P30">
        <v>0</v>
      </c>
      <c r="Q30">
        <v>100</v>
      </c>
      <c r="AJ30">
        <v>1</v>
      </c>
    </row>
    <row r="31" spans="1:36" x14ac:dyDescent="0.2">
      <c r="A31">
        <v>33</v>
      </c>
      <c r="B31">
        <v>748</v>
      </c>
      <c r="C31">
        <v>250</v>
      </c>
      <c r="D31">
        <v>0.32281300494540499</v>
      </c>
      <c r="E31">
        <v>2.0319814456629102</v>
      </c>
      <c r="F31">
        <v>2.5430588954681599</v>
      </c>
      <c r="G31">
        <v>-33.118509087908997</v>
      </c>
      <c r="H31">
        <v>-29.054097334395564</v>
      </c>
      <c r="I31">
        <v>3.9802298913121801</v>
      </c>
      <c r="J31">
        <v>2.35211749731398</v>
      </c>
      <c r="K31">
        <v>0.79903043114101302</v>
      </c>
      <c r="L31">
        <v>0</v>
      </c>
      <c r="M31">
        <v>1.2382833910659954E-6</v>
      </c>
      <c r="N31">
        <v>0</v>
      </c>
      <c r="O31" s="1">
        <v>1.1360553901045301E-12</v>
      </c>
      <c r="P31">
        <v>0</v>
      </c>
      <c r="Q31">
        <v>100</v>
      </c>
      <c r="AJ31">
        <v>1</v>
      </c>
    </row>
    <row r="32" spans="1:36" x14ac:dyDescent="0.2">
      <c r="A32">
        <v>34</v>
      </c>
      <c r="B32">
        <v>747</v>
      </c>
      <c r="C32">
        <v>250</v>
      </c>
      <c r="D32">
        <v>0.32208057638582899</v>
      </c>
      <c r="E32">
        <v>2.2298786463295799</v>
      </c>
      <c r="F32">
        <v>2.5430588954681599</v>
      </c>
      <c r="G32">
        <v>-36.339595280383151</v>
      </c>
      <c r="H32">
        <v>-31.886293041747667</v>
      </c>
      <c r="I32">
        <v>4.3653406250409104</v>
      </c>
      <c r="J32">
        <v>2.58085923298411</v>
      </c>
      <c r="K32">
        <v>0.87684899877990097</v>
      </c>
      <c r="L32">
        <v>0</v>
      </c>
      <c r="M32">
        <v>1.2382833910659956E-6</v>
      </c>
      <c r="N32">
        <v>0</v>
      </c>
      <c r="O32" s="1">
        <v>1.24669723773746E-12</v>
      </c>
      <c r="P32">
        <v>0</v>
      </c>
      <c r="Q32">
        <v>100</v>
      </c>
      <c r="AJ32">
        <v>1</v>
      </c>
    </row>
    <row r="33" spans="1:36" x14ac:dyDescent="0.2">
      <c r="A33">
        <v>35</v>
      </c>
      <c r="B33">
        <v>746</v>
      </c>
      <c r="C33">
        <v>250</v>
      </c>
      <c r="D33">
        <v>0.32134671049404001</v>
      </c>
      <c r="E33">
        <v>2.4268371688463999</v>
      </c>
      <c r="F33">
        <v>2.5430588954681599</v>
      </c>
      <c r="G33">
        <v>-39.544613682097832</v>
      </c>
      <c r="H33">
        <v>-34.705522731931126</v>
      </c>
      <c r="I33">
        <v>4.7481636169030104</v>
      </c>
      <c r="J33">
        <v>2.8084546188921302</v>
      </c>
      <c r="K33">
        <v>0.95429845261198198</v>
      </c>
      <c r="L33">
        <v>0</v>
      </c>
      <c r="M33">
        <v>1.2382833910659954E-6</v>
      </c>
      <c r="N33">
        <v>0</v>
      </c>
      <c r="O33" s="1">
        <v>1.3568142821670901E-12</v>
      </c>
      <c r="P33">
        <v>0</v>
      </c>
      <c r="Q33">
        <v>100</v>
      </c>
      <c r="AJ33">
        <v>1</v>
      </c>
    </row>
    <row r="34" spans="1:36" x14ac:dyDescent="0.2">
      <c r="A34">
        <v>36</v>
      </c>
      <c r="B34">
        <v>745</v>
      </c>
      <c r="C34">
        <v>250</v>
      </c>
      <c r="D34">
        <v>0.32061140303491598</v>
      </c>
      <c r="E34">
        <v>2.6228642050697899</v>
      </c>
      <c r="F34">
        <v>2.5430588954681599</v>
      </c>
      <c r="G34">
        <v>-42.733687652357837</v>
      </c>
      <c r="H34">
        <v>-37.511885913499981</v>
      </c>
      <c r="I34">
        <v>5.1287155515963798</v>
      </c>
      <c r="J34">
        <v>3.0349122024908799</v>
      </c>
      <c r="K34">
        <v>1.03138162067101</v>
      </c>
      <c r="L34">
        <v>0</v>
      </c>
      <c r="M34">
        <v>1.2382833910659956E-6</v>
      </c>
      <c r="N34">
        <v>0</v>
      </c>
      <c r="O34" s="1">
        <v>1.4664105442703399E-12</v>
      </c>
      <c r="P34">
        <v>0</v>
      </c>
      <c r="Q34">
        <v>100</v>
      </c>
      <c r="AJ34">
        <v>1</v>
      </c>
    </row>
    <row r="35" spans="1:36" x14ac:dyDescent="0.2">
      <c r="A35">
        <v>37</v>
      </c>
      <c r="B35">
        <v>744</v>
      </c>
      <c r="C35">
        <v>250</v>
      </c>
      <c r="D35">
        <v>0.31987464975667701</v>
      </c>
      <c r="E35">
        <v>6.9248329549663001</v>
      </c>
      <c r="F35">
        <v>2.5430588954681599</v>
      </c>
      <c r="G35">
        <v>-112.81107988573206</v>
      </c>
      <c r="H35">
        <v>-99.046133675641997</v>
      </c>
      <c r="I35">
        <v>13.532857700526</v>
      </c>
      <c r="J35">
        <v>8.01166992888189</v>
      </c>
      <c r="K35">
        <v>2.7230328669566601</v>
      </c>
      <c r="L35">
        <v>0</v>
      </c>
      <c r="M35">
        <v>1.2382833910659954E-6</v>
      </c>
      <c r="N35">
        <v>0</v>
      </c>
      <c r="O35" s="1">
        <v>3.8715874206698103E-12</v>
      </c>
      <c r="P35">
        <v>0</v>
      </c>
      <c r="Q35">
        <v>100</v>
      </c>
      <c r="AJ35">
        <v>1</v>
      </c>
    </row>
    <row r="36" spans="1:36" x14ac:dyDescent="0.2">
      <c r="A36">
        <v>38</v>
      </c>
      <c r="B36">
        <v>743</v>
      </c>
      <c r="C36">
        <v>250</v>
      </c>
      <c r="D36">
        <v>0.31913644639078897</v>
      </c>
      <c r="E36">
        <v>12.984929884439699</v>
      </c>
      <c r="F36">
        <v>2.5430588954681599</v>
      </c>
      <c r="G36">
        <v>-211.50954831312825</v>
      </c>
      <c r="H36">
        <v>-185.73893892467476</v>
      </c>
      <c r="I36">
        <v>25.361028773757202</v>
      </c>
      <c r="J36">
        <v>15.0209238867098</v>
      </c>
      <c r="K36">
        <v>5.1060279836929601</v>
      </c>
      <c r="L36">
        <v>0</v>
      </c>
      <c r="M36">
        <v>1.2382833910659956E-6</v>
      </c>
      <c r="N36">
        <v>0</v>
      </c>
      <c r="O36" s="1">
        <v>7.2597117541763204E-12</v>
      </c>
      <c r="P36">
        <v>0</v>
      </c>
      <c r="Q36">
        <v>100</v>
      </c>
      <c r="AJ36">
        <v>1</v>
      </c>
    </row>
    <row r="37" spans="1:36" x14ac:dyDescent="0.2">
      <c r="A37">
        <v>39</v>
      </c>
      <c r="B37">
        <v>742</v>
      </c>
      <c r="C37">
        <v>250</v>
      </c>
      <c r="D37">
        <v>0.318396788651924</v>
      </c>
      <c r="E37">
        <v>32.138970704750903</v>
      </c>
      <c r="F37">
        <v>2.5430588954681599</v>
      </c>
      <c r="G37">
        <v>-523.44405381846889</v>
      </c>
      <c r="H37">
        <v>-459.75920512586811</v>
      </c>
      <c r="I37">
        <v>62.734422196326499</v>
      </c>
      <c r="J37">
        <v>37.1733891049874</v>
      </c>
      <c r="K37">
        <v>12.637918359666701</v>
      </c>
      <c r="L37">
        <v>0</v>
      </c>
      <c r="M37">
        <v>1.2382833910659952E-6</v>
      </c>
      <c r="N37">
        <v>0</v>
      </c>
      <c r="O37" s="1">
        <v>1.7968496208208399E-11</v>
      </c>
      <c r="P37">
        <v>0</v>
      </c>
      <c r="Q37">
        <v>100</v>
      </c>
      <c r="AJ37">
        <v>1</v>
      </c>
    </row>
    <row r="38" spans="1:36" x14ac:dyDescent="0.2">
      <c r="A38">
        <v>40</v>
      </c>
      <c r="B38">
        <v>741</v>
      </c>
      <c r="C38">
        <v>250</v>
      </c>
      <c r="D38">
        <v>0.31765567223783697</v>
      </c>
      <c r="E38">
        <v>34.0486347552323</v>
      </c>
      <c r="F38">
        <v>2.5430588954681599</v>
      </c>
      <c r="G38">
        <v>-554.48010980592801</v>
      </c>
      <c r="H38">
        <v>-487.11699620585864</v>
      </c>
      <c r="I38">
        <v>66.423224966789206</v>
      </c>
      <c r="J38">
        <v>39.3770267832925</v>
      </c>
      <c r="K38">
        <v>13.3888502605694</v>
      </c>
      <c r="L38">
        <v>0</v>
      </c>
      <c r="M38">
        <v>1.2382833910659954E-6</v>
      </c>
      <c r="N38">
        <v>0</v>
      </c>
      <c r="O38" s="1">
        <v>1.9036165473825401E-11</v>
      </c>
      <c r="P38">
        <v>0</v>
      </c>
      <c r="Q38">
        <v>100</v>
      </c>
      <c r="AJ38">
        <v>1</v>
      </c>
    </row>
    <row r="39" spans="1:36" x14ac:dyDescent="0.2">
      <c r="A39">
        <v>42</v>
      </c>
      <c r="B39">
        <v>758</v>
      </c>
      <c r="C39">
        <v>225</v>
      </c>
      <c r="D39">
        <v>0.356728410027642</v>
      </c>
      <c r="E39">
        <v>6.8524812928627998E-2</v>
      </c>
      <c r="F39">
        <v>2.5422717692855801</v>
      </c>
      <c r="G39">
        <v>-1.1188802961577688</v>
      </c>
      <c r="H39">
        <v>-0.97967568458469179</v>
      </c>
      <c r="I39">
        <v>0.13499938085930899</v>
      </c>
      <c r="J39">
        <v>7.9422199447064204E-2</v>
      </c>
      <c r="K39">
        <v>2.6954165072558101E-2</v>
      </c>
      <c r="L39">
        <v>0</v>
      </c>
      <c r="M39">
        <v>1.2382554563563432E-6</v>
      </c>
      <c r="N39">
        <v>0</v>
      </c>
      <c r="O39" s="1">
        <v>3.8311365120794998E-14</v>
      </c>
      <c r="P39">
        <v>0</v>
      </c>
      <c r="Q39">
        <v>100</v>
      </c>
      <c r="AJ39">
        <v>1</v>
      </c>
    </row>
    <row r="40" spans="1:36" x14ac:dyDescent="0.2">
      <c r="A40">
        <v>43</v>
      </c>
      <c r="B40">
        <v>757</v>
      </c>
      <c r="C40">
        <v>225</v>
      </c>
      <c r="D40">
        <v>0.35603601417269398</v>
      </c>
      <c r="E40">
        <v>0.26957833550330901</v>
      </c>
      <c r="F40">
        <v>2.5422717692855801</v>
      </c>
      <c r="G40">
        <v>-4.4011722535627031</v>
      </c>
      <c r="H40">
        <v>-3.8543811832074595</v>
      </c>
      <c r="I40">
        <v>0.53078781765300498</v>
      </c>
      <c r="J40">
        <v>0.312409429472294</v>
      </c>
      <c r="K40">
        <v>0.106038362522927</v>
      </c>
      <c r="L40">
        <v>0</v>
      </c>
      <c r="M40">
        <v>1.2382554563563434E-6</v>
      </c>
      <c r="N40">
        <v>0</v>
      </c>
      <c r="O40" s="1">
        <v>1.5071787282192899E-13</v>
      </c>
      <c r="P40">
        <v>0</v>
      </c>
      <c r="Q40">
        <v>100</v>
      </c>
      <c r="AJ40">
        <v>1</v>
      </c>
    </row>
    <row r="41" spans="1:36" x14ac:dyDescent="0.2">
      <c r="A41">
        <v>44</v>
      </c>
      <c r="B41">
        <v>756</v>
      </c>
      <c r="C41">
        <v>225</v>
      </c>
      <c r="D41">
        <v>0.35534227274935698</v>
      </c>
      <c r="E41">
        <v>0.46967595390831901</v>
      </c>
      <c r="F41">
        <v>2.5422717692855801</v>
      </c>
      <c r="G41">
        <v>-7.66706844454625</v>
      </c>
      <c r="H41">
        <v>-6.7158841880724225</v>
      </c>
      <c r="I41">
        <v>0.92424258511764801</v>
      </c>
      <c r="J41">
        <v>0.54422995394640095</v>
      </c>
      <c r="K41">
        <v>0.18474655604593501</v>
      </c>
      <c r="L41">
        <v>0</v>
      </c>
      <c r="M41">
        <v>1.2382554563563432E-6</v>
      </c>
      <c r="N41">
        <v>0</v>
      </c>
      <c r="O41" s="1">
        <v>2.6258994646772499E-13</v>
      </c>
      <c r="P41">
        <v>0</v>
      </c>
      <c r="Q41">
        <v>100</v>
      </c>
      <c r="AJ41">
        <v>1</v>
      </c>
    </row>
    <row r="42" spans="1:36" x14ac:dyDescent="0.2">
      <c r="A42">
        <v>45</v>
      </c>
      <c r="B42">
        <v>755</v>
      </c>
      <c r="C42">
        <v>225</v>
      </c>
      <c r="D42">
        <v>0.354647181831445</v>
      </c>
      <c r="E42">
        <v>0.66882497362765603</v>
      </c>
      <c r="F42">
        <v>2.5422717692855801</v>
      </c>
      <c r="G42">
        <v>-10.916694431402535</v>
      </c>
      <c r="H42">
        <v>-9.5642857571768154</v>
      </c>
      <c r="I42">
        <v>1.3153807073148001</v>
      </c>
      <c r="J42">
        <v>0.77489246646058696</v>
      </c>
      <c r="K42">
        <v>0.26308161924624002</v>
      </c>
      <c r="L42">
        <v>0</v>
      </c>
      <c r="M42">
        <v>1.2382554563563434E-6</v>
      </c>
      <c r="N42">
        <v>0</v>
      </c>
      <c r="O42" s="1">
        <v>3.7393167046283599E-13</v>
      </c>
      <c r="P42">
        <v>0</v>
      </c>
      <c r="Q42">
        <v>100</v>
      </c>
      <c r="AJ42">
        <v>1</v>
      </c>
    </row>
    <row r="43" spans="1:36" x14ac:dyDescent="0.2">
      <c r="A43">
        <v>46</v>
      </c>
      <c r="B43">
        <v>754</v>
      </c>
      <c r="C43">
        <v>225</v>
      </c>
      <c r="D43">
        <v>0.35395073747748601</v>
      </c>
      <c r="E43">
        <v>0.86703262190237296</v>
      </c>
      <c r="F43">
        <v>2.5422717692855801</v>
      </c>
      <c r="G43">
        <v>-14.150174436330792</v>
      </c>
      <c r="H43">
        <v>-12.399685863984702</v>
      </c>
      <c r="I43">
        <v>1.7042190257957299</v>
      </c>
      <c r="J43">
        <v>1.0044055666629399</v>
      </c>
      <c r="K43">
        <v>0.34104639495171701</v>
      </c>
      <c r="L43">
        <v>0</v>
      </c>
      <c r="M43">
        <v>1.2382554563563434E-6</v>
      </c>
      <c r="N43">
        <v>0</v>
      </c>
      <c r="O43" s="1">
        <v>4.84747085467265E-13</v>
      </c>
      <c r="P43">
        <v>0</v>
      </c>
      <c r="Q43">
        <v>100</v>
      </c>
      <c r="AJ43">
        <v>1</v>
      </c>
    </row>
    <row r="44" spans="1:36" x14ac:dyDescent="0.2">
      <c r="A44">
        <v>47</v>
      </c>
      <c r="B44">
        <v>753</v>
      </c>
      <c r="C44">
        <v>225</v>
      </c>
      <c r="D44">
        <v>0.35325293573064698</v>
      </c>
      <c r="E44">
        <v>1.0643060514306499</v>
      </c>
      <c r="F44">
        <v>2.5422717692855801</v>
      </c>
      <c r="G44">
        <v>-17.367631402657747</v>
      </c>
      <c r="H44">
        <v>-15.222183449885163</v>
      </c>
      <c r="I44">
        <v>2.0907742072529101</v>
      </c>
      <c r="J44">
        <v>1.23277776458416</v>
      </c>
      <c r="K44">
        <v>0.41864369666888102</v>
      </c>
      <c r="L44">
        <v>0</v>
      </c>
      <c r="M44">
        <v>1.2382554563563432E-6</v>
      </c>
      <c r="N44">
        <v>0</v>
      </c>
      <c r="O44" s="1">
        <v>5.9504019046502998E-13</v>
      </c>
      <c r="P44">
        <v>0</v>
      </c>
      <c r="Q44">
        <v>100</v>
      </c>
      <c r="AJ44">
        <v>1</v>
      </c>
    </row>
    <row r="45" spans="1:36" x14ac:dyDescent="0.2">
      <c r="A45">
        <v>48</v>
      </c>
      <c r="B45">
        <v>752</v>
      </c>
      <c r="C45">
        <v>225</v>
      </c>
      <c r="D45">
        <v>0.35255377261864101</v>
      </c>
      <c r="E45">
        <v>1.26065233778124</v>
      </c>
      <c r="F45">
        <v>2.5422717692855801</v>
      </c>
      <c r="G45">
        <v>-20.569186953440461</v>
      </c>
      <c r="H45">
        <v>-18.031876386754732</v>
      </c>
      <c r="I45">
        <v>2.4750627388047901</v>
      </c>
      <c r="J45">
        <v>1.46001747767935</v>
      </c>
      <c r="K45">
        <v>0.49587630756545997</v>
      </c>
      <c r="L45">
        <v>0</v>
      </c>
      <c r="M45">
        <v>1.2382554563563432E-6</v>
      </c>
      <c r="N45">
        <v>0</v>
      </c>
      <c r="O45" s="1">
        <v>7.0481494131804702E-13</v>
      </c>
      <c r="P45">
        <v>0</v>
      </c>
      <c r="Q45">
        <v>100</v>
      </c>
      <c r="AJ45">
        <v>1</v>
      </c>
    </row>
    <row r="46" spans="1:36" x14ac:dyDescent="0.2">
      <c r="A46">
        <v>49</v>
      </c>
      <c r="B46">
        <v>751</v>
      </c>
      <c r="C46">
        <v>225</v>
      </c>
      <c r="D46">
        <v>0.35185324415369101</v>
      </c>
      <c r="E46">
        <v>1.4560784835237099</v>
      </c>
      <c r="F46">
        <v>2.5422717692855801</v>
      </c>
      <c r="G46">
        <v>-23.754961459678956</v>
      </c>
      <c r="H46">
        <v>-20.828861535584441</v>
      </c>
      <c r="I46">
        <v>2.8571009364785498</v>
      </c>
      <c r="J46">
        <v>1.68613303565048</v>
      </c>
      <c r="K46">
        <v>0.57274698209503005</v>
      </c>
      <c r="L46">
        <v>0</v>
      </c>
      <c r="M46">
        <v>1.2382554563563434E-6</v>
      </c>
      <c r="N46">
        <v>0</v>
      </c>
      <c r="O46" s="1">
        <v>8.1407525307529998E-13</v>
      </c>
      <c r="P46">
        <v>0</v>
      </c>
      <c r="Q46">
        <v>100</v>
      </c>
      <c r="AJ46">
        <v>1</v>
      </c>
    </row>
    <row r="47" spans="1:36" x14ac:dyDescent="0.2">
      <c r="A47">
        <v>50</v>
      </c>
      <c r="B47">
        <v>750</v>
      </c>
      <c r="C47">
        <v>225</v>
      </c>
      <c r="D47">
        <v>0.35115134633240402</v>
      </c>
      <c r="E47">
        <v>1.8640054334740399</v>
      </c>
      <c r="F47">
        <v>2.5422717692855801</v>
      </c>
      <c r="G47">
        <v>-30.406364503686273</v>
      </c>
      <c r="H47">
        <v>-26.666319346173498</v>
      </c>
      <c r="I47">
        <v>3.6554221350855398</v>
      </c>
      <c r="J47">
        <v>2.1582335041666201</v>
      </c>
      <c r="K47">
        <v>0.73320463059614505</v>
      </c>
      <c r="L47">
        <v>0</v>
      </c>
      <c r="M47">
        <v>1.2382554563563432E-6</v>
      </c>
      <c r="N47">
        <v>0</v>
      </c>
      <c r="O47" s="1">
        <v>1.0421421043987301E-12</v>
      </c>
      <c r="P47">
        <v>0</v>
      </c>
      <c r="Q47">
        <v>100</v>
      </c>
      <c r="AJ47">
        <v>1</v>
      </c>
    </row>
    <row r="48" spans="1:36" x14ac:dyDescent="0.2">
      <c r="A48">
        <v>51</v>
      </c>
      <c r="B48">
        <v>749</v>
      </c>
      <c r="C48">
        <v>225</v>
      </c>
      <c r="D48">
        <v>0.350448075135744</v>
      </c>
      <c r="E48">
        <v>2.5238594824611602</v>
      </c>
      <c r="F48">
        <v>2.5422717692855801</v>
      </c>
      <c r="G48">
        <v>-41.165206330777913</v>
      </c>
      <c r="H48">
        <v>-36.109063022555731</v>
      </c>
      <c r="I48">
        <v>4.9465766357405201</v>
      </c>
      <c r="J48">
        <v>2.92186739270308</v>
      </c>
      <c r="K48">
        <v>0.99275754581124298</v>
      </c>
      <c r="L48">
        <v>0</v>
      </c>
      <c r="M48">
        <v>1.2382554563563434E-6</v>
      </c>
      <c r="N48">
        <v>0</v>
      </c>
      <c r="O48" s="1">
        <v>1.4110582431922901E-12</v>
      </c>
      <c r="P48">
        <v>0</v>
      </c>
      <c r="Q48">
        <v>100</v>
      </c>
      <c r="AJ48">
        <v>1</v>
      </c>
    </row>
    <row r="49" spans="1:36" x14ac:dyDescent="0.2">
      <c r="A49">
        <v>52</v>
      </c>
      <c r="B49">
        <v>748</v>
      </c>
      <c r="C49">
        <v>225</v>
      </c>
      <c r="D49">
        <v>0.34974342652891699</v>
      </c>
      <c r="E49">
        <v>6.3480420894760199</v>
      </c>
      <c r="F49">
        <v>2.5422717692855801</v>
      </c>
      <c r="G49">
        <v>-103.52678991222346</v>
      </c>
      <c r="H49">
        <v>-90.829303458626953</v>
      </c>
      <c r="I49">
        <v>12.434496845318</v>
      </c>
      <c r="J49">
        <v>7.3481679196489802</v>
      </c>
      <c r="K49">
        <v>2.4969958625862798</v>
      </c>
      <c r="L49">
        <v>0</v>
      </c>
      <c r="M49">
        <v>1.2382554563563434E-6</v>
      </c>
      <c r="N49">
        <v>0</v>
      </c>
      <c r="O49" s="1">
        <v>3.5491108679916801E-12</v>
      </c>
      <c r="P49">
        <v>0</v>
      </c>
      <c r="Q49">
        <v>100</v>
      </c>
      <c r="AJ49">
        <v>1</v>
      </c>
    </row>
    <row r="50" spans="1:36" x14ac:dyDescent="0.2">
      <c r="A50">
        <v>53</v>
      </c>
      <c r="B50">
        <v>747</v>
      </c>
      <c r="C50">
        <v>225</v>
      </c>
      <c r="D50">
        <v>0.34903739646130499</v>
      </c>
      <c r="E50">
        <v>12.354495950348401</v>
      </c>
      <c r="F50">
        <v>2.5422717692855801</v>
      </c>
      <c r="G50">
        <v>-201.45860900422795</v>
      </c>
      <c r="H50">
        <v>-176.78538090571192</v>
      </c>
      <c r="I50">
        <v>24.1858825648346</v>
      </c>
      <c r="J50">
        <v>14.2990808019106</v>
      </c>
      <c r="K50">
        <v>4.8596283448564002</v>
      </c>
      <c r="L50">
        <v>0</v>
      </c>
      <c r="M50">
        <v>1.2382554563563434E-6</v>
      </c>
      <c r="N50">
        <v>0</v>
      </c>
      <c r="O50" s="1">
        <v>6.9072440333426002E-12</v>
      </c>
      <c r="P50">
        <v>0</v>
      </c>
      <c r="Q50">
        <v>100</v>
      </c>
      <c r="AJ50">
        <v>1</v>
      </c>
    </row>
    <row r="51" spans="1:36" x14ac:dyDescent="0.2">
      <c r="A51">
        <v>54</v>
      </c>
      <c r="B51">
        <v>746</v>
      </c>
      <c r="C51">
        <v>225</v>
      </c>
      <c r="D51">
        <v>0.34832998086640898</v>
      </c>
      <c r="E51">
        <v>31.575661274327601</v>
      </c>
      <c r="F51">
        <v>2.5422717692855801</v>
      </c>
      <c r="G51">
        <v>-514.82677726362567</v>
      </c>
      <c r="H51">
        <v>-451.86519966805906</v>
      </c>
      <c r="I51">
        <v>61.778518957529897</v>
      </c>
      <c r="J51">
        <v>36.540898948161399</v>
      </c>
      <c r="K51">
        <v>12.420254064025899</v>
      </c>
      <c r="L51">
        <v>0</v>
      </c>
      <c r="M51">
        <v>1.2382554563563434E-6</v>
      </c>
      <c r="N51">
        <v>0</v>
      </c>
      <c r="O51" s="1">
        <v>1.7653556957116799E-11</v>
      </c>
      <c r="P51">
        <v>0</v>
      </c>
      <c r="Q51">
        <v>100</v>
      </c>
      <c r="AJ51">
        <v>1</v>
      </c>
    </row>
    <row r="52" spans="1:36" x14ac:dyDescent="0.2">
      <c r="A52">
        <v>55</v>
      </c>
      <c r="B52">
        <v>745</v>
      </c>
      <c r="C52">
        <v>225</v>
      </c>
      <c r="D52">
        <v>0.347621175661739</v>
      </c>
      <c r="E52">
        <v>33.714480021879602</v>
      </c>
      <c r="F52">
        <v>2.5422717692855801</v>
      </c>
      <c r="G52">
        <v>-549.63329888601174</v>
      </c>
      <c r="H52">
        <v>-482.51189394913092</v>
      </c>
      <c r="I52">
        <v>65.924868572293605</v>
      </c>
      <c r="J52">
        <v>39.010973813001797</v>
      </c>
      <c r="K52">
        <v>13.2615562306125</v>
      </c>
      <c r="L52">
        <v>0</v>
      </c>
      <c r="M52">
        <v>1.2382554563563432E-6</v>
      </c>
      <c r="N52">
        <v>0</v>
      </c>
      <c r="O52" s="1">
        <v>1.8849343745327602E-11</v>
      </c>
      <c r="P52">
        <v>0</v>
      </c>
      <c r="Q52">
        <v>100</v>
      </c>
      <c r="AJ52">
        <v>1</v>
      </c>
    </row>
    <row r="53" spans="1:36" x14ac:dyDescent="0.2">
      <c r="A53">
        <v>56</v>
      </c>
      <c r="B53">
        <v>759</v>
      </c>
      <c r="C53">
        <v>200</v>
      </c>
      <c r="D53">
        <v>0.38406287845759102</v>
      </c>
      <c r="E53">
        <v>2.0076295165881299E-2</v>
      </c>
      <c r="F53">
        <v>2.5414849045122199</v>
      </c>
      <c r="G53">
        <v>-0.32804486096515689</v>
      </c>
      <c r="H53">
        <v>-0.28719807255001895</v>
      </c>
      <c r="I53">
        <v>3.9574469229412303E-2</v>
      </c>
      <c r="J53">
        <v>2.32719300420768E-2</v>
      </c>
      <c r="K53">
        <v>7.8994351413369801E-3</v>
      </c>
      <c r="L53">
        <v>0</v>
      </c>
      <c r="M53">
        <v>1.2382274289707083E-6</v>
      </c>
      <c r="N53">
        <v>0</v>
      </c>
      <c r="O53" s="1">
        <v>1.12244053139413E-14</v>
      </c>
      <c r="P53">
        <v>0</v>
      </c>
      <c r="Q53">
        <v>100</v>
      </c>
      <c r="AJ53">
        <v>1</v>
      </c>
    </row>
    <row r="54" spans="1:36" x14ac:dyDescent="0.2">
      <c r="A54">
        <v>57</v>
      </c>
      <c r="B54">
        <v>758</v>
      </c>
      <c r="C54">
        <v>200</v>
      </c>
      <c r="D54">
        <v>0.383397662803666</v>
      </c>
      <c r="E54">
        <v>0.21457951983761001</v>
      </c>
      <c r="F54">
        <v>2.5414849045122199</v>
      </c>
      <c r="G54">
        <v>-3.505787234083579</v>
      </c>
      <c r="H54">
        <v>-3.0698800431855382</v>
      </c>
      <c r="I54">
        <v>0.422738874943548</v>
      </c>
      <c r="J54">
        <v>0.24870374238815399</v>
      </c>
      <c r="K54">
        <v>8.4430767012087904E-2</v>
      </c>
      <c r="L54">
        <v>0</v>
      </c>
      <c r="M54">
        <v>1.2382274289707085E-6</v>
      </c>
      <c r="N54">
        <v>0</v>
      </c>
      <c r="O54" s="1">
        <v>1.1996872345359E-13</v>
      </c>
      <c r="P54">
        <v>0</v>
      </c>
      <c r="Q54">
        <v>100</v>
      </c>
      <c r="AJ54">
        <v>1</v>
      </c>
    </row>
    <row r="55" spans="1:36" x14ac:dyDescent="0.2">
      <c r="A55">
        <v>58</v>
      </c>
      <c r="B55">
        <v>757</v>
      </c>
      <c r="C55">
        <v>200</v>
      </c>
      <c r="D55">
        <v>0.38273115565694399</v>
      </c>
      <c r="E55">
        <v>0.40818713430859599</v>
      </c>
      <c r="F55">
        <v>2.5414849045122199</v>
      </c>
      <c r="G55">
        <v>-6.6681328130869888</v>
      </c>
      <c r="H55">
        <v>-5.8401987743329826</v>
      </c>
      <c r="I55">
        <v>0.80370241106052998</v>
      </c>
      <c r="J55">
        <v>0.47304064515864702</v>
      </c>
      <c r="K55">
        <v>0.16060970245539799</v>
      </c>
      <c r="L55">
        <v>0</v>
      </c>
      <c r="M55">
        <v>1.2382274289707083E-6</v>
      </c>
      <c r="N55">
        <v>0</v>
      </c>
      <c r="O55" s="1">
        <v>2.2821231714117301E-13</v>
      </c>
      <c r="P55">
        <v>0</v>
      </c>
      <c r="Q55">
        <v>100</v>
      </c>
      <c r="AJ55">
        <v>1</v>
      </c>
    </row>
    <row r="56" spans="1:36" x14ac:dyDescent="0.2">
      <c r="A56">
        <v>59</v>
      </c>
      <c r="B56">
        <v>756</v>
      </c>
      <c r="C56">
        <v>200</v>
      </c>
      <c r="D56">
        <v>0.38206335325268598</v>
      </c>
      <c r="E56">
        <v>0.78197627441752704</v>
      </c>
      <c r="F56">
        <v>2.5414849045122199</v>
      </c>
      <c r="G56">
        <v>-12.772801785396151</v>
      </c>
      <c r="H56">
        <v>-11.189149237351931</v>
      </c>
      <c r="I56">
        <v>1.5387966263850901</v>
      </c>
      <c r="J56">
        <v>0.90610325751635501</v>
      </c>
      <c r="K56">
        <v>0.307684799948717</v>
      </c>
      <c r="L56">
        <v>0</v>
      </c>
      <c r="M56">
        <v>1.2382274289707085E-6</v>
      </c>
      <c r="N56">
        <v>0</v>
      </c>
      <c r="O56" s="1">
        <v>4.3719314631638998E-13</v>
      </c>
      <c r="P56">
        <v>0</v>
      </c>
      <c r="Q56">
        <v>100</v>
      </c>
      <c r="AJ56">
        <v>1</v>
      </c>
    </row>
    <row r="57" spans="1:36" x14ac:dyDescent="0.2">
      <c r="A57">
        <v>60</v>
      </c>
      <c r="B57">
        <v>755</v>
      </c>
      <c r="C57">
        <v>200</v>
      </c>
      <c r="D57">
        <v>0.38139425181150599</v>
      </c>
      <c r="E57">
        <v>1.44510602360609</v>
      </c>
      <c r="F57">
        <v>2.5414849045122199</v>
      </c>
      <c r="G57">
        <v>-23.601521317534424</v>
      </c>
      <c r="H57">
        <v>-20.679420620695399</v>
      </c>
      <c r="I57">
        <v>2.84209570280506</v>
      </c>
      <c r="J57">
        <v>1.6742822338936501</v>
      </c>
      <c r="K57">
        <v>0.56860696714759495</v>
      </c>
      <c r="L57">
        <v>0</v>
      </c>
      <c r="M57">
        <v>1.2382274289707083E-6</v>
      </c>
      <c r="N57">
        <v>0</v>
      </c>
      <c r="O57" s="1">
        <v>8.0794068808765001E-13</v>
      </c>
      <c r="P57">
        <v>0</v>
      </c>
      <c r="Q57">
        <v>100</v>
      </c>
      <c r="AJ57">
        <v>1</v>
      </c>
    </row>
    <row r="58" spans="1:36" x14ac:dyDescent="0.2">
      <c r="A58">
        <v>61</v>
      </c>
      <c r="B58">
        <v>754</v>
      </c>
      <c r="C58">
        <v>200</v>
      </c>
      <c r="D58">
        <v>0.38072384753930699</v>
      </c>
      <c r="E58">
        <v>2.10402265957969</v>
      </c>
      <c r="F58">
        <v>2.5414849045122199</v>
      </c>
      <c r="G58">
        <v>-34.358833692082484</v>
      </c>
      <c r="H58">
        <v>-30.110933983914183</v>
      </c>
      <c r="I58">
        <v>4.1356176879407096</v>
      </c>
      <c r="J58">
        <v>2.4373847284200298</v>
      </c>
      <c r="K58">
        <v>0.82787139748269101</v>
      </c>
      <c r="L58">
        <v>0</v>
      </c>
      <c r="M58">
        <v>1.2382274289707083E-6</v>
      </c>
      <c r="N58">
        <v>0</v>
      </c>
      <c r="O58" s="1">
        <v>1.17633273099981E-12</v>
      </c>
      <c r="P58">
        <v>0</v>
      </c>
      <c r="Q58">
        <v>100</v>
      </c>
      <c r="AJ58">
        <v>1</v>
      </c>
    </row>
    <row r="59" spans="1:36" x14ac:dyDescent="0.2">
      <c r="A59">
        <v>62</v>
      </c>
      <c r="B59">
        <v>753</v>
      </c>
      <c r="C59">
        <v>200</v>
      </c>
      <c r="D59">
        <v>0.380052136627202</v>
      </c>
      <c r="E59">
        <v>2.7607592605551301</v>
      </c>
      <c r="F59">
        <v>2.5414849045122199</v>
      </c>
      <c r="G59">
        <v>-45.077962300993086</v>
      </c>
      <c r="H59">
        <v>-39.512772386217996</v>
      </c>
      <c r="I59">
        <v>5.4233688201287196</v>
      </c>
      <c r="J59">
        <v>3.1977668690385599</v>
      </c>
      <c r="K59">
        <v>1.08627804778757</v>
      </c>
      <c r="L59">
        <v>0</v>
      </c>
      <c r="M59">
        <v>1.2382274289707083E-6</v>
      </c>
      <c r="N59">
        <v>0</v>
      </c>
      <c r="O59" s="1">
        <v>1.5435059436339801E-12</v>
      </c>
      <c r="P59">
        <v>0</v>
      </c>
      <c r="Q59">
        <v>100</v>
      </c>
      <c r="AJ59">
        <v>1</v>
      </c>
    </row>
    <row r="60" spans="1:36" x14ac:dyDescent="0.2">
      <c r="A60">
        <v>63</v>
      </c>
      <c r="B60">
        <v>752</v>
      </c>
      <c r="C60">
        <v>200</v>
      </c>
      <c r="D60">
        <v>0.37937911525142798</v>
      </c>
      <c r="E60">
        <v>8.8443604320386697</v>
      </c>
      <c r="F60">
        <v>2.5414849045122199</v>
      </c>
      <c r="G60">
        <v>-144.39426116701708</v>
      </c>
      <c r="H60">
        <v>-126.59324774940426</v>
      </c>
      <c r="I60">
        <v>17.3643012413918</v>
      </c>
      <c r="J60">
        <v>10.243046732772401</v>
      </c>
      <c r="K60">
        <v>3.4799972316719798</v>
      </c>
      <c r="L60">
        <v>0</v>
      </c>
      <c r="M60">
        <v>1.2382274289707085E-6</v>
      </c>
      <c r="N60">
        <v>0</v>
      </c>
      <c r="O60" s="1">
        <v>4.9447712046242902E-12</v>
      </c>
      <c r="P60">
        <v>0</v>
      </c>
      <c r="Q60">
        <v>100</v>
      </c>
      <c r="AJ60">
        <v>1</v>
      </c>
    </row>
    <row r="61" spans="1:36" x14ac:dyDescent="0.2">
      <c r="A61">
        <v>64</v>
      </c>
      <c r="B61">
        <v>751</v>
      </c>
      <c r="C61">
        <v>200</v>
      </c>
      <c r="D61">
        <v>0.378704779573308</v>
      </c>
      <c r="E61">
        <v>26.351421250462401</v>
      </c>
      <c r="F61">
        <v>2.5414849045122199</v>
      </c>
      <c r="G61">
        <v>-430.16525491751463</v>
      </c>
      <c r="H61">
        <v>-377.21007935983317</v>
      </c>
      <c r="I61">
        <v>51.706464441421097</v>
      </c>
      <c r="J61">
        <v>30.514839968805401</v>
      </c>
      <c r="K61">
        <v>10.3685137785699</v>
      </c>
      <c r="L61">
        <v>0</v>
      </c>
      <c r="M61">
        <v>1.2382274289707083E-6</v>
      </c>
      <c r="N61">
        <v>0</v>
      </c>
      <c r="O61" s="1">
        <v>1.4732749756352501E-11</v>
      </c>
      <c r="P61">
        <v>0</v>
      </c>
      <c r="Q61">
        <v>100</v>
      </c>
      <c r="AJ61">
        <v>1</v>
      </c>
    </row>
    <row r="62" spans="1:36" x14ac:dyDescent="0.2">
      <c r="A62">
        <v>65</v>
      </c>
      <c r="B62">
        <v>750</v>
      </c>
      <c r="C62">
        <v>200</v>
      </c>
      <c r="D62">
        <v>0.37802912573913899</v>
      </c>
      <c r="E62">
        <v>32.279563613835201</v>
      </c>
      <c r="F62">
        <v>2.5414849045122199</v>
      </c>
      <c r="G62">
        <v>-526.87397759409589</v>
      </c>
      <c r="H62">
        <v>-462.10644880232377</v>
      </c>
      <c r="I62">
        <v>63.302085512165398</v>
      </c>
      <c r="J62">
        <v>37.3748029057057</v>
      </c>
      <c r="K62">
        <v>12.701064466888999</v>
      </c>
      <c r="L62">
        <v>0</v>
      </c>
      <c r="M62">
        <v>1.2382274289707085E-6</v>
      </c>
      <c r="N62">
        <v>0</v>
      </c>
      <c r="O62" s="1">
        <v>1.80470999437478E-11</v>
      </c>
      <c r="P62">
        <v>0</v>
      </c>
      <c r="Q62">
        <v>100</v>
      </c>
      <c r="AJ62">
        <v>1</v>
      </c>
    </row>
    <row r="63" spans="1:36" x14ac:dyDescent="0.2">
      <c r="A63">
        <v>66</v>
      </c>
      <c r="B63">
        <v>749</v>
      </c>
      <c r="C63">
        <v>200</v>
      </c>
      <c r="D63">
        <v>0.37735214988015597</v>
      </c>
      <c r="E63">
        <v>33.891648752968301</v>
      </c>
      <c r="F63">
        <v>2.5414849045122199</v>
      </c>
      <c r="G63">
        <v>-553.1203335472045</v>
      </c>
      <c r="H63">
        <v>-485.22390974161556</v>
      </c>
      <c r="I63">
        <v>66.425107670683204</v>
      </c>
      <c r="J63">
        <v>39.236298242593698</v>
      </c>
      <c r="K63">
        <v>13.3353728337304</v>
      </c>
      <c r="L63">
        <v>0</v>
      </c>
      <c r="M63">
        <v>1.2382274289707085E-6</v>
      </c>
      <c r="N63">
        <v>0</v>
      </c>
      <c r="O63" s="1">
        <v>1.8948396565096699E-11</v>
      </c>
      <c r="P63">
        <v>0</v>
      </c>
      <c r="Q63">
        <v>100</v>
      </c>
      <c r="AJ63">
        <v>1</v>
      </c>
    </row>
    <row r="64" spans="1:36" x14ac:dyDescent="0.2">
      <c r="A64">
        <v>70</v>
      </c>
      <c r="B64">
        <v>762</v>
      </c>
      <c r="C64">
        <v>175</v>
      </c>
      <c r="D64">
        <v>0.41261701202724399</v>
      </c>
      <c r="E64">
        <v>0.271439063773317</v>
      </c>
      <c r="F64">
        <v>2.5406983011149902</v>
      </c>
      <c r="G64">
        <v>-4.439566990195619</v>
      </c>
      <c r="H64">
        <v>-3.8847523738530256</v>
      </c>
      <c r="I64">
        <v>0.53597509186358805</v>
      </c>
      <c r="J64">
        <v>0.31476379107651598</v>
      </c>
      <c r="K64">
        <v>0.106836401494106</v>
      </c>
      <c r="L64">
        <v>0</v>
      </c>
      <c r="M64">
        <v>1.238199309002582E-6</v>
      </c>
      <c r="N64">
        <v>0</v>
      </c>
      <c r="O64" s="1">
        <v>1.5175818270525701E-13</v>
      </c>
      <c r="P64">
        <v>0</v>
      </c>
      <c r="Q64">
        <v>100</v>
      </c>
      <c r="AJ64">
        <v>1</v>
      </c>
    </row>
    <row r="65" spans="1:36" x14ac:dyDescent="0.2">
      <c r="A65">
        <v>71</v>
      </c>
      <c r="B65">
        <v>761</v>
      </c>
      <c r="C65">
        <v>175</v>
      </c>
      <c r="D65">
        <v>0.411981337330175</v>
      </c>
      <c r="E65">
        <v>0.93097791570627098</v>
      </c>
      <c r="F65">
        <v>2.5406983011149902</v>
      </c>
      <c r="G65">
        <v>-15.224927194825264</v>
      </c>
      <c r="H65">
        <v>-13.324949023757387</v>
      </c>
      <c r="I65">
        <v>1.8372365431203099</v>
      </c>
      <c r="J65">
        <v>1.07943722975963</v>
      </c>
      <c r="K65">
        <v>0.36642600000862202</v>
      </c>
      <c r="L65">
        <v>0</v>
      </c>
      <c r="M65">
        <v>1.238199309002582E-6</v>
      </c>
      <c r="N65">
        <v>0</v>
      </c>
      <c r="O65" s="1">
        <v>5.2049809877144299E-13</v>
      </c>
      <c r="P65">
        <v>0</v>
      </c>
      <c r="Q65">
        <v>100</v>
      </c>
      <c r="AJ65">
        <v>1</v>
      </c>
    </row>
    <row r="66" spans="1:36" x14ac:dyDescent="0.2">
      <c r="A66">
        <v>72</v>
      </c>
      <c r="B66">
        <v>760</v>
      </c>
      <c r="C66">
        <v>175</v>
      </c>
      <c r="D66">
        <v>0.41134443207665999</v>
      </c>
      <c r="E66">
        <v>1.58629690794417</v>
      </c>
      <c r="F66">
        <v>2.5406983011149902</v>
      </c>
      <c r="G66">
        <v>-25.938683346718726</v>
      </c>
      <c r="H66">
        <v>-22.706271844645766</v>
      </c>
      <c r="I66">
        <v>3.12869525438993</v>
      </c>
      <c r="J66">
        <v>1.83902639384533</v>
      </c>
      <c r="K66">
        <v>0.62435469305742597</v>
      </c>
      <c r="L66">
        <v>0</v>
      </c>
      <c r="M66">
        <v>1.2381993090025822E-6</v>
      </c>
      <c r="N66">
        <v>0</v>
      </c>
      <c r="O66" s="1">
        <v>8.8687874410596205E-13</v>
      </c>
      <c r="P66">
        <v>0</v>
      </c>
      <c r="Q66">
        <v>100</v>
      </c>
      <c r="AJ66">
        <v>1</v>
      </c>
    </row>
    <row r="67" spans="1:36" x14ac:dyDescent="0.2">
      <c r="A67">
        <v>73</v>
      </c>
      <c r="B67">
        <v>759</v>
      </c>
      <c r="C67">
        <v>175</v>
      </c>
      <c r="D67">
        <v>0.41070629269001901</v>
      </c>
      <c r="E67">
        <v>2.23929764292502</v>
      </c>
      <c r="F67">
        <v>2.5406983011149902</v>
      </c>
      <c r="G67">
        <v>-36.61195334976766</v>
      </c>
      <c r="H67">
        <v>-32.055927635694616</v>
      </c>
      <c r="I67">
        <v>4.4141120128596096</v>
      </c>
      <c r="J67">
        <v>2.5957367960051601</v>
      </c>
      <c r="K67">
        <v>0.88137093725071503</v>
      </c>
      <c r="L67">
        <v>0</v>
      </c>
      <c r="M67">
        <v>1.238199309002582E-6</v>
      </c>
      <c r="N67">
        <v>0</v>
      </c>
      <c r="O67" s="1">
        <v>1.2519632808278E-12</v>
      </c>
      <c r="P67">
        <v>0</v>
      </c>
      <c r="Q67">
        <v>100</v>
      </c>
      <c r="AJ67">
        <v>1</v>
      </c>
    </row>
    <row r="68" spans="1:36" x14ac:dyDescent="0.2">
      <c r="A68">
        <v>74</v>
      </c>
      <c r="B68">
        <v>758</v>
      </c>
      <c r="C68">
        <v>175</v>
      </c>
      <c r="D68">
        <v>0.41006691557969399</v>
      </c>
      <c r="E68">
        <v>3.0908660312825802</v>
      </c>
      <c r="F68">
        <v>2.5406983011149902</v>
      </c>
      <c r="G68">
        <v>-50.528791366340499</v>
      </c>
      <c r="H68">
        <v>-44.249856964034997</v>
      </c>
      <c r="I68">
        <v>6.0892541359700196</v>
      </c>
      <c r="J68">
        <v>3.5824012924539299</v>
      </c>
      <c r="K68">
        <v>1.21654193649286</v>
      </c>
      <c r="L68">
        <v>0</v>
      </c>
      <c r="M68">
        <v>1.2381993090025817E-6</v>
      </c>
      <c r="N68">
        <v>0</v>
      </c>
      <c r="O68" s="1">
        <v>1.72806450690007E-12</v>
      </c>
      <c r="P68">
        <v>0</v>
      </c>
      <c r="Q68">
        <v>100</v>
      </c>
      <c r="AJ68">
        <v>1</v>
      </c>
    </row>
    <row r="69" spans="1:36" x14ac:dyDescent="0.2">
      <c r="A69">
        <v>75</v>
      </c>
      <c r="B69">
        <v>757</v>
      </c>
      <c r="C69">
        <v>175</v>
      </c>
      <c r="D69">
        <v>0.40942629714119499</v>
      </c>
      <c r="E69">
        <v>9.4426213766870806</v>
      </c>
      <c r="F69">
        <v>2.5406983011149902</v>
      </c>
      <c r="G69">
        <v>-154.34727954936062</v>
      </c>
      <c r="H69">
        <v>-135.19462382916586</v>
      </c>
      <c r="I69">
        <v>18.592103790899099</v>
      </c>
      <c r="J69">
        <v>10.9428821552223</v>
      </c>
      <c r="K69">
        <v>3.7165457120757401</v>
      </c>
      <c r="L69">
        <v>0</v>
      </c>
      <c r="M69">
        <v>1.2381993090025817E-6</v>
      </c>
      <c r="N69">
        <v>0</v>
      </c>
      <c r="O69" s="1">
        <v>5.2792514097991597E-12</v>
      </c>
      <c r="P69">
        <v>0</v>
      </c>
      <c r="Q69">
        <v>100</v>
      </c>
      <c r="AJ69">
        <v>1</v>
      </c>
    </row>
    <row r="70" spans="1:36" x14ac:dyDescent="0.2">
      <c r="A70">
        <v>76</v>
      </c>
      <c r="B70">
        <v>756</v>
      </c>
      <c r="C70">
        <v>175</v>
      </c>
      <c r="D70">
        <v>0.40878443375601398</v>
      </c>
      <c r="E70">
        <v>26.100273200378599</v>
      </c>
      <c r="F70">
        <v>2.5406983011149902</v>
      </c>
      <c r="G70">
        <v>-426.57868858276504</v>
      </c>
      <c r="H70">
        <v>-373.72060898282018</v>
      </c>
      <c r="I70">
        <v>51.360909099688897</v>
      </c>
      <c r="J70">
        <v>30.243299371896899</v>
      </c>
      <c r="K70">
        <v>10.2728738744479</v>
      </c>
      <c r="L70">
        <v>0</v>
      </c>
      <c r="M70">
        <v>1.238199309002582E-6</v>
      </c>
      <c r="N70">
        <v>0</v>
      </c>
      <c r="O70" s="1">
        <v>1.4592336025399902E-11</v>
      </c>
      <c r="P70">
        <v>0</v>
      </c>
      <c r="Q70">
        <v>100</v>
      </c>
      <c r="AJ70">
        <v>1</v>
      </c>
    </row>
    <row r="71" spans="1:36" x14ac:dyDescent="0.2">
      <c r="A71">
        <v>77</v>
      </c>
      <c r="B71">
        <v>755</v>
      </c>
      <c r="C71">
        <v>175</v>
      </c>
      <c r="D71">
        <v>0.40814132179156798</v>
      </c>
      <c r="E71">
        <v>31.953518377935399</v>
      </c>
      <c r="F71">
        <v>2.5406983011149902</v>
      </c>
      <c r="G71">
        <v>-522.18033001089759</v>
      </c>
      <c r="H71">
        <v>-457.56818613122118</v>
      </c>
      <c r="I71">
        <v>62.843110324054201</v>
      </c>
      <c r="J71">
        <v>37.020957117783503</v>
      </c>
      <c r="K71">
        <v>12.5766677467814</v>
      </c>
      <c r="L71">
        <v>0</v>
      </c>
      <c r="M71">
        <v>1.238199309002582E-6</v>
      </c>
      <c r="N71">
        <v>0</v>
      </c>
      <c r="O71" s="1">
        <v>1.7864812133761899E-11</v>
      </c>
      <c r="P71">
        <v>0</v>
      </c>
      <c r="Q71">
        <v>100</v>
      </c>
      <c r="AJ71">
        <v>1</v>
      </c>
    </row>
    <row r="72" spans="1:36" x14ac:dyDescent="0.2">
      <c r="A72">
        <v>78</v>
      </c>
      <c r="B72">
        <v>754</v>
      </c>
      <c r="C72">
        <v>175</v>
      </c>
      <c r="D72">
        <v>0.40749695760112897</v>
      </c>
      <c r="E72">
        <v>33.700303891471798</v>
      </c>
      <c r="F72">
        <v>2.5406983011149902</v>
      </c>
      <c r="G72">
        <v>-550.65981700003772</v>
      </c>
      <c r="H72">
        <v>-482.62085819226365</v>
      </c>
      <c r="I72">
        <v>66.2405284600828</v>
      </c>
      <c r="J72">
        <v>39.039791550817398</v>
      </c>
      <c r="K72">
        <v>13.2641895642163</v>
      </c>
      <c r="L72">
        <v>0</v>
      </c>
      <c r="M72">
        <v>1.238199309002582E-6</v>
      </c>
      <c r="N72">
        <v>0</v>
      </c>
      <c r="O72" s="1">
        <v>1.88414180482722E-11</v>
      </c>
      <c r="P72">
        <v>0</v>
      </c>
      <c r="Q72">
        <v>100</v>
      </c>
      <c r="AJ72">
        <v>1</v>
      </c>
    </row>
    <row r="73" spans="1:36" x14ac:dyDescent="0.2">
      <c r="A73">
        <v>86</v>
      </c>
      <c r="B73">
        <v>768</v>
      </c>
      <c r="C73">
        <v>150</v>
      </c>
      <c r="D73">
        <v>0.442818517984921</v>
      </c>
      <c r="E73">
        <v>0.64438461400718705</v>
      </c>
      <c r="F73">
        <v>2.53991195906073</v>
      </c>
      <c r="G73">
        <v>-10.553329159420331</v>
      </c>
      <c r="H73">
        <v>-9.2240908708394223</v>
      </c>
      <c r="I73">
        <v>1.2767020012302801</v>
      </c>
      <c r="J73">
        <v>0.74779304423075099</v>
      </c>
      <c r="K73">
        <v>0.25370352374161897</v>
      </c>
      <c r="L73">
        <v>0</v>
      </c>
      <c r="M73">
        <v>1.2381710965453891E-6</v>
      </c>
      <c r="N73">
        <v>0</v>
      </c>
      <c r="O73" s="1">
        <v>3.6026737134131102E-13</v>
      </c>
      <c r="P73">
        <v>0</v>
      </c>
      <c r="Q73">
        <v>100</v>
      </c>
      <c r="AJ73">
        <v>1</v>
      </c>
    </row>
    <row r="74" spans="1:36" x14ac:dyDescent="0.2">
      <c r="A74">
        <v>87</v>
      </c>
      <c r="B74">
        <v>767</v>
      </c>
      <c r="C74">
        <v>150</v>
      </c>
      <c r="D74">
        <v>0.44221554583473799</v>
      </c>
      <c r="E74">
        <v>1.29167405489122</v>
      </c>
      <c r="F74">
        <v>2.53991195906073</v>
      </c>
      <c r="G74">
        <v>-21.151673321829737</v>
      </c>
      <c r="H74">
        <v>-18.491261963787345</v>
      </c>
      <c r="I74">
        <v>2.5577189425009701</v>
      </c>
      <c r="J74">
        <v>1.4987718512235699</v>
      </c>
      <c r="K74">
        <v>0.50855071975364496</v>
      </c>
      <c r="L74">
        <v>0</v>
      </c>
      <c r="M74">
        <v>1.2381710965453893E-6</v>
      </c>
      <c r="N74">
        <v>0</v>
      </c>
      <c r="O74" s="1">
        <v>7.2215879502710298E-13</v>
      </c>
      <c r="P74">
        <v>0</v>
      </c>
      <c r="Q74">
        <v>100</v>
      </c>
      <c r="AJ74">
        <v>1</v>
      </c>
    </row>
    <row r="75" spans="1:36" x14ac:dyDescent="0.2">
      <c r="A75">
        <v>88</v>
      </c>
      <c r="B75">
        <v>766</v>
      </c>
      <c r="C75">
        <v>150</v>
      </c>
      <c r="D75">
        <v>0.44161141317423203</v>
      </c>
      <c r="E75">
        <v>1.9371845228773401</v>
      </c>
      <c r="F75">
        <v>2.53991195906073</v>
      </c>
      <c r="G75">
        <v>-31.718327591522183</v>
      </c>
      <c r="H75">
        <v>-27.734465647098745</v>
      </c>
      <c r="I75">
        <v>3.8337698546152499</v>
      </c>
      <c r="J75">
        <v>2.2475004797437501</v>
      </c>
      <c r="K75">
        <v>0.76269750845762496</v>
      </c>
      <c r="L75">
        <v>0</v>
      </c>
      <c r="M75">
        <v>1.2381710965453891E-6</v>
      </c>
      <c r="N75">
        <v>0</v>
      </c>
      <c r="O75" s="1">
        <v>1.0830556172346901E-12</v>
      </c>
      <c r="P75">
        <v>0</v>
      </c>
      <c r="Q75">
        <v>100</v>
      </c>
      <c r="AJ75">
        <v>1</v>
      </c>
    </row>
    <row r="76" spans="1:36" x14ac:dyDescent="0.2">
      <c r="A76">
        <v>89</v>
      </c>
      <c r="B76">
        <v>765</v>
      </c>
      <c r="C76">
        <v>150</v>
      </c>
      <c r="D76">
        <v>0.44100611664981298</v>
      </c>
      <c r="E76">
        <v>2.5834632800383499</v>
      </c>
      <c r="F76">
        <v>2.53991195906073</v>
      </c>
      <c r="G76">
        <v>-42.295007037406883</v>
      </c>
      <c r="H76">
        <v>-36.990167286210387</v>
      </c>
      <c r="I76">
        <v>5.1098971740080801</v>
      </c>
      <c r="J76">
        <v>2.9969340369223998</v>
      </c>
      <c r="K76">
        <v>1.0171467836994299</v>
      </c>
      <c r="L76">
        <v>0</v>
      </c>
      <c r="M76">
        <v>1.2381710965453893E-6</v>
      </c>
      <c r="N76">
        <v>0</v>
      </c>
      <c r="O76" s="1">
        <v>1.4443819803025899E-12</v>
      </c>
      <c r="P76">
        <v>0</v>
      </c>
      <c r="Q76">
        <v>100</v>
      </c>
      <c r="AJ76">
        <v>1</v>
      </c>
    </row>
    <row r="77" spans="1:36" x14ac:dyDescent="0.2">
      <c r="A77">
        <v>90</v>
      </c>
      <c r="B77">
        <v>764</v>
      </c>
      <c r="C77">
        <v>150</v>
      </c>
      <c r="D77">
        <v>0.44039965289495597</v>
      </c>
      <c r="E77">
        <v>5.6537673177588603</v>
      </c>
      <c r="F77">
        <v>2.53991195906073</v>
      </c>
      <c r="G77">
        <v>-92.549117432093112</v>
      </c>
      <c r="H77">
        <v>-80.957505148743138</v>
      </c>
      <c r="I77">
        <v>11.176408700139699</v>
      </c>
      <c r="J77">
        <v>6.5578093692684201</v>
      </c>
      <c r="K77">
        <v>2.2259698008783002</v>
      </c>
      <c r="L77">
        <v>0</v>
      </c>
      <c r="M77">
        <v>1.2381710965453893E-6</v>
      </c>
      <c r="N77">
        <v>0</v>
      </c>
      <c r="O77" s="1">
        <v>3.16095053399534E-12</v>
      </c>
      <c r="P77">
        <v>0</v>
      </c>
      <c r="Q77">
        <v>100</v>
      </c>
      <c r="AJ77">
        <v>1</v>
      </c>
    </row>
    <row r="78" spans="1:36" x14ac:dyDescent="0.2">
      <c r="A78">
        <v>91</v>
      </c>
      <c r="B78">
        <v>763</v>
      </c>
      <c r="C78">
        <v>150</v>
      </c>
      <c r="D78">
        <v>0.43979201853014099</v>
      </c>
      <c r="E78">
        <v>10.7870923545112</v>
      </c>
      <c r="F78">
        <v>2.53991195906073</v>
      </c>
      <c r="G78">
        <v>-176.55755784159516</v>
      </c>
      <c r="H78">
        <v>-154.4751969847598</v>
      </c>
      <c r="I78">
        <v>21.311934427288801</v>
      </c>
      <c r="J78">
        <v>12.510397141469401</v>
      </c>
      <c r="K78">
        <v>4.24703396353169</v>
      </c>
      <c r="L78">
        <v>0</v>
      </c>
      <c r="M78">
        <v>1.2381710965453893E-6</v>
      </c>
      <c r="N78">
        <v>0</v>
      </c>
      <c r="O78" s="1">
        <v>6.0309283035308304E-12</v>
      </c>
      <c r="P78">
        <v>0</v>
      </c>
      <c r="Q78">
        <v>100</v>
      </c>
      <c r="AJ78">
        <v>1</v>
      </c>
    </row>
    <row r="79" spans="1:36" x14ac:dyDescent="0.2">
      <c r="A79">
        <v>92</v>
      </c>
      <c r="B79">
        <v>762</v>
      </c>
      <c r="C79">
        <v>150</v>
      </c>
      <c r="D79">
        <v>0.439183210162781</v>
      </c>
      <c r="E79">
        <v>26.845122551965002</v>
      </c>
      <c r="F79">
        <v>2.53991195906073</v>
      </c>
      <c r="G79">
        <v>-439.33408212345711</v>
      </c>
      <c r="H79">
        <v>-384.46332711018209</v>
      </c>
      <c r="I79">
        <v>53.0075399828768</v>
      </c>
      <c r="J79">
        <v>31.129906023500101</v>
      </c>
      <c r="K79">
        <v>10.569312237851101</v>
      </c>
      <c r="L79">
        <v>0</v>
      </c>
      <c r="M79">
        <v>1.2381710965453893E-6</v>
      </c>
      <c r="N79">
        <v>0</v>
      </c>
      <c r="O79" s="1">
        <v>1.5008771973912999E-11</v>
      </c>
      <c r="P79">
        <v>0</v>
      </c>
      <c r="Q79">
        <v>100</v>
      </c>
      <c r="AJ79">
        <v>1</v>
      </c>
    </row>
    <row r="80" spans="1:36" x14ac:dyDescent="0.2">
      <c r="A80">
        <v>93</v>
      </c>
      <c r="B80">
        <v>761</v>
      </c>
      <c r="C80">
        <v>150</v>
      </c>
      <c r="D80">
        <v>0.43857322438717999</v>
      </c>
      <c r="E80">
        <v>31.840389814169701</v>
      </c>
      <c r="F80">
        <v>2.53991195906073</v>
      </c>
      <c r="G80">
        <v>-521.02131791538966</v>
      </c>
      <c r="H80">
        <v>-456.04013567185586</v>
      </c>
      <c r="I80">
        <v>62.835354874567102</v>
      </c>
      <c r="J80">
        <v>36.917849065624999</v>
      </c>
      <c r="K80">
        <v>12.536021061904901</v>
      </c>
      <c r="L80">
        <v>0</v>
      </c>
      <c r="M80">
        <v>1.2381710965453891E-6</v>
      </c>
      <c r="N80">
        <v>0</v>
      </c>
      <c r="O80" s="1">
        <v>1.7801563369893899E-11</v>
      </c>
      <c r="P80">
        <v>0</v>
      </c>
      <c r="Q80">
        <v>100</v>
      </c>
      <c r="AJ80">
        <v>1</v>
      </c>
    </row>
    <row r="81" spans="1:36" x14ac:dyDescent="0.2">
      <c r="A81">
        <v>94</v>
      </c>
      <c r="B81">
        <v>760</v>
      </c>
      <c r="C81">
        <v>150</v>
      </c>
      <c r="D81">
        <v>0.43796205778444602</v>
      </c>
      <c r="E81">
        <v>33.572572228271802</v>
      </c>
      <c r="F81">
        <v>2.53991195906073</v>
      </c>
      <c r="G81">
        <v>-549.29970974563059</v>
      </c>
      <c r="H81">
        <v>-480.88857682255002</v>
      </c>
      <c r="I81">
        <v>66.216070196080494</v>
      </c>
      <c r="J81">
        <v>38.921368457488803</v>
      </c>
      <c r="K81">
        <v>13.2180062810866</v>
      </c>
      <c r="L81">
        <v>0</v>
      </c>
      <c r="M81">
        <v>1.2381710965453891E-6</v>
      </c>
      <c r="N81">
        <v>0</v>
      </c>
      <c r="O81" s="1">
        <v>1.8770004874310801E-11</v>
      </c>
      <c r="P81">
        <v>0</v>
      </c>
      <c r="Q81">
        <v>100</v>
      </c>
      <c r="AJ81">
        <v>1</v>
      </c>
    </row>
    <row r="82" spans="1:36" x14ac:dyDescent="0.2">
      <c r="A82">
        <v>106</v>
      </c>
      <c r="B82">
        <v>777</v>
      </c>
      <c r="C82">
        <v>125</v>
      </c>
      <c r="D82">
        <v>0.47438032662001101</v>
      </c>
      <c r="E82">
        <v>0.43636553510270898</v>
      </c>
      <c r="F82">
        <v>2.5391258783161499</v>
      </c>
      <c r="G82">
        <v>-7.1586189071245743</v>
      </c>
      <c r="H82">
        <v>-6.2461222003185615</v>
      </c>
      <c r="I82">
        <v>0.86892035119364996</v>
      </c>
      <c r="J82">
        <v>0.50694902080753801</v>
      </c>
      <c r="K82">
        <v>0.17185659790608299</v>
      </c>
      <c r="L82">
        <v>0</v>
      </c>
      <c r="M82">
        <v>1.2381427916924879E-6</v>
      </c>
      <c r="N82">
        <v>0</v>
      </c>
      <c r="O82" s="1">
        <v>2.4396650829041099E-13</v>
      </c>
      <c r="P82">
        <v>0</v>
      </c>
      <c r="Q82">
        <v>100</v>
      </c>
      <c r="AJ82">
        <v>1</v>
      </c>
    </row>
    <row r="83" spans="1:36" x14ac:dyDescent="0.2">
      <c r="A83">
        <v>107</v>
      </c>
      <c r="B83">
        <v>776</v>
      </c>
      <c r="C83">
        <v>125</v>
      </c>
      <c r="D83">
        <v>0.47381261020826598</v>
      </c>
      <c r="E83">
        <v>1.07227167039936</v>
      </c>
      <c r="F83">
        <v>2.5391258783161499</v>
      </c>
      <c r="G83">
        <v>-17.588586118969619</v>
      </c>
      <c r="H83">
        <v>-15.349707757862173</v>
      </c>
      <c r="I83">
        <v>2.1339926236548101</v>
      </c>
      <c r="J83">
        <v>1.24556412195586</v>
      </c>
      <c r="K83">
        <v>0.42229953211711202</v>
      </c>
      <c r="L83">
        <v>0</v>
      </c>
      <c r="M83">
        <v>1.2381427916924881E-6</v>
      </c>
      <c r="N83">
        <v>0</v>
      </c>
      <c r="O83" s="1">
        <v>5.9949366831751601E-13</v>
      </c>
      <c r="P83">
        <v>0</v>
      </c>
      <c r="Q83">
        <v>100</v>
      </c>
      <c r="AJ83">
        <v>1</v>
      </c>
    </row>
    <row r="84" spans="1:36" x14ac:dyDescent="0.2">
      <c r="A84">
        <v>108</v>
      </c>
      <c r="B84">
        <v>775</v>
      </c>
      <c r="C84">
        <v>125</v>
      </c>
      <c r="D84">
        <v>0.473243810523307</v>
      </c>
      <c r="E84">
        <v>1.7071070152673899</v>
      </c>
      <c r="F84">
        <v>2.5391258783161499</v>
      </c>
      <c r="G84">
        <v>-27.998461249095978</v>
      </c>
      <c r="H84">
        <v>-24.439440769957251</v>
      </c>
      <c r="I84">
        <v>3.3955259067296901</v>
      </c>
      <c r="J84">
        <v>1.9827561164959699</v>
      </c>
      <c r="K84">
        <v>0.67232075016283899</v>
      </c>
      <c r="L84">
        <v>0</v>
      </c>
      <c r="M84">
        <v>1.2381427916924884E-6</v>
      </c>
      <c r="N84">
        <v>0</v>
      </c>
      <c r="O84" s="1">
        <v>9.5442216282003905E-13</v>
      </c>
      <c r="P84">
        <v>0</v>
      </c>
      <c r="Q84">
        <v>100</v>
      </c>
      <c r="AJ84">
        <v>1</v>
      </c>
    </row>
    <row r="85" spans="1:36" x14ac:dyDescent="0.2">
      <c r="A85">
        <v>109</v>
      </c>
      <c r="B85">
        <v>774</v>
      </c>
      <c r="C85">
        <v>125</v>
      </c>
      <c r="D85">
        <v>0.47267392446163797</v>
      </c>
      <c r="E85">
        <v>2.3434438179127799</v>
      </c>
      <c r="F85">
        <v>2.5391258783161499</v>
      </c>
      <c r="G85">
        <v>-38.430435427578054</v>
      </c>
      <c r="H85">
        <v>-33.552145277619928</v>
      </c>
      <c r="I85">
        <v>4.6586354867575102</v>
      </c>
      <c r="J85">
        <v>2.7215121147419601</v>
      </c>
      <c r="K85">
        <v>0.92293329681900904</v>
      </c>
      <c r="L85">
        <v>0</v>
      </c>
      <c r="M85">
        <v>1.2381427916924881E-6</v>
      </c>
      <c r="N85">
        <v>0</v>
      </c>
      <c r="O85" s="1">
        <v>1.3101901035707599E-12</v>
      </c>
      <c r="P85">
        <v>0</v>
      </c>
      <c r="Q85">
        <v>100</v>
      </c>
      <c r="AJ85">
        <v>1</v>
      </c>
    </row>
    <row r="86" spans="1:36" x14ac:dyDescent="0.2">
      <c r="A86">
        <v>110</v>
      </c>
      <c r="B86">
        <v>773</v>
      </c>
      <c r="C86">
        <v>125</v>
      </c>
      <c r="D86">
        <v>0.472102948907902</v>
      </c>
      <c r="E86">
        <v>2.9848977582480498</v>
      </c>
      <c r="F86">
        <v>2.5391258783161499</v>
      </c>
      <c r="G86">
        <v>-48.943788628019334</v>
      </c>
      <c r="H86">
        <v>-42.73959776566906</v>
      </c>
      <c r="I86">
        <v>5.9304983629023296</v>
      </c>
      <c r="J86">
        <v>3.46602939097499</v>
      </c>
      <c r="K86">
        <v>1.17556115816815</v>
      </c>
      <c r="L86">
        <v>0</v>
      </c>
      <c r="M86">
        <v>1.2381427916924886E-6</v>
      </c>
      <c r="N86">
        <v>0</v>
      </c>
      <c r="O86" s="1">
        <v>1.66881897194802E-12</v>
      </c>
      <c r="P86">
        <v>0</v>
      </c>
      <c r="Q86">
        <v>100</v>
      </c>
      <c r="AJ86">
        <v>1</v>
      </c>
    </row>
    <row r="87" spans="1:36" x14ac:dyDescent="0.2">
      <c r="A87">
        <v>111</v>
      </c>
      <c r="B87">
        <v>772</v>
      </c>
      <c r="C87">
        <v>125</v>
      </c>
      <c r="D87">
        <v>0.47153088073482102</v>
      </c>
      <c r="E87">
        <v>7.0973878010270699</v>
      </c>
      <c r="F87">
        <v>2.5391258783161499</v>
      </c>
      <c r="G87">
        <v>-116.36276924346855</v>
      </c>
      <c r="H87">
        <v>-101.63299470378196</v>
      </c>
      <c r="I87">
        <v>14.093455044430501</v>
      </c>
      <c r="J87">
        <v>8.2403992331626199</v>
      </c>
      <c r="K87">
        <v>2.7952091157189001</v>
      </c>
      <c r="L87">
        <v>0</v>
      </c>
      <c r="M87">
        <v>1.2381427916924881E-6</v>
      </c>
      <c r="N87">
        <v>0</v>
      </c>
      <c r="O87" s="1">
        <v>3.9680606750759402E-12</v>
      </c>
      <c r="P87">
        <v>0</v>
      </c>
      <c r="Q87">
        <v>100</v>
      </c>
      <c r="AJ87">
        <v>1</v>
      </c>
    </row>
    <row r="88" spans="1:36" x14ac:dyDescent="0.2">
      <c r="A88">
        <v>112</v>
      </c>
      <c r="B88">
        <v>771</v>
      </c>
      <c r="C88">
        <v>125</v>
      </c>
      <c r="D88">
        <v>0.47095771680314102</v>
      </c>
      <c r="E88">
        <v>15.599593170087999</v>
      </c>
      <c r="F88">
        <v>2.5391258783161499</v>
      </c>
      <c r="G88">
        <v>-255.72677167636346</v>
      </c>
      <c r="H88">
        <v>-223.4007713112706</v>
      </c>
      <c r="I88">
        <v>30.9591537280015</v>
      </c>
      <c r="J88">
        <v>18.1096395297924</v>
      </c>
      <c r="K88">
        <v>6.1436864171669496</v>
      </c>
      <c r="L88">
        <v>0</v>
      </c>
      <c r="M88">
        <v>1.2381427916924881E-6</v>
      </c>
      <c r="N88">
        <v>0</v>
      </c>
      <c r="O88" s="1">
        <v>8.7215372670564905E-12</v>
      </c>
      <c r="P88">
        <v>0</v>
      </c>
      <c r="Q88">
        <v>100</v>
      </c>
      <c r="AJ88">
        <v>1</v>
      </c>
    </row>
    <row r="89" spans="1:36" x14ac:dyDescent="0.2">
      <c r="A89">
        <v>113</v>
      </c>
      <c r="B89">
        <v>770</v>
      </c>
      <c r="C89">
        <v>125</v>
      </c>
      <c r="D89">
        <v>0.47038345396155901</v>
      </c>
      <c r="E89">
        <v>25.481337580365899</v>
      </c>
      <c r="F89">
        <v>2.5391258783161499</v>
      </c>
      <c r="G89">
        <v>-417.66932424257232</v>
      </c>
      <c r="H89">
        <v>-364.94617756724529</v>
      </c>
      <c r="I89">
        <v>50.542248646241603</v>
      </c>
      <c r="J89">
        <v>29.577771596357199</v>
      </c>
      <c r="K89">
        <v>10.035476302287099</v>
      </c>
      <c r="L89">
        <v>0</v>
      </c>
      <c r="M89">
        <v>1.2381427916924884E-6</v>
      </c>
      <c r="N89">
        <v>0</v>
      </c>
      <c r="O89" s="1">
        <v>1.4246296868032599E-11</v>
      </c>
      <c r="P89">
        <v>0</v>
      </c>
      <c r="Q89">
        <v>100</v>
      </c>
      <c r="AJ89">
        <v>1</v>
      </c>
    </row>
    <row r="90" spans="1:36" x14ac:dyDescent="0.2">
      <c r="A90">
        <v>114</v>
      </c>
      <c r="B90">
        <v>769</v>
      </c>
      <c r="C90">
        <v>125</v>
      </c>
      <c r="D90">
        <v>0.46980808904668597</v>
      </c>
      <c r="E90">
        <v>30.960423854733801</v>
      </c>
      <c r="F90">
        <v>2.5391258783161499</v>
      </c>
      <c r="G90">
        <v>-507.41664947938159</v>
      </c>
      <c r="H90">
        <v>-443.45411578384636</v>
      </c>
      <c r="I90">
        <v>61.375554090615701</v>
      </c>
      <c r="J90">
        <v>35.9332668300842</v>
      </c>
      <c r="K90">
        <v>12.193339494954699</v>
      </c>
      <c r="L90">
        <v>0</v>
      </c>
      <c r="M90">
        <v>1.2381427916924879E-6</v>
      </c>
      <c r="N90">
        <v>0</v>
      </c>
      <c r="O90" s="1">
        <v>1.7309585417310101E-11</v>
      </c>
      <c r="P90">
        <v>0</v>
      </c>
      <c r="Q90">
        <v>100</v>
      </c>
      <c r="AJ90">
        <v>1</v>
      </c>
    </row>
    <row r="91" spans="1:36" x14ac:dyDescent="0.2">
      <c r="A91">
        <v>115</v>
      </c>
      <c r="B91">
        <v>768</v>
      </c>
      <c r="C91">
        <v>125</v>
      </c>
      <c r="D91">
        <v>0.46923161888296799</v>
      </c>
      <c r="E91">
        <v>33.091817396036497</v>
      </c>
      <c r="F91">
        <v>2.5391258783161499</v>
      </c>
      <c r="G91">
        <v>-542.2829070134236</v>
      </c>
      <c r="H91">
        <v>-474.02101843728065</v>
      </c>
      <c r="I91">
        <v>65.563932743738107</v>
      </c>
      <c r="J91">
        <v>38.402268353096098</v>
      </c>
      <c r="K91">
        <v>13.0327596905048</v>
      </c>
      <c r="L91">
        <v>0</v>
      </c>
      <c r="M91">
        <v>1.2381427916924881E-6</v>
      </c>
      <c r="N91">
        <v>0</v>
      </c>
      <c r="O91" s="1">
        <v>1.85012208656549E-11</v>
      </c>
      <c r="P91">
        <v>0</v>
      </c>
      <c r="Q91">
        <v>100</v>
      </c>
      <c r="AJ91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0E2D7-8CC2-4B0F-BDA7-D0A0765C67B8}">
  <sheetPr codeName="Sheet13"/>
  <dimension ref="A1:AJ11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758</v>
      </c>
      <c r="C2">
        <v>275</v>
      </c>
      <c r="D2">
        <v>0.303389904475587</v>
      </c>
      <c r="E2">
        <v>4.4345491282680998</v>
      </c>
      <c r="F2">
        <v>0.55326323210226602</v>
      </c>
      <c r="G2">
        <v>-96.132665716700799</v>
      </c>
      <c r="H2">
        <v>-56.434478930806208</v>
      </c>
      <c r="I2">
        <v>38.501405719069197</v>
      </c>
      <c r="J2">
        <v>17.1135266442753</v>
      </c>
      <c r="K2">
        <v>8.0152608576895403</v>
      </c>
      <c r="L2">
        <v>1.1987485172768263E-3</v>
      </c>
      <c r="M2">
        <v>1.9460985494651061E-4</v>
      </c>
      <c r="N2" s="1">
        <v>6.1901830379358704E-6</v>
      </c>
      <c r="O2" s="1">
        <v>1.26964471224515E-6</v>
      </c>
      <c r="P2" s="1">
        <v>-4.6976452764604599E-6</v>
      </c>
      <c r="AE2">
        <v>100</v>
      </c>
      <c r="AJ2">
        <v>1</v>
      </c>
    </row>
    <row r="3" spans="1:36" x14ac:dyDescent="0.2">
      <c r="A3">
        <v>2</v>
      </c>
      <c r="B3">
        <v>757</v>
      </c>
      <c r="C3">
        <v>275</v>
      </c>
      <c r="D3">
        <v>0.30264573120419402</v>
      </c>
      <c r="E3">
        <v>4.4463671023062501</v>
      </c>
      <c r="F3">
        <v>0.553927036865275</v>
      </c>
      <c r="G3">
        <v>-96.350261429434156</v>
      </c>
      <c r="H3">
        <v>-56.602038341419728</v>
      </c>
      <c r="I3">
        <v>38.587358707283897</v>
      </c>
      <c r="J3">
        <v>17.1664425088806</v>
      </c>
      <c r="K3">
        <v>8.0269905716620205</v>
      </c>
      <c r="L3">
        <v>1.1994105535029587E-3</v>
      </c>
      <c r="M3">
        <v>1.9425669200678956E-4</v>
      </c>
      <c r="N3" s="1">
        <v>6.2547711980122402E-6</v>
      </c>
      <c r="O3" s="1">
        <v>1.2686321375826901E-6</v>
      </c>
      <c r="P3" s="1">
        <v>-4.7079859723565501E-6</v>
      </c>
      <c r="AE3">
        <v>100</v>
      </c>
      <c r="AJ3">
        <v>1</v>
      </c>
    </row>
    <row r="4" spans="1:36" x14ac:dyDescent="0.2">
      <c r="A4">
        <v>3</v>
      </c>
      <c r="B4">
        <v>756</v>
      </c>
      <c r="C4">
        <v>275</v>
      </c>
      <c r="D4">
        <v>0.30190011174270298</v>
      </c>
      <c r="E4">
        <v>4.4591441797422</v>
      </c>
      <c r="F4">
        <v>0.55459200373927897</v>
      </c>
      <c r="G4">
        <v>-96.588443590698674</v>
      </c>
      <c r="H4">
        <v>-56.781909351847027</v>
      </c>
      <c r="I4">
        <v>38.6815197347074</v>
      </c>
      <c r="J4">
        <v>17.2230903472012</v>
      </c>
      <c r="K4">
        <v>8.0404047474122997</v>
      </c>
      <c r="L4">
        <v>1.2000672419984479E-3</v>
      </c>
      <c r="M4">
        <v>1.9390280436198246E-4</v>
      </c>
      <c r="N4" s="1">
        <v>6.3210322079806098E-6</v>
      </c>
      <c r="O4" s="1">
        <v>1.26786689511688E-6</v>
      </c>
      <c r="P4" s="1">
        <v>-4.71927669026438E-6</v>
      </c>
      <c r="AE4">
        <v>100</v>
      </c>
      <c r="AJ4">
        <v>1</v>
      </c>
    </row>
    <row r="5" spans="1:36" x14ac:dyDescent="0.2">
      <c r="A5">
        <v>4</v>
      </c>
      <c r="B5">
        <v>755</v>
      </c>
      <c r="C5">
        <v>275</v>
      </c>
      <c r="D5">
        <v>0.30115304187132302</v>
      </c>
      <c r="E5">
        <v>4.4718507380467898</v>
      </c>
      <c r="F5">
        <v>0.55525813201767704</v>
      </c>
      <c r="G5">
        <v>-96.824893927617424</v>
      </c>
      <c r="H5">
        <v>-56.960988125874621</v>
      </c>
      <c r="I5">
        <v>38.774950026103298</v>
      </c>
      <c r="J5">
        <v>17.279496044187699</v>
      </c>
      <c r="K5">
        <v>8.0536429458441905</v>
      </c>
      <c r="L5">
        <v>1.2007185476741171E-3</v>
      </c>
      <c r="M5">
        <v>1.9354819573302138E-4</v>
      </c>
      <c r="N5" s="1">
        <v>6.3875249289038596E-6</v>
      </c>
      <c r="O5" s="1">
        <v>1.2670544672953801E-6</v>
      </c>
      <c r="P5" s="1">
        <v>-4.73042618966226E-6</v>
      </c>
      <c r="AE5">
        <v>100</v>
      </c>
      <c r="AJ5">
        <v>1</v>
      </c>
    </row>
    <row r="6" spans="1:36" x14ac:dyDescent="0.2">
      <c r="A6">
        <v>5</v>
      </c>
      <c r="B6">
        <v>754</v>
      </c>
      <c r="C6">
        <v>275</v>
      </c>
      <c r="D6">
        <v>0.30040451735384299</v>
      </c>
      <c r="E6">
        <v>4.4844873692628502</v>
      </c>
      <c r="F6">
        <v>0.55592542096507103</v>
      </c>
      <c r="G6">
        <v>-97.059627255389799</v>
      </c>
      <c r="H6">
        <v>-57.139281440523739</v>
      </c>
      <c r="I6">
        <v>38.867655273249099</v>
      </c>
      <c r="J6">
        <v>17.335661224732299</v>
      </c>
      <c r="K6">
        <v>8.0667067922130702</v>
      </c>
      <c r="L6">
        <v>1.2013644355344702E-3</v>
      </c>
      <c r="M6">
        <v>1.9319286989129213E-4</v>
      </c>
      <c r="N6" s="1">
        <v>6.4542462806381302E-6</v>
      </c>
      <c r="O6" s="1">
        <v>1.2661952941393599E-6</v>
      </c>
      <c r="P6" s="1">
        <v>-4.7414345714886501E-6</v>
      </c>
      <c r="AE6">
        <v>100</v>
      </c>
      <c r="AJ6">
        <v>1</v>
      </c>
    </row>
    <row r="7" spans="1:36" x14ac:dyDescent="0.2">
      <c r="A7">
        <v>6</v>
      </c>
      <c r="B7">
        <v>753</v>
      </c>
      <c r="C7">
        <v>275</v>
      </c>
      <c r="D7">
        <v>0.29965453393753799</v>
      </c>
      <c r="E7">
        <v>4.4970546591727398</v>
      </c>
      <c r="F7">
        <v>0.55659386981720904</v>
      </c>
      <c r="G7">
        <v>-97.292658231960985</v>
      </c>
      <c r="H7">
        <v>-57.316796001136019</v>
      </c>
      <c r="I7">
        <v>38.959641106711203</v>
      </c>
      <c r="J7">
        <v>17.3915874916968</v>
      </c>
      <c r="K7">
        <v>8.0795978954091208</v>
      </c>
      <c r="L7">
        <v>1.2020048706808957E-3</v>
      </c>
      <c r="M7">
        <v>1.9283683065854625E-4</v>
      </c>
      <c r="N7" s="1">
        <v>6.5211931576235797E-6</v>
      </c>
      <c r="O7" s="1">
        <v>1.2652898133026701E-6</v>
      </c>
      <c r="P7" s="1">
        <v>-4.7523019356894697E-6</v>
      </c>
      <c r="AE7">
        <v>100</v>
      </c>
      <c r="AJ7">
        <v>1</v>
      </c>
    </row>
    <row r="8" spans="1:36" x14ac:dyDescent="0.2">
      <c r="A8">
        <v>7</v>
      </c>
      <c r="B8">
        <v>752</v>
      </c>
      <c r="C8">
        <v>275</v>
      </c>
      <c r="D8">
        <v>0.29890308735307097</v>
      </c>
      <c r="E8">
        <v>4.5095531874965404</v>
      </c>
      <c r="F8">
        <v>0.55726347778082896</v>
      </c>
      <c r="G8">
        <v>-97.524001362597218</v>
      </c>
      <c r="H8">
        <v>-57.493538443786555</v>
      </c>
      <c r="I8">
        <v>39.050913097656696</v>
      </c>
      <c r="J8">
        <v>17.447276426659801</v>
      </c>
      <c r="K8">
        <v>8.0923178483807607</v>
      </c>
      <c r="L8">
        <v>1.2026398183147557E-3</v>
      </c>
      <c r="M8">
        <v>1.9248008190682323E-4</v>
      </c>
      <c r="N8" s="1">
        <v>6.5883624292910196E-6</v>
      </c>
      <c r="O8" s="1">
        <v>1.26433846014658E-6</v>
      </c>
      <c r="P8" s="1">
        <v>-4.7630283814975602E-6</v>
      </c>
      <c r="AE8">
        <v>100</v>
      </c>
      <c r="AJ8">
        <v>1</v>
      </c>
    </row>
    <row r="9" spans="1:36" x14ac:dyDescent="0.2">
      <c r="A9">
        <v>8</v>
      </c>
      <c r="B9">
        <v>751</v>
      </c>
      <c r="C9">
        <v>275</v>
      </c>
      <c r="D9">
        <v>0.29815017331445698</v>
      </c>
      <c r="E9">
        <v>4.5219835279996197</v>
      </c>
      <c r="F9">
        <v>0.55793424403356595</v>
      </c>
      <c r="G9">
        <v>-97.753671002493604</v>
      </c>
      <c r="H9">
        <v>-57.669515336546745</v>
      </c>
      <c r="I9">
        <v>39.141476758876301</v>
      </c>
      <c r="J9">
        <v>17.502729590308</v>
      </c>
      <c r="K9">
        <v>8.1048682283921103</v>
      </c>
      <c r="L9">
        <v>1.203269243740383E-3</v>
      </c>
      <c r="M9">
        <v>1.9212262755833814E-4</v>
      </c>
      <c r="N9" s="1">
        <v>6.6557509403474201E-6</v>
      </c>
      <c r="O9" s="1">
        <v>1.2633416677874599E-6</v>
      </c>
      <c r="P9" s="1">
        <v>-4.7736140076152898E-6</v>
      </c>
      <c r="AE9">
        <v>100</v>
      </c>
      <c r="AJ9">
        <v>1</v>
      </c>
    </row>
    <row r="10" spans="1:36" x14ac:dyDescent="0.2">
      <c r="A10">
        <v>9</v>
      </c>
      <c r="B10">
        <v>750</v>
      </c>
      <c r="C10">
        <v>275</v>
      </c>
      <c r="D10">
        <v>0.29739578751893703</v>
      </c>
      <c r="E10">
        <v>4.5343462484530397</v>
      </c>
      <c r="F10">
        <v>0.55860616772383997</v>
      </c>
      <c r="G10">
        <v>-97.98168135619359</v>
      </c>
      <c r="H10">
        <v>-57.844733178872161</v>
      </c>
      <c r="I10">
        <v>39.231337544529602</v>
      </c>
      <c r="J10">
        <v>17.557948522262802</v>
      </c>
      <c r="K10">
        <v>8.1172505970157793</v>
      </c>
      <c r="L10">
        <v>1.2038931123682386E-3</v>
      </c>
      <c r="M10">
        <v>1.917644715853801E-4</v>
      </c>
      <c r="N10" s="1">
        <v>6.7233555108481803E-6</v>
      </c>
      <c r="O10" s="1">
        <v>1.2622998671026901E-6</v>
      </c>
      <c r="P10" s="1">
        <v>-4.7840589122402902E-6</v>
      </c>
      <c r="AE10">
        <v>100</v>
      </c>
      <c r="AJ10">
        <v>1</v>
      </c>
    </row>
    <row r="11" spans="1:36" x14ac:dyDescent="0.2">
      <c r="A11">
        <v>10</v>
      </c>
      <c r="B11">
        <v>749</v>
      </c>
      <c r="C11">
        <v>275</v>
      </c>
      <c r="D11">
        <v>0.29663992564692099</v>
      </c>
      <c r="E11">
        <v>4.5466419108121396</v>
      </c>
      <c r="F11">
        <v>0.55927924797073003</v>
      </c>
      <c r="G11">
        <v>-98.20804648172502</v>
      </c>
      <c r="H11">
        <v>-58.019198403772577</v>
      </c>
      <c r="I11">
        <v>39.320500851782597</v>
      </c>
      <c r="J11">
        <v>17.612934741750099</v>
      </c>
      <c r="K11">
        <v>8.1294665005165498</v>
      </c>
      <c r="L11">
        <v>1.2045113897179512E-3</v>
      </c>
      <c r="M11">
        <v>1.914056180101959E-4</v>
      </c>
      <c r="N11" s="1">
        <v>6.79117293661018E-6</v>
      </c>
      <c r="O11" s="1">
        <v>1.26121348679743E-6</v>
      </c>
      <c r="P11" s="1">
        <v>-4.7943631933239901E-6</v>
      </c>
      <c r="AE11">
        <v>100</v>
      </c>
      <c r="AJ11">
        <v>1</v>
      </c>
    </row>
    <row r="12" spans="1:36" x14ac:dyDescent="0.2">
      <c r="A12">
        <v>11</v>
      </c>
      <c r="B12">
        <v>748</v>
      </c>
      <c r="C12">
        <v>275</v>
      </c>
      <c r="D12">
        <v>0.29588258336189799</v>
      </c>
      <c r="E12">
        <v>4.5588710712977303</v>
      </c>
      <c r="F12">
        <v>0.55995348386390498</v>
      </c>
      <c r="G12">
        <v>-98.432780292622652</v>
      </c>
      <c r="H12">
        <v>-58.192917378744575</v>
      </c>
      <c r="I12">
        <v>39.408972021595098</v>
      </c>
      <c r="J12">
        <v>17.667689747898802</v>
      </c>
      <c r="K12">
        <v>8.1415174700578401</v>
      </c>
      <c r="L12">
        <v>1.2051240414215601E-3</v>
      </c>
      <c r="M12">
        <v>1.910460709048828E-4</v>
      </c>
      <c r="N12" s="1">
        <v>6.8591999894799502E-6</v>
      </c>
      <c r="O12" s="1">
        <v>1.26008295344296E-6</v>
      </c>
      <c r="P12" s="1">
        <v>-4.80452694872452E-6</v>
      </c>
      <c r="AE12">
        <v>100</v>
      </c>
      <c r="AJ12">
        <v>1</v>
      </c>
    </row>
    <row r="13" spans="1:36" x14ac:dyDescent="0.2">
      <c r="A13">
        <v>12</v>
      </c>
      <c r="B13">
        <v>747</v>
      </c>
      <c r="C13">
        <v>275</v>
      </c>
      <c r="D13">
        <v>0.29512375631034898</v>
      </c>
      <c r="E13">
        <v>4.5710342804530804</v>
      </c>
      <c r="F13">
        <v>0.56062887446346499</v>
      </c>
      <c r="G13">
        <v>-98.655896559423283</v>
      </c>
      <c r="H13">
        <v>-58.365896406394562</v>
      </c>
      <c r="I13">
        <v>39.496756339300703</v>
      </c>
      <c r="J13">
        <v>17.722215019936201</v>
      </c>
      <c r="K13">
        <v>8.1534050218652396</v>
      </c>
      <c r="L13">
        <v>1.2057310332263733E-3</v>
      </c>
      <c r="M13">
        <v>1.9068583439123634E-4</v>
      </c>
      <c r="N13" s="1">
        <v>6.9274334175777302E-6</v>
      </c>
      <c r="O13" s="1">
        <v>1.2589086915075801E-6</v>
      </c>
      <c r="P13" s="1">
        <v>-4.81455027633372E-6</v>
      </c>
      <c r="AE13">
        <v>100</v>
      </c>
      <c r="AJ13">
        <v>1</v>
      </c>
    </row>
    <row r="14" spans="1:36" x14ac:dyDescent="0.2">
      <c r="A14">
        <v>13</v>
      </c>
      <c r="B14">
        <v>746</v>
      </c>
      <c r="C14">
        <v>275</v>
      </c>
      <c r="D14">
        <v>0.29436344012167098</v>
      </c>
      <c r="E14">
        <v>4.58313208319698</v>
      </c>
      <c r="F14">
        <v>0.56130541879990004</v>
      </c>
      <c r="G14">
        <v>-98.87740891107498</v>
      </c>
      <c r="H14">
        <v>-58.538141725015294</v>
      </c>
      <c r="I14">
        <v>39.5838590351511</v>
      </c>
      <c r="J14">
        <v>17.776512017381599</v>
      </c>
      <c r="K14">
        <v>8.1651306573807005</v>
      </c>
      <c r="L14">
        <v>1.2063323309982942E-3</v>
      </c>
      <c r="M14">
        <v>1.9032491264064458E-4</v>
      </c>
      <c r="N14" s="1">
        <v>6.9958699455532903E-6</v>
      </c>
      <c r="O14" s="1">
        <v>1.2576911233863101E-6</v>
      </c>
      <c r="P14" s="1">
        <v>-4.8244332742017702E-6</v>
      </c>
      <c r="AE14">
        <v>100</v>
      </c>
      <c r="AJ14">
        <v>1</v>
      </c>
    </row>
    <row r="15" spans="1:36" x14ac:dyDescent="0.2">
      <c r="A15">
        <v>14</v>
      </c>
      <c r="B15">
        <v>745</v>
      </c>
      <c r="C15">
        <v>275</v>
      </c>
      <c r="D15">
        <v>0.29360163040809401</v>
      </c>
      <c r="E15">
        <v>4.5951650189070001</v>
      </c>
      <c r="F15">
        <v>0.56198311587393401</v>
      </c>
      <c r="G15">
        <v>-99.097330836992157</v>
      </c>
      <c r="H15">
        <v>-58.709659509547819</v>
      </c>
      <c r="I15">
        <v>39.670285285118702</v>
      </c>
      <c r="J15">
        <v>17.830582180347299</v>
      </c>
      <c r="K15">
        <v>8.1766958634711209</v>
      </c>
      <c r="L15">
        <v>1.206927900724657E-3</v>
      </c>
      <c r="M15">
        <v>1.8996330987391317E-4</v>
      </c>
      <c r="N15" s="1">
        <v>7.0645062748781999E-6</v>
      </c>
      <c r="O15" s="1">
        <v>1.25643066943783E-6</v>
      </c>
      <c r="P15" s="1">
        <v>-4.8341760406902198E-6</v>
      </c>
      <c r="AE15">
        <v>100</v>
      </c>
      <c r="AJ15">
        <v>1</v>
      </c>
    </row>
    <row r="16" spans="1:36" x14ac:dyDescent="0.2">
      <c r="A16">
        <v>15</v>
      </c>
      <c r="B16">
        <v>744</v>
      </c>
      <c r="C16">
        <v>275</v>
      </c>
      <c r="D16">
        <v>0.29283832276459099</v>
      </c>
      <c r="E16">
        <v>4.6071336216137002</v>
      </c>
      <c r="F16">
        <v>0.56266196465644502</v>
      </c>
      <c r="G16">
        <v>-99.315675691499152</v>
      </c>
      <c r="H16">
        <v>-58.880455873962966</v>
      </c>
      <c r="I16">
        <v>39.756040212657801</v>
      </c>
      <c r="J16">
        <v>17.8844269302773</v>
      </c>
      <c r="K16">
        <v>8.1881021128321105</v>
      </c>
      <c r="L16">
        <v>1.207517708517558E-3</v>
      </c>
      <c r="M16">
        <v>1.896010303611445E-4</v>
      </c>
      <c r="N16" s="1">
        <v>7.1333390843322401E-6</v>
      </c>
      <c r="O16" s="1">
        <v>1.2551277480514199E-6</v>
      </c>
      <c r="P16" s="1">
        <v>-4.8437786747437996E-6</v>
      </c>
      <c r="AE16">
        <v>100</v>
      </c>
      <c r="AJ16">
        <v>1</v>
      </c>
    </row>
    <row r="17" spans="1:36" x14ac:dyDescent="0.2">
      <c r="A17">
        <v>16</v>
      </c>
      <c r="B17">
        <v>743</v>
      </c>
      <c r="C17">
        <v>275</v>
      </c>
      <c r="D17">
        <v>0.29207351276878402</v>
      </c>
      <c r="E17">
        <v>4.6190384198547596</v>
      </c>
      <c r="F17">
        <v>0.563341964088373</v>
      </c>
      <c r="G17">
        <v>-99.532456690935618</v>
      </c>
      <c r="H17">
        <v>-59.050536869301247</v>
      </c>
      <c r="I17">
        <v>39.841128887526096</v>
      </c>
      <c r="J17">
        <v>17.938047669363801</v>
      </c>
      <c r="K17">
        <v>8.1993508637857406</v>
      </c>
      <c r="L17">
        <v>1.2081017206166229E-3</v>
      </c>
      <c r="M17">
        <v>1.8923807842155036E-4</v>
      </c>
      <c r="N17" s="1">
        <v>7.2023650299708598E-6</v>
      </c>
      <c r="O17" s="1">
        <v>1.2537827756196999E-6</v>
      </c>
      <c r="P17" s="1">
        <v>-4.8532412758014197E-6</v>
      </c>
      <c r="AE17">
        <v>100</v>
      </c>
      <c r="AJ17">
        <v>1</v>
      </c>
    </row>
    <row r="18" spans="1:36" x14ac:dyDescent="0.2">
      <c r="A18">
        <v>17</v>
      </c>
      <c r="B18">
        <v>742</v>
      </c>
      <c r="C18">
        <v>275</v>
      </c>
      <c r="D18">
        <v>0.291307195980888</v>
      </c>
      <c r="E18">
        <v>4.6308799370264797</v>
      </c>
      <c r="F18">
        <v>0.56402311308061603</v>
      </c>
      <c r="G18">
        <v>-99.747686921480735</v>
      </c>
      <c r="H18">
        <v>-59.219908488067851</v>
      </c>
      <c r="I18">
        <v>39.925556328898601</v>
      </c>
      <c r="J18">
        <v>17.991445781896701</v>
      </c>
      <c r="K18">
        <v>8.2104435609619895</v>
      </c>
      <c r="L18">
        <v>1.2086799033924219E-3</v>
      </c>
      <c r="M18">
        <v>1.8887445842331581E-4</v>
      </c>
      <c r="N18" s="1">
        <v>7.2715807458663198E-6</v>
      </c>
      <c r="O18" s="1">
        <v>1.2523961666472199E-6</v>
      </c>
      <c r="P18" s="1">
        <v>-4.8625639442323601E-6</v>
      </c>
      <c r="AE18">
        <v>100</v>
      </c>
      <c r="AJ18">
        <v>1</v>
      </c>
    </row>
    <row r="19" spans="1:36" x14ac:dyDescent="0.2">
      <c r="A19">
        <v>18</v>
      </c>
      <c r="B19">
        <v>741</v>
      </c>
      <c r="C19">
        <v>275</v>
      </c>
      <c r="D19">
        <v>0.29053936794360102</v>
      </c>
      <c r="E19">
        <v>4.6967741753050003</v>
      </c>
      <c r="F19">
        <v>0.56470541051391998</v>
      </c>
      <c r="G19">
        <v>-101.12654326290617</v>
      </c>
      <c r="H19">
        <v>-60.080818282405218</v>
      </c>
      <c r="I19">
        <v>40.475681864713302</v>
      </c>
      <c r="J19">
        <v>18.254953298409699</v>
      </c>
      <c r="K19">
        <v>8.3172112182006899</v>
      </c>
      <c r="L19">
        <v>1.2092522233491973E-3</v>
      </c>
      <c r="M19">
        <v>1.8851017478340305E-4</v>
      </c>
      <c r="N19" s="1">
        <v>7.4265503748017403E-6</v>
      </c>
      <c r="O19" s="1">
        <v>1.26554979693837E-6</v>
      </c>
      <c r="P19" s="1">
        <v>-4.92853254837941E-6</v>
      </c>
      <c r="AE19">
        <v>100</v>
      </c>
      <c r="AJ19">
        <v>1</v>
      </c>
    </row>
    <row r="20" spans="1:36" x14ac:dyDescent="0.2">
      <c r="A20">
        <v>19</v>
      </c>
      <c r="B20">
        <v>740</v>
      </c>
      <c r="C20">
        <v>275</v>
      </c>
      <c r="D20">
        <v>0.28977002418201098</v>
      </c>
      <c r="E20">
        <v>5.76703964469292</v>
      </c>
      <c r="F20">
        <v>0.56538885523881099</v>
      </c>
      <c r="G20">
        <v>-124.12080918418094</v>
      </c>
      <c r="H20">
        <v>-73.794001290392046</v>
      </c>
      <c r="I20">
        <v>49.676857472250198</v>
      </c>
      <c r="J20">
        <v>22.4239461764979</v>
      </c>
      <c r="K20">
        <v>10.2001296828835</v>
      </c>
      <c r="L20">
        <v>1.209818647128217E-3</v>
      </c>
      <c r="M20">
        <v>1.8814523196739467E-4</v>
      </c>
      <c r="N20" s="1">
        <v>9.1821215870523799E-6</v>
      </c>
      <c r="O20" s="1">
        <v>1.5482022681078701E-6</v>
      </c>
      <c r="P20" s="1">
        <v>-6.0475805249643E-6</v>
      </c>
      <c r="AE20">
        <v>100</v>
      </c>
      <c r="AJ20">
        <v>1</v>
      </c>
    </row>
    <row r="21" spans="1:36" x14ac:dyDescent="0.2">
      <c r="A21">
        <v>20</v>
      </c>
      <c r="B21">
        <v>739</v>
      </c>
      <c r="C21">
        <v>275</v>
      </c>
      <c r="D21">
        <v>0.28899916020352701</v>
      </c>
      <c r="E21">
        <v>9.4480764834946296</v>
      </c>
      <c r="F21">
        <v>0.56607344607547905</v>
      </c>
      <c r="G21">
        <v>-203.2643651584074</v>
      </c>
      <c r="H21">
        <v>-120.93263055006359</v>
      </c>
      <c r="I21">
        <v>81.348754016584394</v>
      </c>
      <c r="J21">
        <v>36.751926916560699</v>
      </c>
      <c r="K21">
        <v>16.6905488130507</v>
      </c>
      <c r="L21">
        <v>1.2103791415105359E-3</v>
      </c>
      <c r="M21">
        <v>1.8777963448927701E-4</v>
      </c>
      <c r="N21" s="1">
        <v>1.5146656685139399E-5</v>
      </c>
      <c r="O21" s="1">
        <v>2.5270114201819999E-6</v>
      </c>
      <c r="P21" s="1">
        <v>-9.9009644971828194E-6</v>
      </c>
      <c r="AE21">
        <v>100</v>
      </c>
      <c r="AJ21">
        <v>1</v>
      </c>
    </row>
    <row r="22" spans="1:36" x14ac:dyDescent="0.2">
      <c r="A22">
        <v>21</v>
      </c>
      <c r="B22">
        <v>738</v>
      </c>
      <c r="C22">
        <v>275</v>
      </c>
      <c r="D22">
        <v>0.28822677149780002</v>
      </c>
      <c r="E22">
        <v>10.4391043488127</v>
      </c>
      <c r="F22">
        <v>0.56675918181370799</v>
      </c>
      <c r="G22">
        <v>-224.49531430778032</v>
      </c>
      <c r="H22">
        <v>-133.65811413444879</v>
      </c>
      <c r="I22">
        <v>89.841441991667196</v>
      </c>
      <c r="J22">
        <v>40.623478293306697</v>
      </c>
      <c r="K22">
        <v>18.418941737134499</v>
      </c>
      <c r="L22">
        <v>1.2109336734201098E-3</v>
      </c>
      <c r="M22">
        <v>1.8741338691124579E-4</v>
      </c>
      <c r="N22" s="1">
        <v>1.6850028750855601E-5</v>
      </c>
      <c r="O22" s="1">
        <v>2.7816975585408998E-6</v>
      </c>
      <c r="P22" s="1">
        <v>-1.0931941712735801E-5</v>
      </c>
      <c r="AE22">
        <v>100</v>
      </c>
      <c r="AJ22">
        <v>1</v>
      </c>
    </row>
    <row r="23" spans="1:36" x14ac:dyDescent="0.2">
      <c r="A23">
        <v>22</v>
      </c>
      <c r="B23">
        <v>759</v>
      </c>
      <c r="C23">
        <v>250</v>
      </c>
      <c r="D23">
        <v>0.33077604999273502</v>
      </c>
      <c r="E23">
        <v>4.8272914662431399</v>
      </c>
      <c r="F23">
        <v>0.52413384568172094</v>
      </c>
      <c r="G23">
        <v>-104.91260517988826</v>
      </c>
      <c r="H23">
        <v>-61.35008056369778</v>
      </c>
      <c r="I23">
        <v>42.208290547688897</v>
      </c>
      <c r="J23">
        <v>18.800209604062701</v>
      </c>
      <c r="K23">
        <v>9.2100357685630101</v>
      </c>
      <c r="L23">
        <v>1.2932992560888324E-3</v>
      </c>
      <c r="M23">
        <v>2.2978861796121934E-4</v>
      </c>
      <c r="N23" s="1">
        <v>7.1394123473446202E-6</v>
      </c>
      <c r="O23" s="1">
        <v>1.9627233158414102E-6</v>
      </c>
      <c r="P23" s="1">
        <v>-6.5232676532694396E-6</v>
      </c>
      <c r="AE23">
        <v>100</v>
      </c>
      <c r="AJ23">
        <v>1</v>
      </c>
    </row>
    <row r="24" spans="1:36" x14ac:dyDescent="0.2">
      <c r="A24">
        <v>23</v>
      </c>
      <c r="B24">
        <v>758</v>
      </c>
      <c r="C24">
        <v>250</v>
      </c>
      <c r="D24">
        <v>0.330059157251614</v>
      </c>
      <c r="E24">
        <v>4.8286300057228004</v>
      </c>
      <c r="F24">
        <v>0.52481238107299999</v>
      </c>
      <c r="G24">
        <v>-104.89948507777089</v>
      </c>
      <c r="H24">
        <v>-61.38590216003746</v>
      </c>
      <c r="I24">
        <v>42.201761292085997</v>
      </c>
      <c r="J24">
        <v>18.814753012467101</v>
      </c>
      <c r="K24">
        <v>9.2006785279159704</v>
      </c>
      <c r="L24">
        <v>1.2941935850456405E-3</v>
      </c>
      <c r="M24">
        <v>2.2937696661968069E-4</v>
      </c>
      <c r="N24" s="1">
        <v>7.2108779237169104E-6</v>
      </c>
      <c r="O24" s="1">
        <v>1.9566607893170798E-6</v>
      </c>
      <c r="P24" s="1">
        <v>-6.5239019653826198E-6</v>
      </c>
      <c r="AE24">
        <v>100</v>
      </c>
      <c r="AJ24">
        <v>1</v>
      </c>
    </row>
    <row r="25" spans="1:36" x14ac:dyDescent="0.2">
      <c r="A25">
        <v>24</v>
      </c>
      <c r="B25">
        <v>757</v>
      </c>
      <c r="C25">
        <v>250</v>
      </c>
      <c r="D25">
        <v>0.32934087268844398</v>
      </c>
      <c r="E25">
        <v>4.8406625677210702</v>
      </c>
      <c r="F25">
        <v>0.52549226320365605</v>
      </c>
      <c r="G25">
        <v>-105.11858847857242</v>
      </c>
      <c r="H25">
        <v>-61.557737256252302</v>
      </c>
      <c r="I25">
        <v>42.288619469681201</v>
      </c>
      <c r="J25">
        <v>18.870978965019901</v>
      </c>
      <c r="K25">
        <v>9.2116723816446697</v>
      </c>
      <c r="L25">
        <v>1.2950816462789503E-3</v>
      </c>
      <c r="M25">
        <v>2.2896420068120721E-4</v>
      </c>
      <c r="N25" s="1">
        <v>7.2986514099689298E-6</v>
      </c>
      <c r="O25" s="1">
        <v>1.9549059941081899E-6</v>
      </c>
      <c r="P25" s="1">
        <v>-6.5388989640895901E-6</v>
      </c>
      <c r="AE25">
        <v>100</v>
      </c>
      <c r="AJ25">
        <v>1</v>
      </c>
    </row>
    <row r="26" spans="1:36" x14ac:dyDescent="0.2">
      <c r="A26">
        <v>25</v>
      </c>
      <c r="B26">
        <v>756</v>
      </c>
      <c r="C26">
        <v>250</v>
      </c>
      <c r="D26">
        <v>0.32862119224602798</v>
      </c>
      <c r="E26">
        <v>4.8526460514064498</v>
      </c>
      <c r="F26">
        <v>0.52617349171939898</v>
      </c>
      <c r="G26">
        <v>-105.33643461879647</v>
      </c>
      <c r="H26">
        <v>-61.729051192853063</v>
      </c>
      <c r="I26">
        <v>42.3749311645538</v>
      </c>
      <c r="J26">
        <v>18.927047043661599</v>
      </c>
      <c r="K26">
        <v>9.2225209513106492</v>
      </c>
      <c r="L26">
        <v>1.2959633878440581E-3</v>
      </c>
      <c r="M26">
        <v>2.2855032405439386E-4</v>
      </c>
      <c r="N26" s="1">
        <v>7.3868396216512097E-6</v>
      </c>
      <c r="O26" s="1">
        <v>1.9530911645539199E-6</v>
      </c>
      <c r="P26" s="1">
        <v>-6.5537401049750199E-6</v>
      </c>
      <c r="AE26">
        <v>100</v>
      </c>
      <c r="AJ26">
        <v>1</v>
      </c>
    </row>
    <row r="27" spans="1:36" x14ac:dyDescent="0.2">
      <c r="A27">
        <v>26</v>
      </c>
      <c r="B27">
        <v>755</v>
      </c>
      <c r="C27">
        <v>250</v>
      </c>
      <c r="D27">
        <v>0.32790011185138401</v>
      </c>
      <c r="E27">
        <v>4.8645677759305501</v>
      </c>
      <c r="F27">
        <v>0.52685606622883996</v>
      </c>
      <c r="G27">
        <v>-105.55274979488355</v>
      </c>
      <c r="H27">
        <v>-61.899682093229337</v>
      </c>
      <c r="I27">
        <v>42.460586009876202</v>
      </c>
      <c r="J27">
        <v>18.982907068052601</v>
      </c>
      <c r="K27">
        <v>9.2332006552575692</v>
      </c>
      <c r="L27">
        <v>1.2968387578846604E-3</v>
      </c>
      <c r="M27">
        <v>2.2813534073467379E-4</v>
      </c>
      <c r="N27" s="1">
        <v>7.4754185182241504E-6</v>
      </c>
      <c r="O27" s="1">
        <v>1.9512114778356002E-6</v>
      </c>
      <c r="P27" s="1">
        <v>-6.5684072100404096E-6</v>
      </c>
      <c r="AE27">
        <v>100</v>
      </c>
      <c r="AJ27">
        <v>1</v>
      </c>
    </row>
    <row r="28" spans="1:36" x14ac:dyDescent="0.2">
      <c r="A28">
        <v>27</v>
      </c>
      <c r="B28">
        <v>754</v>
      </c>
      <c r="C28">
        <v>250</v>
      </c>
      <c r="D28">
        <v>0.32717762741566497</v>
      </c>
      <c r="E28">
        <v>4.8764282763949103</v>
      </c>
      <c r="F28">
        <v>0.52753998630330401</v>
      </c>
      <c r="G28">
        <v>-105.7675473931475</v>
      </c>
      <c r="H28">
        <v>-62.069636101039336</v>
      </c>
      <c r="I28">
        <v>42.545589138699199</v>
      </c>
      <c r="J28">
        <v>19.0385603551244</v>
      </c>
      <c r="K28">
        <v>9.2437130890609893</v>
      </c>
      <c r="L28">
        <v>1.2977077046387243E-3</v>
      </c>
      <c r="M28">
        <v>2.2771925480444128E-4</v>
      </c>
      <c r="N28" s="1">
        <v>7.5643837466136399E-6</v>
      </c>
      <c r="O28" s="1">
        <v>1.9492674669389801E-6</v>
      </c>
      <c r="P28" s="1">
        <v>-6.5828999638593997E-6</v>
      </c>
      <c r="AE28">
        <v>100</v>
      </c>
      <c r="AJ28">
        <v>1</v>
      </c>
    </row>
    <row r="29" spans="1:36" x14ac:dyDescent="0.2">
      <c r="A29">
        <v>28</v>
      </c>
      <c r="B29">
        <v>753</v>
      </c>
      <c r="C29">
        <v>250</v>
      </c>
      <c r="D29">
        <v>0.32645373483409301</v>
      </c>
      <c r="E29">
        <v>4.8882280827639804</v>
      </c>
      <c r="F29">
        <v>0.528225251476656</v>
      </c>
      <c r="G29">
        <v>-105.980840668754</v>
      </c>
      <c r="H29">
        <v>-62.238919301730341</v>
      </c>
      <c r="I29">
        <v>42.629945633001199</v>
      </c>
      <c r="J29">
        <v>19.094008203113798</v>
      </c>
      <c r="K29">
        <v>9.2540598335632502</v>
      </c>
      <c r="L29">
        <v>1.2985701764441145E-3</v>
      </c>
      <c r="M29">
        <v>2.2730207043318768E-4</v>
      </c>
      <c r="N29" s="1">
        <v>7.6537308975817099E-6</v>
      </c>
      <c r="O29" s="1">
        <v>1.9472596632252501E-6</v>
      </c>
      <c r="P29" s="1">
        <v>-6.5972180509015998E-6</v>
      </c>
      <c r="AE29">
        <v>100</v>
      </c>
      <c r="AJ29">
        <v>1</v>
      </c>
    </row>
    <row r="30" spans="1:36" x14ac:dyDescent="0.2">
      <c r="A30">
        <v>29</v>
      </c>
      <c r="B30">
        <v>752</v>
      </c>
      <c r="C30">
        <v>250</v>
      </c>
      <c r="D30">
        <v>0.32572842998585799</v>
      </c>
      <c r="E30">
        <v>4.8999677199756597</v>
      </c>
      <c r="F30">
        <v>0.52891186124509804</v>
      </c>
      <c r="G30">
        <v>-106.19264274835599</v>
      </c>
      <c r="H30">
        <v>-62.407537723852833</v>
      </c>
      <c r="I30">
        <v>42.713660524728098</v>
      </c>
      <c r="J30">
        <v>19.149251891993501</v>
      </c>
      <c r="K30">
        <v>9.2642424551432203</v>
      </c>
      <c r="L30">
        <v>1.2994261217443425E-3</v>
      </c>
      <c r="M30">
        <v>2.2688379187760325E-4</v>
      </c>
      <c r="N30" s="1">
        <v>7.7434555061006392E-6</v>
      </c>
      <c r="O30" s="1">
        <v>1.9451885965027799E-6</v>
      </c>
      <c r="P30" s="1">
        <v>-6.6113611558491901E-6</v>
      </c>
      <c r="AE30">
        <v>100</v>
      </c>
      <c r="AJ30">
        <v>1</v>
      </c>
    </row>
    <row r="31" spans="1:36" x14ac:dyDescent="0.2">
      <c r="A31">
        <v>30</v>
      </c>
      <c r="B31">
        <v>751</v>
      </c>
      <c r="C31">
        <v>250</v>
      </c>
      <c r="D31">
        <v>0.32500170873407402</v>
      </c>
      <c r="E31">
        <v>4.91164770780731</v>
      </c>
      <c r="F31">
        <v>0.52959981506698395</v>
      </c>
      <c r="G31">
        <v>-106.40296662742732</v>
      </c>
      <c r="H31">
        <v>-62.575497337261666</v>
      </c>
      <c r="I31">
        <v>42.796738794701703</v>
      </c>
      <c r="J31">
        <v>19.204292682940199</v>
      </c>
      <c r="K31">
        <v>9.2742625055223709</v>
      </c>
      <c r="L31">
        <v>1.300275489094248E-3</v>
      </c>
      <c r="M31">
        <v>2.264644234816708E-4</v>
      </c>
      <c r="N31" s="1">
        <v>7.8335530513664297E-6</v>
      </c>
      <c r="O31" s="1">
        <v>1.9430547950009399E-6</v>
      </c>
      <c r="P31" s="1">
        <v>-6.6253289635852896E-6</v>
      </c>
      <c r="AE31">
        <v>100</v>
      </c>
      <c r="AJ31">
        <v>1</v>
      </c>
    </row>
    <row r="32" spans="1:36" x14ac:dyDescent="0.2">
      <c r="A32">
        <v>31</v>
      </c>
      <c r="B32">
        <v>750</v>
      </c>
      <c r="C32">
        <v>250</v>
      </c>
      <c r="D32">
        <v>0.324273566925672</v>
      </c>
      <c r="E32">
        <v>4.9232685612469798</v>
      </c>
      <c r="F32">
        <v>0.53028911236263798</v>
      </c>
      <c r="G32">
        <v>-106.61182517854324</v>
      </c>
      <c r="H32">
        <v>-62.742804057755365</v>
      </c>
      <c r="I32">
        <v>42.879185375929097</v>
      </c>
      <c r="J32">
        <v>19.259131819783398</v>
      </c>
      <c r="K32">
        <v>9.28412152252562</v>
      </c>
      <c r="L32">
        <v>1.3011182271658579E-3</v>
      </c>
      <c r="M32">
        <v>2.260439696767572E-4</v>
      </c>
      <c r="N32" s="1">
        <v>7.9240189576269508E-6</v>
      </c>
      <c r="O32" s="1">
        <v>1.9408587855440198E-6</v>
      </c>
      <c r="P32" s="1">
        <v>-6.6391211598651602E-6</v>
      </c>
      <c r="AE32">
        <v>100</v>
      </c>
      <c r="AJ32">
        <v>1</v>
      </c>
    </row>
    <row r="33" spans="1:36" x14ac:dyDescent="0.2">
      <c r="A33">
        <v>32</v>
      </c>
      <c r="B33">
        <v>749</v>
      </c>
      <c r="C33">
        <v>250</v>
      </c>
      <c r="D33">
        <v>0.32354400039133302</v>
      </c>
      <c r="E33">
        <v>4.9348307903469104</v>
      </c>
      <c r="F33">
        <v>0.53097975251415996</v>
      </c>
      <c r="G33">
        <v>-106.81923114843525</v>
      </c>
      <c r="H33">
        <v>-62.909463745120476</v>
      </c>
      <c r="I33">
        <v>42.961005152400602</v>
      </c>
      <c r="J33">
        <v>19.313770528427298</v>
      </c>
      <c r="K33">
        <v>9.2938210298617996</v>
      </c>
      <c r="L33">
        <v>1.3019542847538938E-3</v>
      </c>
      <c r="M33">
        <v>2.2562243498164988E-4</v>
      </c>
      <c r="N33" s="1">
        <v>8.0148485942244999E-6</v>
      </c>
      <c r="O33" s="1">
        <v>1.9386010935175799E-6</v>
      </c>
      <c r="P33" s="1">
        <v>-6.6527374312879198E-6</v>
      </c>
      <c r="AE33">
        <v>100</v>
      </c>
      <c r="AJ33">
        <v>1</v>
      </c>
    </row>
    <row r="34" spans="1:36" x14ac:dyDescent="0.2">
      <c r="A34">
        <v>33</v>
      </c>
      <c r="B34">
        <v>748</v>
      </c>
      <c r="C34">
        <v>250</v>
      </c>
      <c r="D34">
        <v>0.32281300494540499</v>
      </c>
      <c r="E34">
        <v>4.9463349003337402</v>
      </c>
      <c r="F34">
        <v>0.53167173486526598</v>
      </c>
      <c r="G34">
        <v>-107.02519716060606</v>
      </c>
      <c r="H34">
        <v>-63.075482204448569</v>
      </c>
      <c r="I34">
        <v>43.042202960120598</v>
      </c>
      <c r="J34">
        <v>19.368210017284799</v>
      </c>
      <c r="K34">
        <v>9.3033625373882494</v>
      </c>
      <c r="L34">
        <v>1.3027836107818856E-3</v>
      </c>
      <c r="M34">
        <v>2.2519982400264786E-4</v>
      </c>
      <c r="N34" s="1">
        <v>8.1060372760441102E-6</v>
      </c>
      <c r="O34" s="1">
        <v>1.9362822429368101E-6</v>
      </c>
      <c r="P34" s="1">
        <v>-6.6661774656160298E-6</v>
      </c>
      <c r="AE34">
        <v>100</v>
      </c>
      <c r="AJ34">
        <v>1</v>
      </c>
    </row>
    <row r="35" spans="1:36" x14ac:dyDescent="0.2">
      <c r="A35">
        <v>34</v>
      </c>
      <c r="B35">
        <v>747</v>
      </c>
      <c r="C35">
        <v>250</v>
      </c>
      <c r="D35">
        <v>0.32208057638582899</v>
      </c>
      <c r="E35">
        <v>4.9577813917036897</v>
      </c>
      <c r="F35">
        <v>0.53236505872108797</v>
      </c>
      <c r="G35">
        <v>-107.22973571761574</v>
      </c>
      <c r="H35">
        <v>-63.240865187262983</v>
      </c>
      <c r="I35">
        <v>43.122783588009298</v>
      </c>
      <c r="J35">
        <v>19.422451477642099</v>
      </c>
      <c r="K35">
        <v>9.3127475413466492</v>
      </c>
      <c r="L35">
        <v>1.303606154307736E-3</v>
      </c>
      <c r="M35">
        <v>2.2477614143356757E-4</v>
      </c>
      <c r="N35" s="1">
        <v>8.1975802639661708E-6</v>
      </c>
      <c r="O35" s="1">
        <v>1.9339027565068502E-6</v>
      </c>
      <c r="P35" s="1">
        <v>-6.6794409520730399E-6</v>
      </c>
      <c r="AE35">
        <v>100</v>
      </c>
      <c r="AJ35">
        <v>1</v>
      </c>
    </row>
    <row r="36" spans="1:36" x14ac:dyDescent="0.2">
      <c r="A36">
        <v>35</v>
      </c>
      <c r="B36">
        <v>746</v>
      </c>
      <c r="C36">
        <v>250</v>
      </c>
      <c r="D36">
        <v>0.32134671049404001</v>
      </c>
      <c r="E36">
        <v>4.9691707603724398</v>
      </c>
      <c r="F36">
        <v>0.53305972334802598</v>
      </c>
      <c r="G36">
        <v>-107.43285920454325</v>
      </c>
      <c r="H36">
        <v>-63.405618393345208</v>
      </c>
      <c r="I36">
        <v>43.202751779275999</v>
      </c>
      <c r="J36">
        <v>19.476496084250002</v>
      </c>
      <c r="K36">
        <v>9.3219775246987506</v>
      </c>
      <c r="L36">
        <v>1.3044218645294641E-3</v>
      </c>
      <c r="M36">
        <v>2.2435139205577131E-4</v>
      </c>
      <c r="N36" s="1">
        <v>8.2894727654472903E-6</v>
      </c>
      <c r="O36" s="1">
        <v>1.9314631557034599E-6</v>
      </c>
      <c r="P36" s="1">
        <v>-6.6925275817162501E-6</v>
      </c>
      <c r="AE36">
        <v>100</v>
      </c>
      <c r="AJ36">
        <v>1</v>
      </c>
    </row>
    <row r="37" spans="1:36" x14ac:dyDescent="0.2">
      <c r="A37">
        <v>36</v>
      </c>
      <c r="B37">
        <v>745</v>
      </c>
      <c r="C37">
        <v>250</v>
      </c>
      <c r="D37">
        <v>0.32061140303491598</v>
      </c>
      <c r="E37">
        <v>4.98050349749749</v>
      </c>
      <c r="F37">
        <v>0.53375572797354498</v>
      </c>
      <c r="G37">
        <v>-107.6345798853631</v>
      </c>
      <c r="H37">
        <v>-63.569747468385806</v>
      </c>
      <c r="I37">
        <v>43.282112229943003</v>
      </c>
      <c r="J37">
        <v>19.530344994626301</v>
      </c>
      <c r="K37">
        <v>9.3310539568473594</v>
      </c>
      <c r="L37">
        <v>1.3052306907911388E-3</v>
      </c>
      <c r="M37">
        <v>2.2392558073817517E-4</v>
      </c>
      <c r="N37" s="1">
        <v>8.3817099345527207E-6</v>
      </c>
      <c r="O37" s="1">
        <v>1.9289639607250901E-6</v>
      </c>
      <c r="P37" s="1">
        <v>-6.70543704736775E-6</v>
      </c>
      <c r="AE37">
        <v>100</v>
      </c>
      <c r="AJ37">
        <v>1</v>
      </c>
    </row>
    <row r="38" spans="1:36" x14ac:dyDescent="0.2">
      <c r="A38">
        <v>37</v>
      </c>
      <c r="B38">
        <v>744</v>
      </c>
      <c r="C38">
        <v>250</v>
      </c>
      <c r="D38">
        <v>0.31987464975667701</v>
      </c>
      <c r="E38">
        <v>5.7490567610136898</v>
      </c>
      <c r="F38">
        <v>0.53445307178602697</v>
      </c>
      <c r="G38">
        <v>-124.19397624483911</v>
      </c>
      <c r="H38">
        <v>-73.40189496750034</v>
      </c>
      <c r="I38">
        <v>49.938918783512698</v>
      </c>
      <c r="J38">
        <v>22.554984764394298</v>
      </c>
      <c r="K38">
        <v>10.756897217938199</v>
      </c>
      <c r="L38">
        <v>1.3060325825887276E-3</v>
      </c>
      <c r="M38">
        <v>2.2349871243725614E-4</v>
      </c>
      <c r="N38" s="1">
        <v>9.7598763095963195E-6</v>
      </c>
      <c r="O38" s="1">
        <v>2.2186505537077499E-6</v>
      </c>
      <c r="P38" s="1">
        <v>-7.7373470927178204E-6</v>
      </c>
      <c r="AE38">
        <v>100</v>
      </c>
      <c r="AJ38">
        <v>1</v>
      </c>
    </row>
    <row r="39" spans="1:36" x14ac:dyDescent="0.2">
      <c r="A39">
        <v>38</v>
      </c>
      <c r="B39">
        <v>743</v>
      </c>
      <c r="C39">
        <v>250</v>
      </c>
      <c r="D39">
        <v>0.31913644639078897</v>
      </c>
      <c r="E39">
        <v>6.8306108970670998</v>
      </c>
      <c r="F39">
        <v>0.53515175393459302</v>
      </c>
      <c r="G39">
        <v>-147.49892463856278</v>
      </c>
      <c r="H39">
        <v>-87.237594940756438</v>
      </c>
      <c r="I39">
        <v>59.307423700053299</v>
      </c>
      <c r="J39">
        <v>26.811077917761899</v>
      </c>
      <c r="K39">
        <v>12.7638765020322</v>
      </c>
      <c r="L39">
        <v>1.30682748957556E-3</v>
      </c>
      <c r="M39">
        <v>2.2307079219698704E-4</v>
      </c>
      <c r="N39" s="1">
        <v>1.16968195867448E-5</v>
      </c>
      <c r="O39" s="1">
        <v>2.6265541667084901E-6</v>
      </c>
      <c r="P39" s="1">
        <v>-9.1894747839168593E-6</v>
      </c>
      <c r="AE39">
        <v>100</v>
      </c>
      <c r="AJ39">
        <v>1</v>
      </c>
    </row>
    <row r="40" spans="1:36" x14ac:dyDescent="0.2">
      <c r="A40">
        <v>39</v>
      </c>
      <c r="B40">
        <v>742</v>
      </c>
      <c r="C40">
        <v>250</v>
      </c>
      <c r="D40">
        <v>0.318396788651924</v>
      </c>
      <c r="E40">
        <v>10.296495547056599</v>
      </c>
      <c r="F40">
        <v>0.53585177352894597</v>
      </c>
      <c r="G40">
        <v>-222.25120430546752</v>
      </c>
      <c r="H40">
        <v>-131.54279284313995</v>
      </c>
      <c r="I40">
        <v>89.360492291145903</v>
      </c>
      <c r="J40">
        <v>40.434535145965803</v>
      </c>
      <c r="K40">
        <v>19.2151935585605</v>
      </c>
      <c r="L40">
        <v>1.3076153615686316E-3</v>
      </c>
      <c r="M40">
        <v>2.2264182514884903E-4</v>
      </c>
      <c r="N40" s="1">
        <v>1.7784048312149201E-5</v>
      </c>
      <c r="O40" s="1">
        <v>3.9449708460607999E-6</v>
      </c>
      <c r="P40" s="1">
        <v>-1.38468256967455E-5</v>
      </c>
      <c r="AE40">
        <v>100</v>
      </c>
      <c r="AJ40">
        <v>1</v>
      </c>
    </row>
    <row r="41" spans="1:36" x14ac:dyDescent="0.2">
      <c r="A41">
        <v>40</v>
      </c>
      <c r="B41">
        <v>741</v>
      </c>
      <c r="C41">
        <v>250</v>
      </c>
      <c r="D41">
        <v>0.31765567223783697</v>
      </c>
      <c r="E41">
        <v>10.639963159636499</v>
      </c>
      <c r="F41">
        <v>0.53655312963919899</v>
      </c>
      <c r="G41">
        <v>-229.57267692200148</v>
      </c>
      <c r="H41">
        <v>-135.97255379856281</v>
      </c>
      <c r="I41">
        <v>92.300164634153901</v>
      </c>
      <c r="J41">
        <v>41.803335003487099</v>
      </c>
      <c r="K41">
        <v>19.830213583492299</v>
      </c>
      <c r="L41">
        <v>1.3083961485540509E-3</v>
      </c>
      <c r="M41">
        <v>2.2221181651174395E-4</v>
      </c>
      <c r="N41" s="1">
        <v>1.8534757841067101E-5</v>
      </c>
      <c r="O41" s="1">
        <v>4.06176741056285E-6</v>
      </c>
      <c r="P41" s="1">
        <v>-1.4302913462978801E-5</v>
      </c>
      <c r="AE41">
        <v>100</v>
      </c>
      <c r="AJ41">
        <v>1</v>
      </c>
    </row>
    <row r="42" spans="1:36" x14ac:dyDescent="0.2">
      <c r="A42">
        <v>41</v>
      </c>
      <c r="B42">
        <v>759</v>
      </c>
      <c r="C42">
        <v>225</v>
      </c>
      <c r="D42">
        <v>0.35741946422516302</v>
      </c>
      <c r="E42">
        <v>5.2149764089183597</v>
      </c>
      <c r="F42">
        <v>0.49213085957542302</v>
      </c>
      <c r="G42">
        <v>-113.59474420495164</v>
      </c>
      <c r="H42">
        <v>-66.176806991566252</v>
      </c>
      <c r="I42">
        <v>45.943827489340499</v>
      </c>
      <c r="J42">
        <v>20.5102312350079</v>
      </c>
      <c r="K42">
        <v>10.596727084778699</v>
      </c>
      <c r="L42">
        <v>1.4041719922708539E-3</v>
      </c>
      <c r="M42">
        <v>2.7663959775880412E-4</v>
      </c>
      <c r="N42" s="1">
        <v>7.6636680948732398E-6</v>
      </c>
      <c r="O42" s="1">
        <v>3.12402027822979E-6</v>
      </c>
      <c r="P42" s="1">
        <v>-9.1646603112623695E-6</v>
      </c>
      <c r="AE42">
        <v>100</v>
      </c>
      <c r="AJ42">
        <v>1</v>
      </c>
    </row>
    <row r="43" spans="1:36" x14ac:dyDescent="0.2">
      <c r="A43">
        <v>42</v>
      </c>
      <c r="B43">
        <v>758</v>
      </c>
      <c r="C43">
        <v>225</v>
      </c>
      <c r="D43">
        <v>0.356728410027642</v>
      </c>
      <c r="E43">
        <v>5.2195933063167699</v>
      </c>
      <c r="F43">
        <v>0.49282268840091997</v>
      </c>
      <c r="G43">
        <v>-113.64933679549465</v>
      </c>
      <c r="H43">
        <v>-66.255928782651978</v>
      </c>
      <c r="I43">
        <v>45.964597764294503</v>
      </c>
      <c r="J43">
        <v>20.540537077714301</v>
      </c>
      <c r="K43">
        <v>10.591219578897499</v>
      </c>
      <c r="L43">
        <v>1.4054169480793056E-3</v>
      </c>
      <c r="M43">
        <v>2.7616232173905721E-4</v>
      </c>
      <c r="N43" s="1">
        <v>7.7716959633887504E-6</v>
      </c>
      <c r="O43" s="1">
        <v>3.11679067072153E-6</v>
      </c>
      <c r="P43" s="1">
        <v>-9.1748217055430998E-6</v>
      </c>
      <c r="AE43">
        <v>100</v>
      </c>
      <c r="AJ43">
        <v>1</v>
      </c>
    </row>
    <row r="44" spans="1:36" x14ac:dyDescent="0.2">
      <c r="A44">
        <v>43</v>
      </c>
      <c r="B44">
        <v>757</v>
      </c>
      <c r="C44">
        <v>225</v>
      </c>
      <c r="D44">
        <v>0.35603601417269398</v>
      </c>
      <c r="E44">
        <v>5.23070965886886</v>
      </c>
      <c r="F44">
        <v>0.49351610243928701</v>
      </c>
      <c r="G44">
        <v>-113.84532730560963</v>
      </c>
      <c r="H44">
        <v>-66.417626743566075</v>
      </c>
      <c r="I44">
        <v>46.042512153873403</v>
      </c>
      <c r="J44">
        <v>20.596445073504601</v>
      </c>
      <c r="K44">
        <v>10.5988632042909</v>
      </c>
      <c r="L44">
        <v>1.4066547857104822E-3</v>
      </c>
      <c r="M44">
        <v>2.7568331144484353E-4</v>
      </c>
      <c r="N44" s="1">
        <v>7.8900685124373995E-6</v>
      </c>
      <c r="O44" s="1">
        <v>3.1133921147452502E-6</v>
      </c>
      <c r="P44" s="1">
        <v>-9.1962926684250204E-6</v>
      </c>
      <c r="AE44">
        <v>100</v>
      </c>
      <c r="AJ44">
        <v>1</v>
      </c>
    </row>
    <row r="45" spans="1:36" x14ac:dyDescent="0.2">
      <c r="A45">
        <v>44</v>
      </c>
      <c r="B45">
        <v>756</v>
      </c>
      <c r="C45">
        <v>225</v>
      </c>
      <c r="D45">
        <v>0.35534227274935698</v>
      </c>
      <c r="E45">
        <v>5.2417720467374602</v>
      </c>
      <c r="F45">
        <v>0.49421110210605401</v>
      </c>
      <c r="G45">
        <v>-114.03996805404135</v>
      </c>
      <c r="H45">
        <v>-66.578738967817898</v>
      </c>
      <c r="I45">
        <v>46.119835543963703</v>
      </c>
      <c r="J45">
        <v>20.652180038793698</v>
      </c>
      <c r="K45">
        <v>10.6063421570254</v>
      </c>
      <c r="L45">
        <v>1.4078854248212131E-3</v>
      </c>
      <c r="M45">
        <v>2.7520256945572118E-4</v>
      </c>
      <c r="N45" s="1">
        <v>8.0091492024641898E-6</v>
      </c>
      <c r="O45" s="1">
        <v>3.10989910696273E-6</v>
      </c>
      <c r="P45" s="1">
        <v>-9.2175543661383301E-6</v>
      </c>
      <c r="AE45">
        <v>100</v>
      </c>
      <c r="AJ45">
        <v>1</v>
      </c>
    </row>
    <row r="46" spans="1:36" x14ac:dyDescent="0.2">
      <c r="A46">
        <v>45</v>
      </c>
      <c r="B46">
        <v>755</v>
      </c>
      <c r="C46">
        <v>225</v>
      </c>
      <c r="D46">
        <v>0.354647181831445</v>
      </c>
      <c r="E46">
        <v>5.2527809480367802</v>
      </c>
      <c r="F46">
        <v>0.49490768776852501</v>
      </c>
      <c r="G46">
        <v>-114.23327102139056</v>
      </c>
      <c r="H46">
        <v>-66.739270957187202</v>
      </c>
      <c r="I46">
        <v>46.196572511812001</v>
      </c>
      <c r="J46">
        <v>20.707742929384398</v>
      </c>
      <c r="K46">
        <v>10.6136580171564</v>
      </c>
      <c r="L46">
        <v>1.4091087850398633E-3</v>
      </c>
      <c r="M46">
        <v>2.7472009849557622E-4</v>
      </c>
      <c r="N46" s="1">
        <v>8.1289326551400999E-6</v>
      </c>
      <c r="O46" s="1">
        <v>3.1063122447353899E-6</v>
      </c>
      <c r="P46" s="1">
        <v>-9.2386056129255397E-6</v>
      </c>
      <c r="AE46">
        <v>100</v>
      </c>
      <c r="AJ46">
        <v>1</v>
      </c>
    </row>
    <row r="47" spans="1:36" x14ac:dyDescent="0.2">
      <c r="A47">
        <v>46</v>
      </c>
      <c r="B47">
        <v>754</v>
      </c>
      <c r="C47">
        <v>225</v>
      </c>
      <c r="D47">
        <v>0.35395073747748601</v>
      </c>
      <c r="E47">
        <v>5.2637368363722796</v>
      </c>
      <c r="F47">
        <v>0.49560585974538901</v>
      </c>
      <c r="G47">
        <v>-114.42524807250214</v>
      </c>
      <c r="H47">
        <v>-66.89922816235665</v>
      </c>
      <c r="I47">
        <v>46.272727589537702</v>
      </c>
      <c r="J47">
        <v>20.763134682660699</v>
      </c>
      <c r="K47">
        <v>10.6208123509202</v>
      </c>
      <c r="L47">
        <v>1.4103247859760769E-3</v>
      </c>
      <c r="M47">
        <v>2.7423590143348011E-4</v>
      </c>
      <c r="N47" s="1">
        <v>8.2494133663482497E-6</v>
      </c>
      <c r="O47" s="1">
        <v>3.10263212517726E-6</v>
      </c>
      <c r="P47" s="1">
        <v>-9.2594452181871606E-6</v>
      </c>
      <c r="AE47">
        <v>100</v>
      </c>
      <c r="AJ47">
        <v>1</v>
      </c>
    </row>
    <row r="48" spans="1:36" x14ac:dyDescent="0.2">
      <c r="A48">
        <v>47</v>
      </c>
      <c r="B48">
        <v>753</v>
      </c>
      <c r="C48">
        <v>225</v>
      </c>
      <c r="D48">
        <v>0.35325293573064698</v>
      </c>
      <c r="E48">
        <v>5.2746401812898398</v>
      </c>
      <c r="F48">
        <v>0.49630561830638598</v>
      </c>
      <c r="G48">
        <v>-114.61591096643808</v>
      </c>
      <c r="H48">
        <v>-67.058615988539898</v>
      </c>
      <c r="I48">
        <v>46.348305268147797</v>
      </c>
      <c r="J48">
        <v>20.818356219369502</v>
      </c>
      <c r="K48">
        <v>10.6278067116976</v>
      </c>
      <c r="L48">
        <v>1.4115333472314695E-3</v>
      </c>
      <c r="M48">
        <v>2.7374998128468046E-4</v>
      </c>
      <c r="N48" s="1">
        <v>8.3705857066539293E-6</v>
      </c>
      <c r="O48" s="1">
        <v>3.0988593454914399E-6</v>
      </c>
      <c r="P48" s="1">
        <v>-9.2800719876359596E-6</v>
      </c>
      <c r="AE48">
        <v>100</v>
      </c>
      <c r="AJ48">
        <v>1</v>
      </c>
    </row>
    <row r="49" spans="1:36" x14ac:dyDescent="0.2">
      <c r="A49">
        <v>48</v>
      </c>
      <c r="B49">
        <v>752</v>
      </c>
      <c r="C49">
        <v>225</v>
      </c>
      <c r="D49">
        <v>0.35255377261864101</v>
      </c>
      <c r="E49">
        <v>5.2854914480175896</v>
      </c>
      <c r="F49">
        <v>0.49700696367191499</v>
      </c>
      <c r="G49">
        <v>-114.8052713510646</v>
      </c>
      <c r="H49">
        <v>-67.217439792124395</v>
      </c>
      <c r="I49">
        <v>46.423309995330499</v>
      </c>
      <c r="J49">
        <v>20.873408442623699</v>
      </c>
      <c r="K49">
        <v>10.6346426395479</v>
      </c>
      <c r="L49">
        <v>1.4127343884097433E-3</v>
      </c>
      <c r="M49">
        <v>2.7326234121145604E-4</v>
      </c>
      <c r="N49" s="1">
        <v>8.4924439207535699E-6</v>
      </c>
      <c r="O49" s="1">
        <v>3.0949945028851301E-6</v>
      </c>
      <c r="P49" s="1">
        <v>-9.3004847232097303E-6</v>
      </c>
      <c r="AE49">
        <v>100</v>
      </c>
      <c r="AJ49">
        <v>1</v>
      </c>
    </row>
    <row r="50" spans="1:36" x14ac:dyDescent="0.2">
      <c r="A50">
        <v>49</v>
      </c>
      <c r="B50">
        <v>751</v>
      </c>
      <c r="C50">
        <v>225</v>
      </c>
      <c r="D50">
        <v>0.35185324415369101</v>
      </c>
      <c r="E50">
        <v>5.2962910977658098</v>
      </c>
      <c r="F50">
        <v>0.497709896012688</v>
      </c>
      <c r="G50">
        <v>-114.9933407697675</v>
      </c>
      <c r="H50">
        <v>-67.375704884405394</v>
      </c>
      <c r="I50">
        <v>46.497746178155303</v>
      </c>
      <c r="J50">
        <v>20.928292239098401</v>
      </c>
      <c r="K50">
        <v>10.641321661867799</v>
      </c>
      <c r="L50">
        <v>1.413927829127015E-3</v>
      </c>
      <c r="M50">
        <v>2.7277298452397315E-4</v>
      </c>
      <c r="N50" s="1">
        <v>8.6149821278040195E-6</v>
      </c>
      <c r="O50" s="1">
        <v>3.0910381948122E-6</v>
      </c>
      <c r="P50" s="1">
        <v>-9.3206822239669796E-6</v>
      </c>
      <c r="AE50">
        <v>100</v>
      </c>
      <c r="AJ50">
        <v>1</v>
      </c>
    </row>
    <row r="51" spans="1:36" x14ac:dyDescent="0.2">
      <c r="A51">
        <v>50</v>
      </c>
      <c r="B51">
        <v>750</v>
      </c>
      <c r="C51">
        <v>225</v>
      </c>
      <c r="D51">
        <v>0.35115134633240402</v>
      </c>
      <c r="E51">
        <v>5.3506108754043398</v>
      </c>
      <c r="F51">
        <v>0.49841441544936699</v>
      </c>
      <c r="G51">
        <v>-116.12577022675725</v>
      </c>
      <c r="H51">
        <v>-68.087872150487613</v>
      </c>
      <c r="I51">
        <v>46.953975491743797</v>
      </c>
      <c r="J51">
        <v>21.155280926558401</v>
      </c>
      <c r="K51">
        <v>10.7352650917615</v>
      </c>
      <c r="L51">
        <v>1.4151135890225653E-3</v>
      </c>
      <c r="M51">
        <v>2.7228191468116423E-4</v>
      </c>
      <c r="N51" s="1">
        <v>8.8099357079163602E-6</v>
      </c>
      <c r="O51" s="1">
        <v>3.1123355018754202E-6</v>
      </c>
      <c r="P51" s="1">
        <v>-9.4173509991572106E-6</v>
      </c>
      <c r="AE51">
        <v>100</v>
      </c>
      <c r="AJ51">
        <v>1</v>
      </c>
    </row>
    <row r="52" spans="1:36" x14ac:dyDescent="0.2">
      <c r="A52">
        <v>51</v>
      </c>
      <c r="B52">
        <v>749</v>
      </c>
      <c r="C52">
        <v>225</v>
      </c>
      <c r="D52">
        <v>0.350448075135744</v>
      </c>
      <c r="E52">
        <v>5.4573324585832399</v>
      </c>
      <c r="F52">
        <v>0.49912052205220397</v>
      </c>
      <c r="G52">
        <v>-118.39409796045481</v>
      </c>
      <c r="H52">
        <v>-69.467514724298297</v>
      </c>
      <c r="I52">
        <v>47.869399067561403</v>
      </c>
      <c r="J52">
        <v>21.589811643662799</v>
      </c>
      <c r="K52">
        <v>10.933897160037899</v>
      </c>
      <c r="L52">
        <v>1.4162915877691446E-3</v>
      </c>
      <c r="M52">
        <v>2.7178913529151436E-4</v>
      </c>
      <c r="N52" s="1">
        <v>9.0947112900085699E-6</v>
      </c>
      <c r="O52" s="1">
        <v>3.1637810780838701E-6</v>
      </c>
      <c r="P52" s="1">
        <v>-9.6061457946338298E-6</v>
      </c>
      <c r="AE52">
        <v>100</v>
      </c>
      <c r="AJ52">
        <v>1</v>
      </c>
    </row>
    <row r="53" spans="1:36" x14ac:dyDescent="0.2">
      <c r="A53">
        <v>52</v>
      </c>
      <c r="B53">
        <v>748</v>
      </c>
      <c r="C53">
        <v>225</v>
      </c>
      <c r="D53">
        <v>0.34974342652891699</v>
      </c>
      <c r="E53">
        <v>6.0887581158897701</v>
      </c>
      <c r="F53">
        <v>0.49982821584070197</v>
      </c>
      <c r="G53">
        <v>-132.03916555266497</v>
      </c>
      <c r="H53">
        <v>-77.529157451699305</v>
      </c>
      <c r="I53">
        <v>53.384412145377297</v>
      </c>
      <c r="J53">
        <v>24.101812016017298</v>
      </c>
      <c r="K53">
        <v>12.1817014784741</v>
      </c>
      <c r="L53">
        <v>1.4174617450838844E-3</v>
      </c>
      <c r="M53">
        <v>2.7129465011387977E-4</v>
      </c>
      <c r="N53" s="1">
        <v>1.0269027528454799E-5</v>
      </c>
      <c r="O53" s="1">
        <v>3.51795378724519E-6</v>
      </c>
      <c r="P53" s="1">
        <v>-1.07185155197393E-5</v>
      </c>
      <c r="AE53">
        <v>100</v>
      </c>
      <c r="AJ53">
        <v>1</v>
      </c>
    </row>
    <row r="54" spans="1:36" x14ac:dyDescent="0.2">
      <c r="A54">
        <v>53</v>
      </c>
      <c r="B54">
        <v>747</v>
      </c>
      <c r="C54">
        <v>225</v>
      </c>
      <c r="D54">
        <v>0.34903739646130499</v>
      </c>
      <c r="E54">
        <v>7.0788018432944897</v>
      </c>
      <c r="F54">
        <v>0.50053749678325199</v>
      </c>
      <c r="G54">
        <v>-153.44693558617811</v>
      </c>
      <c r="H54">
        <v>-90.163575841439581</v>
      </c>
      <c r="I54">
        <v>62.0373579079954</v>
      </c>
      <c r="J54">
        <v>28.037079261557299</v>
      </c>
      <c r="K54">
        <v>14.1424006968249</v>
      </c>
      <c r="L54">
        <v>1.4186239807389416E-3</v>
      </c>
      <c r="M54">
        <v>2.7079846305825764E-4</v>
      </c>
      <c r="N54" s="1">
        <v>1.20810878135335E-5</v>
      </c>
      <c r="O54" s="1">
        <v>4.0761386180943501E-6</v>
      </c>
      <c r="P54" s="1">
        <v>-1.2462253045119199E-5</v>
      </c>
      <c r="AE54">
        <v>100</v>
      </c>
      <c r="AJ54">
        <v>1</v>
      </c>
    </row>
    <row r="55" spans="1:36" x14ac:dyDescent="0.2">
      <c r="A55">
        <v>54</v>
      </c>
      <c r="B55">
        <v>746</v>
      </c>
      <c r="C55">
        <v>225</v>
      </c>
      <c r="D55">
        <v>0.34832998086640898</v>
      </c>
      <c r="E55">
        <v>10.2687783185815</v>
      </c>
      <c r="F55">
        <v>0.50124836479679802</v>
      </c>
      <c r="G55">
        <v>-222.50596829456882</v>
      </c>
      <c r="H55">
        <v>-130.83538474467881</v>
      </c>
      <c r="I55">
        <v>89.953843865396806</v>
      </c>
      <c r="J55">
        <v>40.695213661409902</v>
      </c>
      <c r="K55">
        <v>20.486407616999301</v>
      </c>
      <c r="L55">
        <v>1.4197782145724304E-3</v>
      </c>
      <c r="M55">
        <v>2.7030057818655599E-4</v>
      </c>
      <c r="N55" s="1">
        <v>1.7732296060706399E-5</v>
      </c>
      <c r="O55" s="1">
        <v>5.8928867655353198E-6</v>
      </c>
      <c r="P55" s="1">
        <v>-1.80792395614881E-5</v>
      </c>
      <c r="AE55">
        <v>100</v>
      </c>
      <c r="AJ55">
        <v>1</v>
      </c>
    </row>
    <row r="56" spans="1:36" x14ac:dyDescent="0.2">
      <c r="A56">
        <v>55</v>
      </c>
      <c r="B56">
        <v>745</v>
      </c>
      <c r="C56">
        <v>225</v>
      </c>
      <c r="D56">
        <v>0.347621175661739</v>
      </c>
      <c r="E56">
        <v>10.6200774112428</v>
      </c>
      <c r="F56">
        <v>0.50196081974649398</v>
      </c>
      <c r="G56">
        <v>-230.02497763880672</v>
      </c>
      <c r="H56">
        <v>-135.35341617953765</v>
      </c>
      <c r="I56">
        <v>92.989872729667695</v>
      </c>
      <c r="J56">
        <v>42.1117478880617</v>
      </c>
      <c r="K56">
        <v>21.157183974251801</v>
      </c>
      <c r="L56">
        <v>1.4209243664991033E-3</v>
      </c>
      <c r="M56">
        <v>2.6980099971325196E-4</v>
      </c>
      <c r="N56" s="1">
        <v>1.8553618061005299E-5</v>
      </c>
      <c r="O56" s="1">
        <v>6.0736454781520396E-6</v>
      </c>
      <c r="P56" s="1">
        <v>-1.8698521283345201E-5</v>
      </c>
      <c r="AE56">
        <v>100</v>
      </c>
      <c r="AJ56">
        <v>1</v>
      </c>
    </row>
    <row r="57" spans="1:36" x14ac:dyDescent="0.2">
      <c r="A57">
        <v>56</v>
      </c>
      <c r="B57">
        <v>759</v>
      </c>
      <c r="C57">
        <v>200</v>
      </c>
      <c r="D57">
        <v>0.38406287845759102</v>
      </c>
      <c r="E57">
        <v>5.6034707352101902</v>
      </c>
      <c r="F57">
        <v>0.45575377923867499</v>
      </c>
      <c r="G57">
        <v>-122.3525570163479</v>
      </c>
      <c r="H57">
        <v>-70.954720925903743</v>
      </c>
      <c r="I57">
        <v>49.799973589586102</v>
      </c>
      <c r="J57">
        <v>22.236241840597501</v>
      </c>
      <c r="K57">
        <v>12.2949517710432</v>
      </c>
      <c r="L57">
        <v>1.5311987457172483E-3</v>
      </c>
      <c r="M57">
        <v>3.4128771137268039E-4</v>
      </c>
      <c r="N57" s="1">
        <v>6.7840579259362396E-6</v>
      </c>
      <c r="O57" s="1">
        <v>5.1787187729214202E-6</v>
      </c>
      <c r="P57" s="1">
        <v>-1.3034007778091601E-5</v>
      </c>
      <c r="AE57">
        <v>100</v>
      </c>
      <c r="AJ57">
        <v>1</v>
      </c>
    </row>
    <row r="58" spans="1:36" x14ac:dyDescent="0.2">
      <c r="A58">
        <v>57</v>
      </c>
      <c r="B58">
        <v>758</v>
      </c>
      <c r="C58">
        <v>200</v>
      </c>
      <c r="D58">
        <v>0.383397662803666</v>
      </c>
      <c r="E58">
        <v>5.6135757236825201</v>
      </c>
      <c r="F58">
        <v>0.45645257202433998</v>
      </c>
      <c r="G58">
        <v>-122.52332185177522</v>
      </c>
      <c r="H58">
        <v>-71.104961140571973</v>
      </c>
      <c r="I58">
        <v>49.868179356975602</v>
      </c>
      <c r="J58">
        <v>22.292467287323699</v>
      </c>
      <c r="K58">
        <v>12.2982672630951</v>
      </c>
      <c r="L58">
        <v>1.5329879985900396E-3</v>
      </c>
      <c r="M58">
        <v>3.4074884165332146E-4</v>
      </c>
      <c r="N58" s="1">
        <v>6.9406603406023802E-6</v>
      </c>
      <c r="O58" s="1">
        <v>5.1730115950230301E-6</v>
      </c>
      <c r="P58" s="1">
        <v>-1.30678026478385E-5</v>
      </c>
      <c r="AE58">
        <v>100</v>
      </c>
      <c r="AJ58">
        <v>1</v>
      </c>
    </row>
    <row r="59" spans="1:36" x14ac:dyDescent="0.2">
      <c r="A59">
        <v>58</v>
      </c>
      <c r="B59">
        <v>757</v>
      </c>
      <c r="C59">
        <v>200</v>
      </c>
      <c r="D59">
        <v>0.38273115565694399</v>
      </c>
      <c r="E59">
        <v>5.6236342967199198</v>
      </c>
      <c r="F59">
        <v>0.45715325257592998</v>
      </c>
      <c r="G59">
        <v>-122.69291610824231</v>
      </c>
      <c r="H59">
        <v>-71.254709626228504</v>
      </c>
      <c r="I59">
        <v>49.935858536027801</v>
      </c>
      <c r="J59">
        <v>22.348562960083498</v>
      </c>
      <c r="K59">
        <v>12.301420289656299</v>
      </c>
      <c r="L59">
        <v>1.5347700870519453E-3</v>
      </c>
      <c r="M59">
        <v>3.4020729273536902E-4</v>
      </c>
      <c r="N59" s="1">
        <v>7.0985888952327301E-6</v>
      </c>
      <c r="O59" s="1">
        <v>5.1671618587228399E-6</v>
      </c>
      <c r="P59" s="1">
        <v>-1.31013761018442E-5</v>
      </c>
      <c r="AE59">
        <v>100</v>
      </c>
      <c r="AJ59">
        <v>1</v>
      </c>
    </row>
    <row r="60" spans="1:36" x14ac:dyDescent="0.2">
      <c r="A60">
        <v>59</v>
      </c>
      <c r="B60">
        <v>756</v>
      </c>
      <c r="C60">
        <v>200</v>
      </c>
      <c r="D60">
        <v>0.38206335325268598</v>
      </c>
      <c r="E60">
        <v>5.6670587597190796</v>
      </c>
      <c r="F60">
        <v>0.45785582298683303</v>
      </c>
      <c r="G60">
        <v>-123.59001321515174</v>
      </c>
      <c r="H60">
        <v>-71.827452039254354</v>
      </c>
      <c r="I60">
        <v>50.299571699865901</v>
      </c>
      <c r="J60">
        <v>22.537405607308902</v>
      </c>
      <c r="K60">
        <v>12.3773871057266</v>
      </c>
      <c r="L60">
        <v>1.5365448866216135E-3</v>
      </c>
      <c r="M60">
        <v>3.3966306150425685E-4</v>
      </c>
      <c r="N60" s="1">
        <v>7.3008845121001798E-6</v>
      </c>
      <c r="O60" s="1">
        <v>5.1917798035332603E-6</v>
      </c>
      <c r="P60" s="1">
        <v>-1.32126245072718E-5</v>
      </c>
      <c r="AE60">
        <v>100</v>
      </c>
      <c r="AJ60">
        <v>1</v>
      </c>
    </row>
    <row r="61" spans="1:36" x14ac:dyDescent="0.2">
      <c r="A61">
        <v>60</v>
      </c>
      <c r="B61">
        <v>755</v>
      </c>
      <c r="C61">
        <v>200</v>
      </c>
      <c r="D61">
        <v>0.38139425181150599</v>
      </c>
      <c r="E61">
        <v>5.7646802420575698</v>
      </c>
      <c r="F61">
        <v>0.45856028529133602</v>
      </c>
      <c r="G61">
        <v>-125.6678357683582</v>
      </c>
      <c r="H61">
        <v>-73.087694868960668</v>
      </c>
      <c r="I61">
        <v>51.1437434259825</v>
      </c>
      <c r="J61">
        <v>22.942185234746098</v>
      </c>
      <c r="K61">
        <v>12.571259280325799</v>
      </c>
      <c r="L61">
        <v>1.538312272320987E-3</v>
      </c>
      <c r="M61">
        <v>3.3911614505275186E-4</v>
      </c>
      <c r="N61" s="1">
        <v>7.5775485834777999E-6</v>
      </c>
      <c r="O61" s="1">
        <v>5.2656221909850496E-6</v>
      </c>
      <c r="P61" s="1">
        <v>-1.34503235175723E-5</v>
      </c>
      <c r="AE61">
        <v>100</v>
      </c>
      <c r="AJ61">
        <v>1</v>
      </c>
    </row>
    <row r="62" spans="1:36" x14ac:dyDescent="0.2">
      <c r="A62">
        <v>61</v>
      </c>
      <c r="B62">
        <v>754</v>
      </c>
      <c r="C62">
        <v>200</v>
      </c>
      <c r="D62">
        <v>0.38072384753930699</v>
      </c>
      <c r="E62">
        <v>5.86259010944881</v>
      </c>
      <c r="F62">
        <v>0.45926664146385499</v>
      </c>
      <c r="G62">
        <v>-127.75023258361765</v>
      </c>
      <c r="H62">
        <v>-74.35238871603822</v>
      </c>
      <c r="I62">
        <v>51.989679016350401</v>
      </c>
      <c r="J62">
        <v>23.348668121512699</v>
      </c>
      <c r="K62">
        <v>12.765111985409</v>
      </c>
      <c r="L62">
        <v>1.5400721186903533E-3</v>
      </c>
      <c r="M62">
        <v>3.3856654068413543E-4</v>
      </c>
      <c r="N62" s="1">
        <v>7.8605946567836392E-6</v>
      </c>
      <c r="O62" s="1">
        <v>5.3391514551802802E-6</v>
      </c>
      <c r="P62" s="1">
        <v>-1.3688872876850799E-5</v>
      </c>
      <c r="AE62">
        <v>100</v>
      </c>
      <c r="AJ62">
        <v>1</v>
      </c>
    </row>
    <row r="63" spans="1:36" x14ac:dyDescent="0.2">
      <c r="A63">
        <v>62</v>
      </c>
      <c r="B63">
        <v>753</v>
      </c>
      <c r="C63">
        <v>200</v>
      </c>
      <c r="D63">
        <v>0.380052136627202</v>
      </c>
      <c r="E63">
        <v>5.9610964773133501</v>
      </c>
      <c r="F63">
        <v>0.45997489341823899</v>
      </c>
      <c r="G63">
        <v>-129.84390849728373</v>
      </c>
      <c r="H63">
        <v>-75.625446767762185</v>
      </c>
      <c r="I63">
        <v>52.840104307342102</v>
      </c>
      <c r="J63">
        <v>23.758083707035802</v>
      </c>
      <c r="K63">
        <v>12.9596127149773</v>
      </c>
      <c r="L63">
        <v>1.5418242998035518E-3</v>
      </c>
      <c r="M63">
        <v>3.3801424591524664E-4</v>
      </c>
      <c r="N63" s="1">
        <v>8.1505048781423907E-6</v>
      </c>
      <c r="O63" s="1">
        <v>5.4126426419814499E-6</v>
      </c>
      <c r="P63" s="1">
        <v>-1.39289829435445E-5</v>
      </c>
      <c r="AE63">
        <v>100</v>
      </c>
      <c r="AJ63">
        <v>1</v>
      </c>
    </row>
    <row r="64" spans="1:36" x14ac:dyDescent="0.2">
      <c r="A64">
        <v>63</v>
      </c>
      <c r="B64">
        <v>752</v>
      </c>
      <c r="C64">
        <v>200</v>
      </c>
      <c r="D64">
        <v>0.37937911525142798</v>
      </c>
      <c r="E64">
        <v>6.8865233735652396</v>
      </c>
      <c r="F64">
        <v>0.46068504300701602</v>
      </c>
      <c r="G64">
        <v>-149.94041940698736</v>
      </c>
      <c r="H64">
        <v>-87.393330780461696</v>
      </c>
      <c r="I64">
        <v>61.016465412945401</v>
      </c>
      <c r="J64">
        <v>27.466138179140099</v>
      </c>
      <c r="K64">
        <v>14.9484414093738</v>
      </c>
      <c r="L64">
        <v>1.5435686892833393E-3</v>
      </c>
      <c r="M64">
        <v>3.3745925847954796E-4</v>
      </c>
      <c r="N64" s="1">
        <v>9.5991845633805892E-6</v>
      </c>
      <c r="O64" s="1">
        <v>6.2341310151496704E-6</v>
      </c>
      <c r="P64" s="1">
        <v>-1.6102849971756999E-5</v>
      </c>
      <c r="AE64">
        <v>100</v>
      </c>
      <c r="AJ64">
        <v>1</v>
      </c>
    </row>
    <row r="65" spans="1:36" x14ac:dyDescent="0.2">
      <c r="A65">
        <v>64</v>
      </c>
      <c r="B65">
        <v>751</v>
      </c>
      <c r="C65">
        <v>200</v>
      </c>
      <c r="D65">
        <v>0.378704779573308</v>
      </c>
      <c r="E65">
        <v>9.5494079118389692</v>
      </c>
      <c r="F65">
        <v>0.46139709202066598</v>
      </c>
      <c r="G65">
        <v>-207.83486915381232</v>
      </c>
      <c r="H65">
        <v>-121.22473107365934</v>
      </c>
      <c r="I65">
        <v>84.5731609996201</v>
      </c>
      <c r="J65">
        <v>38.114125945433599</v>
      </c>
      <c r="K65">
        <v>20.6967232281803</v>
      </c>
      <c r="L65">
        <v>1.5453051603175106E-3</v>
      </c>
      <c r="M65">
        <v>3.3690157633022608E-4</v>
      </c>
      <c r="N65" s="1">
        <v>1.35666731746371E-5</v>
      </c>
      <c r="O65" s="1">
        <v>8.6186091079360197E-6</v>
      </c>
      <c r="P65" s="1">
        <v>-2.2345131907319401E-5</v>
      </c>
      <c r="AE65">
        <v>100</v>
      </c>
      <c r="AJ65">
        <v>1</v>
      </c>
    </row>
    <row r="66" spans="1:36" x14ac:dyDescent="0.2">
      <c r="A66">
        <v>65</v>
      </c>
      <c r="B66">
        <v>750</v>
      </c>
      <c r="C66">
        <v>200</v>
      </c>
      <c r="D66">
        <v>0.37802912573913899</v>
      </c>
      <c r="E66">
        <v>10.442631120264799</v>
      </c>
      <c r="F66">
        <v>0.46211104218689197</v>
      </c>
      <c r="G66">
        <v>-227.18266102259219</v>
      </c>
      <c r="H66">
        <v>-132.60542596285777</v>
      </c>
      <c r="I66">
        <v>92.443152005583102</v>
      </c>
      <c r="J66">
        <v>41.7091189367097</v>
      </c>
      <c r="K66">
        <v>22.597666290002799</v>
      </c>
      <c r="L66">
        <v>1.5470335856745739E-3</v>
      </c>
      <c r="M66">
        <v>3.3634119764314391E-4</v>
      </c>
      <c r="N66" s="1">
        <v>1.5116774593282399E-5</v>
      </c>
      <c r="O66" s="1">
        <v>9.3960994275655303E-6</v>
      </c>
      <c r="P66" s="1">
        <v>-2.44519999785817E-5</v>
      </c>
      <c r="AE66">
        <v>100</v>
      </c>
      <c r="AJ66">
        <v>1</v>
      </c>
    </row>
    <row r="67" spans="1:36" x14ac:dyDescent="0.2">
      <c r="A67">
        <v>66</v>
      </c>
      <c r="B67">
        <v>749</v>
      </c>
      <c r="C67">
        <v>200</v>
      </c>
      <c r="D67">
        <v>0.37735214988015597</v>
      </c>
      <c r="E67">
        <v>10.683738816771299</v>
      </c>
      <c r="F67">
        <v>0.46282689516988901</v>
      </c>
      <c r="G67">
        <v>-232.33347664185311</v>
      </c>
      <c r="H67">
        <v>-135.70981196136347</v>
      </c>
      <c r="I67">
        <v>94.535810372154103</v>
      </c>
      <c r="J67">
        <v>42.702716279060503</v>
      </c>
      <c r="K67">
        <v>23.083660280480601</v>
      </c>
      <c r="L67">
        <v>1.5487538377205385E-3</v>
      </c>
      <c r="M67">
        <v>3.3577812081994103E-4</v>
      </c>
      <c r="N67" s="1">
        <v>1.5754960586315899E-5</v>
      </c>
      <c r="O67" s="1">
        <v>9.5836266847032405E-6</v>
      </c>
      <c r="P67" s="1">
        <v>-2.50333990299732E-5</v>
      </c>
      <c r="AE67">
        <v>100</v>
      </c>
      <c r="AJ67">
        <v>1</v>
      </c>
    </row>
    <row r="68" spans="1:36" x14ac:dyDescent="0.2">
      <c r="A68">
        <v>67</v>
      </c>
      <c r="B68">
        <v>765</v>
      </c>
      <c r="C68">
        <v>175</v>
      </c>
      <c r="D68">
        <v>0.41451668833983701</v>
      </c>
      <c r="E68">
        <v>5.9928830979851497</v>
      </c>
      <c r="F68">
        <v>0.40990071422263102</v>
      </c>
      <c r="G68">
        <v>-131.5231067030835</v>
      </c>
      <c r="H68">
        <v>-75.517787012278816</v>
      </c>
      <c r="I68">
        <v>53.950536229368097</v>
      </c>
      <c r="J68">
        <v>23.788810550322101</v>
      </c>
      <c r="K68">
        <v>14.6203285089427</v>
      </c>
      <c r="L68">
        <v>1.6546654349248423E-3</v>
      </c>
      <c r="M68">
        <v>4.35945822597033E-4</v>
      </c>
      <c r="N68" s="1">
        <v>1.48223592519327E-6</v>
      </c>
      <c r="O68" s="1">
        <v>9.1317689327355295E-6</v>
      </c>
      <c r="P68" s="1">
        <v>-1.8504421565377398E-5</v>
      </c>
      <c r="AE68">
        <v>100</v>
      </c>
      <c r="AJ68">
        <v>1</v>
      </c>
    </row>
    <row r="69" spans="1:36" x14ac:dyDescent="0.2">
      <c r="A69">
        <v>68</v>
      </c>
      <c r="B69">
        <v>764</v>
      </c>
      <c r="C69">
        <v>175</v>
      </c>
      <c r="D69">
        <v>0.41388468398978101</v>
      </c>
      <c r="E69">
        <v>6.0003226510240104</v>
      </c>
      <c r="F69">
        <v>0.41058006522061502</v>
      </c>
      <c r="G69">
        <v>-131.63237319186922</v>
      </c>
      <c r="H69">
        <v>-75.63536368705519</v>
      </c>
      <c r="I69">
        <v>53.994545878510301</v>
      </c>
      <c r="J69">
        <v>23.839754125252298</v>
      </c>
      <c r="K69">
        <v>14.614257143244</v>
      </c>
      <c r="L69">
        <v>1.6573001620850665E-3</v>
      </c>
      <c r="M69">
        <v>4.3539960093590103E-4</v>
      </c>
      <c r="N69" s="1">
        <v>1.6624108739009501E-6</v>
      </c>
      <c r="O69" s="1">
        <v>9.1214790668422192E-6</v>
      </c>
      <c r="P69" s="1">
        <v>-1.85559406186955E-5</v>
      </c>
      <c r="AE69">
        <v>100</v>
      </c>
      <c r="AJ69">
        <v>1</v>
      </c>
    </row>
    <row r="70" spans="1:36" x14ac:dyDescent="0.2">
      <c r="A70">
        <v>69</v>
      </c>
      <c r="B70">
        <v>763</v>
      </c>
      <c r="C70">
        <v>175</v>
      </c>
      <c r="D70">
        <v>0.41325145973073701</v>
      </c>
      <c r="E70">
        <v>6.0237447774116299</v>
      </c>
      <c r="F70">
        <v>0.41126162494439</v>
      </c>
      <c r="G70">
        <v>-132.09200347371643</v>
      </c>
      <c r="H70">
        <v>-75.954548223285798</v>
      </c>
      <c r="I70">
        <v>54.1822153231603</v>
      </c>
      <c r="J70">
        <v>23.954335666915899</v>
      </c>
      <c r="K70">
        <v>14.646989682604399</v>
      </c>
      <c r="L70">
        <v>1.6599311622991152E-3</v>
      </c>
      <c r="M70">
        <v>4.3484956205187592E-4</v>
      </c>
      <c r="N70" s="1">
        <v>1.84976531828437E-6</v>
      </c>
      <c r="O70" s="1">
        <v>9.1352873138681008E-6</v>
      </c>
      <c r="P70" s="1">
        <v>-1.86569568110074E-5</v>
      </c>
      <c r="AE70">
        <v>100</v>
      </c>
      <c r="AJ70">
        <v>1</v>
      </c>
    </row>
    <row r="71" spans="1:36" x14ac:dyDescent="0.2">
      <c r="A71">
        <v>70</v>
      </c>
      <c r="B71">
        <v>762</v>
      </c>
      <c r="C71">
        <v>175</v>
      </c>
      <c r="D71">
        <v>0.41261701202724399</v>
      </c>
      <c r="E71">
        <v>6.0738075088638901</v>
      </c>
      <c r="F71">
        <v>0.411945399082977</v>
      </c>
      <c r="G71">
        <v>-133.13518585202641</v>
      </c>
      <c r="H71">
        <v>-76.609963044724481</v>
      </c>
      <c r="I71">
        <v>54.609185734369902</v>
      </c>
      <c r="J71">
        <v>24.175147390155701</v>
      </c>
      <c r="K71">
        <v>14.7442052329863</v>
      </c>
      <c r="L71">
        <v>1.6625582699135513E-3</v>
      </c>
      <c r="M71">
        <v>4.3429568703726639E-4</v>
      </c>
      <c r="N71" s="1">
        <v>2.04936109425482E-6</v>
      </c>
      <c r="O71" s="1">
        <v>9.18914325969304E-6</v>
      </c>
      <c r="P71" s="1">
        <v>-1.8840753405169E-5</v>
      </c>
      <c r="AE71">
        <v>100</v>
      </c>
      <c r="AJ71">
        <v>1</v>
      </c>
    </row>
    <row r="72" spans="1:36" x14ac:dyDescent="0.2">
      <c r="A72">
        <v>71</v>
      </c>
      <c r="B72">
        <v>761</v>
      </c>
      <c r="C72">
        <v>175</v>
      </c>
      <c r="D72">
        <v>0.411981337330175</v>
      </c>
      <c r="E72">
        <v>6.16231309501529</v>
      </c>
      <c r="F72">
        <v>0.412631393275806</v>
      </c>
      <c r="G72">
        <v>-135.01979624624869</v>
      </c>
      <c r="H72">
        <v>-77.750837450426445</v>
      </c>
      <c r="I72">
        <v>55.381216699496697</v>
      </c>
      <c r="J72">
        <v>24.549492962936299</v>
      </c>
      <c r="K72">
        <v>14.9341838634569</v>
      </c>
      <c r="L72">
        <v>1.6651813175267128E-3</v>
      </c>
      <c r="M72">
        <v>4.3373795712486944E-4</v>
      </c>
      <c r="N72" s="1">
        <v>2.2680163391159099E-6</v>
      </c>
      <c r="O72" s="1">
        <v>9.3005665123375706E-6</v>
      </c>
      <c r="P72" s="1">
        <v>-1.9144368100034901E-5</v>
      </c>
      <c r="AE72">
        <v>100</v>
      </c>
      <c r="AJ72">
        <v>1</v>
      </c>
    </row>
    <row r="73" spans="1:36" x14ac:dyDescent="0.2">
      <c r="A73">
        <v>72</v>
      </c>
      <c r="B73">
        <v>760</v>
      </c>
      <c r="C73">
        <v>175</v>
      </c>
      <c r="D73">
        <v>0.41134443207665999</v>
      </c>
      <c r="E73">
        <v>6.2509973690815404</v>
      </c>
      <c r="F73">
        <v>0.41331961311145299</v>
      </c>
      <c r="G73">
        <v>-136.90675311411923</v>
      </c>
      <c r="H73">
        <v>-78.894694366060378</v>
      </c>
      <c r="I73">
        <v>56.1541266540276</v>
      </c>
      <c r="J73">
        <v>24.925211291431101</v>
      </c>
      <c r="K73">
        <v>15.1238827551015</v>
      </c>
      <c r="L73">
        <v>1.6678001359930624E-3</v>
      </c>
      <c r="M73">
        <v>4.3317635369420935E-4</v>
      </c>
      <c r="N73" s="1">
        <v>2.4940827937859201E-6</v>
      </c>
      <c r="O73" s="1">
        <v>9.4115212766705698E-6</v>
      </c>
      <c r="P73" s="1">
        <v>-1.94492820721129E-5</v>
      </c>
      <c r="AE73">
        <v>100</v>
      </c>
      <c r="AJ73">
        <v>1</v>
      </c>
    </row>
    <row r="74" spans="1:36" x14ac:dyDescent="0.2">
      <c r="A74">
        <v>73</v>
      </c>
      <c r="B74">
        <v>759</v>
      </c>
      <c r="C74">
        <v>175</v>
      </c>
      <c r="D74">
        <v>0.41070629269001901</v>
      </c>
      <c r="E74">
        <v>6.3401208788966299</v>
      </c>
      <c r="F74">
        <v>0.41401006412639402</v>
      </c>
      <c r="G74">
        <v>-138.80175678016806</v>
      </c>
      <c r="H74">
        <v>-80.044826357127391</v>
      </c>
      <c r="I74">
        <v>56.930251058020197</v>
      </c>
      <c r="J74">
        <v>25.303344333955501</v>
      </c>
      <c r="K74">
        <v>15.313929366125301</v>
      </c>
      <c r="L74">
        <v>1.6704145544284377E-3</v>
      </c>
      <c r="M74">
        <v>4.3261085827785297E-4</v>
      </c>
      <c r="N74" s="1">
        <v>2.72777465824187E-6</v>
      </c>
      <c r="O74" s="1">
        <v>9.5223924138438693E-6</v>
      </c>
      <c r="P74" s="1">
        <v>-1.9756301186812099E-5</v>
      </c>
      <c r="AE74">
        <v>100</v>
      </c>
      <c r="AJ74">
        <v>1</v>
      </c>
    </row>
    <row r="75" spans="1:36" x14ac:dyDescent="0.2">
      <c r="A75">
        <v>74</v>
      </c>
      <c r="B75">
        <v>758</v>
      </c>
      <c r="C75">
        <v>175</v>
      </c>
      <c r="D75">
        <v>0.41006691557969399</v>
      </c>
      <c r="E75">
        <v>6.4577829371236799</v>
      </c>
      <c r="F75">
        <v>0.41470275180371802</v>
      </c>
      <c r="G75">
        <v>-141.31971135793256</v>
      </c>
      <c r="H75">
        <v>-81.556109228751652</v>
      </c>
      <c r="I75">
        <v>57.9617879737485</v>
      </c>
      <c r="J75">
        <v>25.796141955884899</v>
      </c>
      <c r="K75">
        <v>15.572076406621401</v>
      </c>
      <c r="L75">
        <v>1.6730244002158931E-3</v>
      </c>
      <c r="M75">
        <v>4.3204145256789725E-4</v>
      </c>
      <c r="N75" s="1">
        <v>2.9821951355569299E-6</v>
      </c>
      <c r="O75" s="1">
        <v>9.6752698768875507E-6</v>
      </c>
      <c r="P75" s="1">
        <v>-2.0153113605930901E-5</v>
      </c>
      <c r="AE75">
        <v>100</v>
      </c>
      <c r="AJ75">
        <v>1</v>
      </c>
    </row>
    <row r="76" spans="1:36" x14ac:dyDescent="0.2">
      <c r="A76">
        <v>75</v>
      </c>
      <c r="B76">
        <v>757</v>
      </c>
      <c r="C76">
        <v>175</v>
      </c>
      <c r="D76">
        <v>0.40942629714119499</v>
      </c>
      <c r="E76">
        <v>7.3418115368495904</v>
      </c>
      <c r="F76">
        <v>0.41539768157183499</v>
      </c>
      <c r="G76">
        <v>-160.59958110980668</v>
      </c>
      <c r="H76">
        <v>-92.749952291052935</v>
      </c>
      <c r="I76">
        <v>65.867912686651394</v>
      </c>
      <c r="J76">
        <v>29.3538810810897</v>
      </c>
      <c r="K76">
        <v>17.6741755251707</v>
      </c>
      <c r="L76">
        <v>1.6756294990119022E-3</v>
      </c>
      <c r="M76">
        <v>4.3146811842239516E-4</v>
      </c>
      <c r="N76" s="1">
        <v>3.6243983235561901E-6</v>
      </c>
      <c r="O76" s="1">
        <v>1.0972535572584001E-5</v>
      </c>
      <c r="P76" s="1">
        <v>-2.2946118295100702E-5</v>
      </c>
      <c r="AE76">
        <v>100</v>
      </c>
      <c r="AJ76">
        <v>1</v>
      </c>
    </row>
    <row r="77" spans="1:36" x14ac:dyDescent="0.2">
      <c r="A77">
        <v>76</v>
      </c>
      <c r="B77">
        <v>756</v>
      </c>
      <c r="C77">
        <v>175</v>
      </c>
      <c r="D77">
        <v>0.40878443375601398</v>
      </c>
      <c r="E77">
        <v>9.6516361742259793</v>
      </c>
      <c r="F77">
        <v>0.41609485880319902</v>
      </c>
      <c r="G77">
        <v>-211.039621937417</v>
      </c>
      <c r="H77">
        <v>-121.96883980946829</v>
      </c>
      <c r="I77">
        <v>86.553277352034101</v>
      </c>
      <c r="J77">
        <v>38.623734508391898</v>
      </c>
      <c r="K77">
        <v>23.195759260248099</v>
      </c>
      <c r="L77">
        <v>1.678229674753767E-3</v>
      </c>
      <c r="M77">
        <v>4.3089083787200741E-4</v>
      </c>
      <c r="N77" s="1">
        <v>5.0752261477613304E-6</v>
      </c>
      <c r="O77" s="1">
        <v>1.43887070112349E-5</v>
      </c>
      <c r="P77" s="1">
        <v>-3.0210005828970201E-5</v>
      </c>
      <c r="AE77">
        <v>100</v>
      </c>
      <c r="AJ77">
        <v>1</v>
      </c>
    </row>
    <row r="78" spans="1:36" x14ac:dyDescent="0.2">
      <c r="A78">
        <v>77</v>
      </c>
      <c r="B78">
        <v>755</v>
      </c>
      <c r="C78">
        <v>175</v>
      </c>
      <c r="D78">
        <v>0.40814132179156798</v>
      </c>
      <c r="E78">
        <v>10.4534737414657</v>
      </c>
      <c r="F78">
        <v>0.41679428881299901</v>
      </c>
      <c r="G78">
        <v>-228.4786248044642</v>
      </c>
      <c r="H78">
        <v>-132.1436050035627</v>
      </c>
      <c r="I78">
        <v>93.703255284241706</v>
      </c>
      <c r="J78">
        <v>41.8701963307646</v>
      </c>
      <c r="K78">
        <v>25.0806549466799</v>
      </c>
      <c r="L78">
        <v>1.6808247496673272E-3</v>
      </c>
      <c r="M78">
        <v>4.3030959312664798E-4</v>
      </c>
      <c r="N78" s="1">
        <v>5.8364445723059602E-6</v>
      </c>
      <c r="O78" s="1">
        <v>1.5545023728053601E-5</v>
      </c>
      <c r="P78" s="1">
        <v>-3.2768069833740999E-5</v>
      </c>
      <c r="AE78">
        <v>100</v>
      </c>
      <c r="AJ78">
        <v>1</v>
      </c>
    </row>
    <row r="79" spans="1:36" x14ac:dyDescent="0.2">
      <c r="A79">
        <v>78</v>
      </c>
      <c r="B79">
        <v>754</v>
      </c>
      <c r="C79">
        <v>175</v>
      </c>
      <c r="D79">
        <v>0.40749695760112897</v>
      </c>
      <c r="E79">
        <v>10.6907357152842</v>
      </c>
      <c r="F79">
        <v>0.41749597685781797</v>
      </c>
      <c r="G79">
        <v>-233.56858359656241</v>
      </c>
      <c r="H79">
        <v>-135.18570164303878</v>
      </c>
      <c r="I79">
        <v>95.7883462483437</v>
      </c>
      <c r="J79">
        <v>42.859096007803998</v>
      </c>
      <c r="K79">
        <v>25.6067993654584</v>
      </c>
      <c r="L79">
        <v>1.6834145442753245E-3</v>
      </c>
      <c r="M79">
        <v>4.2972436658222473E-4</v>
      </c>
      <c r="N79" s="1">
        <v>6.3195102679678396E-6</v>
      </c>
      <c r="O79" s="1">
        <v>1.58577320462522E-5</v>
      </c>
      <c r="P79" s="1">
        <v>-3.3560975764279398E-5</v>
      </c>
      <c r="AE79">
        <v>100</v>
      </c>
      <c r="AJ79">
        <v>1</v>
      </c>
    </row>
    <row r="80" spans="1:36" x14ac:dyDescent="0.2">
      <c r="A80">
        <v>79</v>
      </c>
      <c r="B80">
        <v>775</v>
      </c>
      <c r="C80">
        <v>150</v>
      </c>
      <c r="D80">
        <v>0.44700710776129698</v>
      </c>
      <c r="E80">
        <v>6.4032528526341004</v>
      </c>
      <c r="F80">
        <v>0.35562462570499698</v>
      </c>
      <c r="G80">
        <v>-141.52884171577966</v>
      </c>
      <c r="H80">
        <v>-80.110021697127294</v>
      </c>
      <c r="I80">
        <v>58.600853268272097</v>
      </c>
      <c r="J80">
        <v>25.058121581069798</v>
      </c>
      <c r="K80">
        <v>18.005650873980301</v>
      </c>
      <c r="L80">
        <v>1.74863251799447E-3</v>
      </c>
      <c r="M80">
        <v>5.7157698103235167E-4</v>
      </c>
      <c r="N80" s="1">
        <v>-1.0997111459086499E-5</v>
      </c>
      <c r="O80" s="1">
        <v>1.70672541356627E-5</v>
      </c>
      <c r="P80" s="1">
        <v>-2.5885506355765301E-5</v>
      </c>
      <c r="AE80">
        <v>100</v>
      </c>
      <c r="AJ80">
        <v>1</v>
      </c>
    </row>
    <row r="81" spans="1:36" x14ac:dyDescent="0.2">
      <c r="A81">
        <v>80</v>
      </c>
      <c r="B81">
        <v>774</v>
      </c>
      <c r="C81">
        <v>150</v>
      </c>
      <c r="D81">
        <v>0.44641216635630598</v>
      </c>
      <c r="E81">
        <v>6.4205622442224204</v>
      </c>
      <c r="F81">
        <v>0.35624768027248299</v>
      </c>
      <c r="G81">
        <v>-141.85267782911544</v>
      </c>
      <c r="H81">
        <v>-80.351715984806518</v>
      </c>
      <c r="I81">
        <v>58.735268189173198</v>
      </c>
      <c r="J81">
        <v>25.152945568147299</v>
      </c>
      <c r="K81">
        <v>18.022748216385601</v>
      </c>
      <c r="L81">
        <v>1.7523037160198556E-3</v>
      </c>
      <c r="M81">
        <v>5.7113666056184315E-4</v>
      </c>
      <c r="N81" s="1">
        <v>-1.0873689873799601E-5</v>
      </c>
      <c r="O81" s="1">
        <v>1.70837291182001E-5</v>
      </c>
      <c r="P81" s="1">
        <v>-2.60122022449066E-5</v>
      </c>
      <c r="AE81">
        <v>100</v>
      </c>
      <c r="AJ81">
        <v>1</v>
      </c>
    </row>
    <row r="82" spans="1:36" x14ac:dyDescent="0.2">
      <c r="A82">
        <v>81</v>
      </c>
      <c r="B82">
        <v>773</v>
      </c>
      <c r="C82">
        <v>150</v>
      </c>
      <c r="D82">
        <v>0.44581608755914398</v>
      </c>
      <c r="E82">
        <v>6.4405090467530801</v>
      </c>
      <c r="F82">
        <v>0.35687313754174299</v>
      </c>
      <c r="G82">
        <v>-142.23446678122909</v>
      </c>
      <c r="H82">
        <v>-80.626589895678023</v>
      </c>
      <c r="I82">
        <v>58.893621890092398</v>
      </c>
      <c r="J82">
        <v>25.258349994932502</v>
      </c>
      <c r="K82">
        <v>18.047054735241101</v>
      </c>
      <c r="L82">
        <v>1.7559802734019516E-3</v>
      </c>
      <c r="M82">
        <v>5.7069198063049403E-4</v>
      </c>
      <c r="N82" s="1">
        <v>-1.0751101121231799E-5</v>
      </c>
      <c r="O82" s="1">
        <v>1.7106932749646799E-5</v>
      </c>
      <c r="P82" s="1">
        <v>-2.6150129741577201E-5</v>
      </c>
      <c r="AE82">
        <v>100</v>
      </c>
      <c r="AJ82">
        <v>1</v>
      </c>
    </row>
    <row r="83" spans="1:36" x14ac:dyDescent="0.2">
      <c r="A83">
        <v>82</v>
      </c>
      <c r="B83">
        <v>772</v>
      </c>
      <c r="C83">
        <v>150</v>
      </c>
      <c r="D83">
        <v>0.44521886810505501</v>
      </c>
      <c r="E83">
        <v>6.4604744055020298</v>
      </c>
      <c r="F83">
        <v>0.35750100822311298</v>
      </c>
      <c r="G83">
        <v>-142.61632471283122</v>
      </c>
      <c r="H83">
        <v>-80.901879940018674</v>
      </c>
      <c r="I83">
        <v>59.051946469871197</v>
      </c>
      <c r="J83">
        <v>25.3640869993067</v>
      </c>
      <c r="K83">
        <v>18.0712061138302</v>
      </c>
      <c r="L83">
        <v>1.7596620566039769E-3</v>
      </c>
      <c r="M83">
        <v>5.7024290048188783E-4</v>
      </c>
      <c r="N83" s="1">
        <v>-1.0624790270247899E-5</v>
      </c>
      <c r="O83" s="1">
        <v>1.7129881951389901E-5</v>
      </c>
      <c r="P83" s="1">
        <v>-2.6288702151918402E-5</v>
      </c>
      <c r="AE83">
        <v>100</v>
      </c>
      <c r="AJ83">
        <v>1</v>
      </c>
    </row>
    <row r="84" spans="1:36" x14ac:dyDescent="0.2">
      <c r="A84">
        <v>83</v>
      </c>
      <c r="B84">
        <v>771</v>
      </c>
      <c r="C84">
        <v>150</v>
      </c>
      <c r="D84">
        <v>0.44462050471675502</v>
      </c>
      <c r="E84">
        <v>6.48045450905843</v>
      </c>
      <c r="F84">
        <v>0.35813130303401502</v>
      </c>
      <c r="G84">
        <v>-142.9981672862325</v>
      </c>
      <c r="H84">
        <v>-81.177538937409309</v>
      </c>
      <c r="I84">
        <v>59.210206256609403</v>
      </c>
      <c r="J84">
        <v>25.470142192060099</v>
      </c>
      <c r="K84">
        <v>18.095191495849001</v>
      </c>
      <c r="L84">
        <v>1.763348929080318E-3</v>
      </c>
      <c r="M84">
        <v>5.6978937911685359E-4</v>
      </c>
      <c r="N84" s="1">
        <v>-1.0494693417571401E-5</v>
      </c>
      <c r="O84" s="1">
        <v>1.71525638264706E-5</v>
      </c>
      <c r="P84" s="1">
        <v>-2.6427903971846199E-5</v>
      </c>
      <c r="AE84">
        <v>100</v>
      </c>
      <c r="AJ84">
        <v>1</v>
      </c>
    </row>
    <row r="85" spans="1:36" x14ac:dyDescent="0.2">
      <c r="A85">
        <v>84</v>
      </c>
      <c r="B85">
        <v>770</v>
      </c>
      <c r="C85">
        <v>150</v>
      </c>
      <c r="D85">
        <v>0.44402099410439499</v>
      </c>
      <c r="E85">
        <v>6.5004455851480101</v>
      </c>
      <c r="F85">
        <v>0.35876403269776902</v>
      </c>
      <c r="G85">
        <v>-143.3799111674544</v>
      </c>
      <c r="H85">
        <v>-81.453520138971072</v>
      </c>
      <c r="I85">
        <v>59.368365990145399</v>
      </c>
      <c r="J85">
        <v>25.576501249605599</v>
      </c>
      <c r="K85">
        <v>18.119000213781501</v>
      </c>
      <c r="L85">
        <v>1.7670407512394338E-3</v>
      </c>
      <c r="M85">
        <v>5.6933137529686657E-4</v>
      </c>
      <c r="N85" s="1">
        <v>-1.03607466312277E-5</v>
      </c>
      <c r="O85" s="1">
        <v>1.7174965617183599E-5</v>
      </c>
      <c r="P85" s="1">
        <v>-2.6567719583438901E-5</v>
      </c>
      <c r="AE85">
        <v>100</v>
      </c>
      <c r="AJ85">
        <v>1</v>
      </c>
    </row>
    <row r="86" spans="1:36" x14ac:dyDescent="0.2">
      <c r="A86">
        <v>85</v>
      </c>
      <c r="B86">
        <v>769</v>
      </c>
      <c r="C86">
        <v>150</v>
      </c>
      <c r="D86">
        <v>0.44342033296550898</v>
      </c>
      <c r="E86">
        <v>6.5204439101304299</v>
      </c>
      <c r="F86">
        <v>0.359399207942392</v>
      </c>
      <c r="G86">
        <v>-143.76147423369989</v>
      </c>
      <c r="H86">
        <v>-81.729777346994993</v>
      </c>
      <c r="I86">
        <v>59.526390908325403</v>
      </c>
      <c r="J86">
        <v>25.6831499511066</v>
      </c>
      <c r="K86">
        <v>18.1426218145021</v>
      </c>
      <c r="L86">
        <v>1.7707373804070827E-3</v>
      </c>
      <c r="M86">
        <v>5.6886884754770936E-4</v>
      </c>
      <c r="N86" s="1">
        <v>-1.02228859850236E-5</v>
      </c>
      <c r="O86" s="1">
        <v>1.71970747296714E-5</v>
      </c>
      <c r="P86" s="1">
        <v>-2.6708133290273999E-5</v>
      </c>
      <c r="AE86">
        <v>100</v>
      </c>
      <c r="AJ86">
        <v>1</v>
      </c>
    </row>
    <row r="87" spans="1:36" x14ac:dyDescent="0.2">
      <c r="A87">
        <v>86</v>
      </c>
      <c r="B87">
        <v>768</v>
      </c>
      <c r="C87">
        <v>150</v>
      </c>
      <c r="D87">
        <v>0.442818517984921</v>
      </c>
      <c r="E87">
        <v>6.5988312641348097</v>
      </c>
      <c r="F87">
        <v>0.36003683949936299</v>
      </c>
      <c r="G87">
        <v>-145.42951378456252</v>
      </c>
      <c r="H87">
        <v>-82.738320992756428</v>
      </c>
      <c r="I87">
        <v>60.2170379371561</v>
      </c>
      <c r="J87">
        <v>26.0202978149809</v>
      </c>
      <c r="K87">
        <v>18.328211283352399</v>
      </c>
      <c r="L87">
        <v>1.7744386707893424E-3</v>
      </c>
      <c r="M87">
        <v>5.6840175416322629E-4</v>
      </c>
      <c r="N87" s="1">
        <v>-1.01710393866279E-5</v>
      </c>
      <c r="O87" s="1">
        <v>1.7372588755648901E-5</v>
      </c>
      <c r="P87" s="1">
        <v>-2.7088806957166099E-5</v>
      </c>
      <c r="AE87">
        <v>100</v>
      </c>
      <c r="AJ87">
        <v>1</v>
      </c>
    </row>
    <row r="88" spans="1:36" x14ac:dyDescent="0.2">
      <c r="A88">
        <v>87</v>
      </c>
      <c r="B88">
        <v>767</v>
      </c>
      <c r="C88">
        <v>150</v>
      </c>
      <c r="D88">
        <v>0.44221554583473799</v>
      </c>
      <c r="E88">
        <v>6.6779683782746</v>
      </c>
      <c r="F88">
        <v>0.36067693810235402</v>
      </c>
      <c r="G88">
        <v>-147.11266457544821</v>
      </c>
      <c r="H88">
        <v>-83.756914961285077</v>
      </c>
      <c r="I88">
        <v>60.913878919139897</v>
      </c>
      <c r="J88">
        <v>26.361171049252</v>
      </c>
      <c r="K88">
        <v>18.515096677402401</v>
      </c>
      <c r="L88">
        <v>1.7781444734358755E-3</v>
      </c>
      <c r="M88">
        <v>5.6793005320932499E-4</v>
      </c>
      <c r="N88" s="1">
        <v>-1.0113141392980099E-5</v>
      </c>
      <c r="O88" s="1">
        <v>1.7549201022597501E-5</v>
      </c>
      <c r="P88" s="1">
        <v>-2.7474190141622399E-5</v>
      </c>
      <c r="AE88">
        <v>100</v>
      </c>
      <c r="AJ88">
        <v>1</v>
      </c>
    </row>
    <row r="89" spans="1:36" x14ac:dyDescent="0.2">
      <c r="A89">
        <v>88</v>
      </c>
      <c r="B89">
        <v>766</v>
      </c>
      <c r="C89">
        <v>150</v>
      </c>
      <c r="D89">
        <v>0.44161141317423203</v>
      </c>
      <c r="E89">
        <v>6.75749756732412</v>
      </c>
      <c r="F89">
        <v>0.36131951448594002</v>
      </c>
      <c r="G89">
        <v>-148.80303065283246</v>
      </c>
      <c r="H89">
        <v>-84.781081642629132</v>
      </c>
      <c r="I89">
        <v>61.6136419816862</v>
      </c>
      <c r="J89">
        <v>26.704368490091099</v>
      </c>
      <c r="K89">
        <v>18.702276783854899</v>
      </c>
      <c r="L89">
        <v>1.7818546362032702E-3</v>
      </c>
      <c r="M89">
        <v>5.6745370252813743E-4</v>
      </c>
      <c r="N89" s="1">
        <v>-1.0048459575072599E-5</v>
      </c>
      <c r="O89" s="1">
        <v>1.77259563560438E-5</v>
      </c>
      <c r="P89" s="1">
        <v>-2.7862832676508001E-5</v>
      </c>
      <c r="AE89">
        <v>100</v>
      </c>
      <c r="AJ89">
        <v>1</v>
      </c>
    </row>
    <row r="90" spans="1:36" x14ac:dyDescent="0.2">
      <c r="A90">
        <v>89</v>
      </c>
      <c r="B90">
        <v>765</v>
      </c>
      <c r="C90">
        <v>150</v>
      </c>
      <c r="D90">
        <v>0.44100611664981298</v>
      </c>
      <c r="E90">
        <v>6.8377454371534201</v>
      </c>
      <c r="F90">
        <v>0.36196457938427801</v>
      </c>
      <c r="G90">
        <v>-150.50779127456548</v>
      </c>
      <c r="H90">
        <v>-85.814925768257083</v>
      </c>
      <c r="I90">
        <v>62.319297292427102</v>
      </c>
      <c r="J90">
        <v>27.051189933553498</v>
      </c>
      <c r="K90">
        <v>18.8906479434667</v>
      </c>
      <c r="L90">
        <v>1.7855690037185882E-3</v>
      </c>
      <c r="M90">
        <v>5.669726597424163E-4</v>
      </c>
      <c r="N90" s="1">
        <v>-9.9772962661124402E-6</v>
      </c>
      <c r="O90" s="1">
        <v>1.79036979786224E-5</v>
      </c>
      <c r="P90" s="1">
        <v>-2.8256098947138099E-5</v>
      </c>
      <c r="AE90">
        <v>100</v>
      </c>
      <c r="AJ90">
        <v>1</v>
      </c>
    </row>
    <row r="91" spans="1:36" x14ac:dyDescent="0.2">
      <c r="A91">
        <v>90</v>
      </c>
      <c r="B91">
        <v>764</v>
      </c>
      <c r="C91">
        <v>150</v>
      </c>
      <c r="D91">
        <v>0.44039965289495597</v>
      </c>
      <c r="E91">
        <v>7.2255964523935399</v>
      </c>
      <c r="F91">
        <v>0.36261214352975601</v>
      </c>
      <c r="G91">
        <v>-158.97906302491347</v>
      </c>
      <c r="H91">
        <v>-90.711126560760917</v>
      </c>
      <c r="I91">
        <v>65.826612731181598</v>
      </c>
      <c r="J91">
        <v>28.617067167876101</v>
      </c>
      <c r="K91">
        <v>19.9265153727555</v>
      </c>
      <c r="L91">
        <v>1.7892874173430719E-3</v>
      </c>
      <c r="M91">
        <v>5.6648688226013035E-4</v>
      </c>
      <c r="N91" s="1">
        <v>-1.03385439906073E-5</v>
      </c>
      <c r="O91" s="1">
        <v>1.8884467394792799E-5</v>
      </c>
      <c r="P91" s="1">
        <v>-2.9924981840580799E-5</v>
      </c>
      <c r="AE91">
        <v>100</v>
      </c>
      <c r="AJ91">
        <v>1</v>
      </c>
    </row>
    <row r="92" spans="1:36" x14ac:dyDescent="0.2">
      <c r="A92">
        <v>91</v>
      </c>
      <c r="B92">
        <v>763</v>
      </c>
      <c r="C92">
        <v>150</v>
      </c>
      <c r="D92">
        <v>0.43979201853014099</v>
      </c>
      <c r="E92">
        <v>7.8714786842275002</v>
      </c>
      <c r="F92">
        <v>0.36326221765161398</v>
      </c>
      <c r="G92">
        <v>-173.11820137915262</v>
      </c>
      <c r="H92">
        <v>-98.850812758436817</v>
      </c>
      <c r="I92">
        <v>71.680638096977304</v>
      </c>
      <c r="J92">
        <v>31.2094882741664</v>
      </c>
      <c r="K92">
        <v>21.668861504822399</v>
      </c>
      <c r="L92">
        <v>1.7930097151359569E-3</v>
      </c>
      <c r="M92">
        <v>5.6599632727922827E-4</v>
      </c>
      <c r="N92" s="1">
        <v>-1.10359777213622E-5</v>
      </c>
      <c r="O92" s="1">
        <v>2.05344798941628E-5</v>
      </c>
      <c r="P92" s="1">
        <v>-3.2672200222557997E-5</v>
      </c>
      <c r="AE92">
        <v>100</v>
      </c>
      <c r="AJ92">
        <v>1</v>
      </c>
    </row>
    <row r="93" spans="1:36" x14ac:dyDescent="0.2">
      <c r="A93">
        <v>92</v>
      </c>
      <c r="B93">
        <v>762</v>
      </c>
      <c r="C93">
        <v>150</v>
      </c>
      <c r="D93">
        <v>0.439183210162781</v>
      </c>
      <c r="E93">
        <v>9.8817796379361997</v>
      </c>
      <c r="F93">
        <v>0.363914812474528</v>
      </c>
      <c r="G93">
        <v>-217.24097880446868</v>
      </c>
      <c r="H93">
        <v>-124.1355739588009</v>
      </c>
      <c r="I93">
        <v>89.949340488612606</v>
      </c>
      <c r="J93">
        <v>39.223406344916199</v>
      </c>
      <c r="K93">
        <v>27.154101177532699</v>
      </c>
      <c r="L93">
        <v>1.7967357318186277E-3</v>
      </c>
      <c r="M93">
        <v>5.6550095179265557E-4</v>
      </c>
      <c r="N93" s="1">
        <v>-1.35651273076938E-5</v>
      </c>
      <c r="O93" s="1">
        <v>2.5730839204525901E-5</v>
      </c>
      <c r="P93" s="1">
        <v>-4.1107396053135998E-5</v>
      </c>
      <c r="AE93">
        <v>100</v>
      </c>
      <c r="AJ93">
        <v>1</v>
      </c>
    </row>
    <row r="94" spans="1:36" x14ac:dyDescent="0.2">
      <c r="A94">
        <v>93</v>
      </c>
      <c r="B94">
        <v>761</v>
      </c>
      <c r="C94">
        <v>150</v>
      </c>
      <c r="D94">
        <v>0.43857322438717999</v>
      </c>
      <c r="E94">
        <v>10.4980805870669</v>
      </c>
      <c r="F94">
        <v>0.36456993871718202</v>
      </c>
      <c r="G94">
        <v>-230.69419572536847</v>
      </c>
      <c r="H94">
        <v>-131.91928026039469</v>
      </c>
      <c r="I94">
        <v>95.518950936848299</v>
      </c>
      <c r="J94">
        <v>41.715817753870098</v>
      </c>
      <c r="K94">
        <v>28.7957932681085</v>
      </c>
      <c r="L94">
        <v>1.8004652987390153E-3</v>
      </c>
      <c r="M94">
        <v>5.650007125935926E-4</v>
      </c>
      <c r="N94" s="1">
        <v>-1.4098699111663899E-5</v>
      </c>
      <c r="O94" s="1">
        <v>2.7284442284097999E-5</v>
      </c>
      <c r="P94" s="1">
        <v>-4.3768156856309E-5</v>
      </c>
      <c r="AE94">
        <v>100</v>
      </c>
      <c r="AJ94">
        <v>1</v>
      </c>
    </row>
    <row r="95" spans="1:36" x14ac:dyDescent="0.2">
      <c r="A95">
        <v>94</v>
      </c>
      <c r="B95">
        <v>760</v>
      </c>
      <c r="C95">
        <v>150</v>
      </c>
      <c r="D95">
        <v>0.43796205778444602</v>
      </c>
      <c r="E95">
        <v>10.709972701161</v>
      </c>
      <c r="F95">
        <v>0.365227607090785</v>
      </c>
      <c r="G95">
        <v>-235.25307591760745</v>
      </c>
      <c r="H95">
        <v>-134.62450603522342</v>
      </c>
      <c r="I95">
        <v>97.40569983684</v>
      </c>
      <c r="J95">
        <v>42.605024908865303</v>
      </c>
      <c r="K95">
        <v>29.3241050052902</v>
      </c>
      <c r="L95">
        <v>1.8041982438361383E-3</v>
      </c>
      <c r="M95">
        <v>5.6449556628087628E-4</v>
      </c>
      <c r="N95" s="1">
        <v>-1.4059285834323099E-5</v>
      </c>
      <c r="O95" s="1">
        <v>2.7782726172539001E-5</v>
      </c>
      <c r="P95" s="1">
        <v>-4.4750821473215701E-5</v>
      </c>
      <c r="AE95">
        <v>100</v>
      </c>
      <c r="AJ95">
        <v>1</v>
      </c>
    </row>
    <row r="96" spans="1:36" x14ac:dyDescent="0.2">
      <c r="A96">
        <v>95</v>
      </c>
      <c r="B96">
        <v>788</v>
      </c>
      <c r="C96">
        <v>125</v>
      </c>
      <c r="D96">
        <v>0.48055458700466802</v>
      </c>
      <c r="E96">
        <v>6.8512802711523699</v>
      </c>
      <c r="F96">
        <v>0.29456293014801499</v>
      </c>
      <c r="G96">
        <v>-152.78242387486151</v>
      </c>
      <c r="H96">
        <v>-84.915209734366769</v>
      </c>
      <c r="I96">
        <v>63.959981966529398</v>
      </c>
      <c r="J96">
        <v>25.863890931521301</v>
      </c>
      <c r="K96">
        <v>23.259139456922298</v>
      </c>
      <c r="L96">
        <v>1.7755161207574587E-3</v>
      </c>
      <c r="M96">
        <v>7.6194404098586799E-4</v>
      </c>
      <c r="N96" s="1">
        <v>-3.1233815915649901E-5</v>
      </c>
      <c r="O96" s="1">
        <v>3.4064125086703397E-5</v>
      </c>
      <c r="P96" s="1">
        <v>-3.57093223472669E-5</v>
      </c>
      <c r="AE96">
        <v>100</v>
      </c>
      <c r="AJ96">
        <v>1</v>
      </c>
    </row>
    <row r="97" spans="1:36" x14ac:dyDescent="0.2">
      <c r="A97">
        <v>96</v>
      </c>
      <c r="B97">
        <v>787</v>
      </c>
      <c r="C97">
        <v>125</v>
      </c>
      <c r="D97">
        <v>0.479998585105882</v>
      </c>
      <c r="E97">
        <v>6.8617988880896696</v>
      </c>
      <c r="F97">
        <v>0.29508706006717</v>
      </c>
      <c r="G97">
        <v>-152.95294133932487</v>
      </c>
      <c r="H97">
        <v>-85.071496926816096</v>
      </c>
      <c r="I97">
        <v>64.033741598071202</v>
      </c>
      <c r="J97">
        <v>25.933978784359301</v>
      </c>
      <c r="K97">
        <v>23.253472675242701</v>
      </c>
      <c r="L97">
        <v>1.7800201848946905E-3</v>
      </c>
      <c r="M97">
        <v>7.6175999597960389E-4</v>
      </c>
      <c r="N97" s="1">
        <v>-3.1260572340307901E-5</v>
      </c>
      <c r="O97" s="1">
        <v>3.4075411746798801E-5</v>
      </c>
      <c r="P97" s="1">
        <v>-3.5847745366000899E-5</v>
      </c>
      <c r="AE97">
        <v>100</v>
      </c>
      <c r="AJ97">
        <v>1</v>
      </c>
    </row>
    <row r="98" spans="1:36" x14ac:dyDescent="0.2">
      <c r="A98">
        <v>97</v>
      </c>
      <c r="B98">
        <v>786</v>
      </c>
      <c r="C98">
        <v>125</v>
      </c>
      <c r="D98">
        <v>0.47944153330501299</v>
      </c>
      <c r="E98">
        <v>6.8783921975096902</v>
      </c>
      <c r="F98">
        <v>0.295613456641098</v>
      </c>
      <c r="G98">
        <v>-153.25863821545903</v>
      </c>
      <c r="H98">
        <v>-85.303230138762416</v>
      </c>
      <c r="I98">
        <v>64.164041273751295</v>
      </c>
      <c r="J98">
        <v>26.027308853946199</v>
      </c>
      <c r="K98">
        <v>23.268197177710601</v>
      </c>
      <c r="L98">
        <v>1.7845417502645995E-3</v>
      </c>
      <c r="M98">
        <v>7.6157270578989546E-4</v>
      </c>
      <c r="N98" s="1">
        <v>-3.13127683208102E-5</v>
      </c>
      <c r="O98" s="1">
        <v>3.4116605771223998E-5</v>
      </c>
      <c r="P98" s="1">
        <v>-3.6018847006806503E-5</v>
      </c>
      <c r="AE98">
        <v>100</v>
      </c>
      <c r="AJ98">
        <v>1</v>
      </c>
    </row>
    <row r="99" spans="1:36" x14ac:dyDescent="0.2">
      <c r="A99">
        <v>98</v>
      </c>
      <c r="B99">
        <v>785</v>
      </c>
      <c r="C99">
        <v>125</v>
      </c>
      <c r="D99">
        <v>0.47888342862543298</v>
      </c>
      <c r="E99">
        <v>6.8949955324880401</v>
      </c>
      <c r="F99">
        <v>0.29614213385389898</v>
      </c>
      <c r="G99">
        <v>-153.56427337675603</v>
      </c>
      <c r="H99">
        <v>-85.535243995503293</v>
      </c>
      <c r="I99">
        <v>64.294263687660205</v>
      </c>
      <c r="J99">
        <v>26.120988643497899</v>
      </c>
      <c r="K99">
        <v>23.282723882477502</v>
      </c>
      <c r="L99">
        <v>1.7890808336215281E-3</v>
      </c>
      <c r="M99">
        <v>7.6138212501897771E-4</v>
      </c>
      <c r="N99" s="1">
        <v>-3.1362696331131897E-5</v>
      </c>
      <c r="O99" s="1">
        <v>3.4157551704672302E-5</v>
      </c>
      <c r="P99" s="1">
        <v>-3.6191027264841602E-5</v>
      </c>
      <c r="AE99">
        <v>100</v>
      </c>
      <c r="AJ99">
        <v>1</v>
      </c>
    </row>
    <row r="100" spans="1:36" x14ac:dyDescent="0.2">
      <c r="A100">
        <v>99</v>
      </c>
      <c r="B100">
        <v>784</v>
      </c>
      <c r="C100">
        <v>125</v>
      </c>
      <c r="D100">
        <v>0.47832426807926898</v>
      </c>
      <c r="E100">
        <v>6.9116060328927</v>
      </c>
      <c r="F100">
        <v>0.29667310577810901</v>
      </c>
      <c r="G100">
        <v>-153.86978309946622</v>
      </c>
      <c r="H100">
        <v>-85.767503505967554</v>
      </c>
      <c r="I100">
        <v>64.424381439617704</v>
      </c>
      <c r="J100">
        <v>26.215009197435901</v>
      </c>
      <c r="K100">
        <v>23.297042766195599</v>
      </c>
      <c r="L100">
        <v>1.7936374498817903E-3</v>
      </c>
      <c r="M100">
        <v>7.6118820764652681E-4</v>
      </c>
      <c r="N100" s="1">
        <v>-3.1410282459320201E-5</v>
      </c>
      <c r="O100" s="1">
        <v>3.4198233031281798E-5</v>
      </c>
      <c r="P100" s="1">
        <v>-3.6364280577184898E-5</v>
      </c>
      <c r="AE100">
        <v>100</v>
      </c>
      <c r="AJ100">
        <v>1</v>
      </c>
    </row>
    <row r="101" spans="1:36" x14ac:dyDescent="0.2">
      <c r="A101">
        <v>100</v>
      </c>
      <c r="B101">
        <v>783</v>
      </c>
      <c r="C101">
        <v>125</v>
      </c>
      <c r="D101">
        <v>0.47776404866733202</v>
      </c>
      <c r="E101">
        <v>6.9282208689780997</v>
      </c>
      <c r="F101">
        <v>0.297206386574835</v>
      </c>
      <c r="G101">
        <v>-154.17510444363296</v>
      </c>
      <c r="H101">
        <v>-85.999974015277829</v>
      </c>
      <c r="I101">
        <v>64.554367449489007</v>
      </c>
      <c r="J101">
        <v>26.309361622608598</v>
      </c>
      <c r="K101">
        <v>23.311143979180901</v>
      </c>
      <c r="L101">
        <v>1.7982116120702143E-3</v>
      </c>
      <c r="M101">
        <v>7.6099090702220942E-4</v>
      </c>
      <c r="N101" s="1">
        <v>-3.14554517958297E-5</v>
      </c>
      <c r="O101" s="1">
        <v>3.4238633410581797E-5</v>
      </c>
      <c r="P101" s="1">
        <v>-3.65386014439955E-5</v>
      </c>
      <c r="AE101">
        <v>100</v>
      </c>
      <c r="AJ101">
        <v>1</v>
      </c>
    </row>
    <row r="102" spans="1:36" x14ac:dyDescent="0.2">
      <c r="A102">
        <v>101</v>
      </c>
      <c r="B102">
        <v>782</v>
      </c>
      <c r="C102">
        <v>125</v>
      </c>
      <c r="D102">
        <v>0.47720276737904699</v>
      </c>
      <c r="E102">
        <v>6.9448372475333802</v>
      </c>
      <c r="F102">
        <v>0.29774199049387401</v>
      </c>
      <c r="G102">
        <v>-154.48017538833759</v>
      </c>
      <c r="H102">
        <v>-86.232621281536353</v>
      </c>
      <c r="I102">
        <v>64.684195014107999</v>
      </c>
      <c r="J102">
        <v>26.404037111250801</v>
      </c>
      <c r="K102">
        <v>23.325017865346201</v>
      </c>
      <c r="L102">
        <v>1.8028033312655956E-3</v>
      </c>
      <c r="M102">
        <v>7.6079017585822513E-4</v>
      </c>
      <c r="N102" s="1">
        <v>-3.14981284525914E-5</v>
      </c>
      <c r="O102" s="1">
        <v>3.4278736706395797E-5</v>
      </c>
      <c r="P102" s="1">
        <v>-3.6713984458478603E-5</v>
      </c>
      <c r="AE102">
        <v>100</v>
      </c>
      <c r="AJ102">
        <v>1</v>
      </c>
    </row>
    <row r="103" spans="1:36" x14ac:dyDescent="0.2">
      <c r="A103">
        <v>102</v>
      </c>
      <c r="B103">
        <v>781</v>
      </c>
      <c r="C103">
        <v>125</v>
      </c>
      <c r="D103">
        <v>0.476640421192431</v>
      </c>
      <c r="E103">
        <v>6.9614524182350896</v>
      </c>
      <c r="F103">
        <v>0.29827993187381202</v>
      </c>
      <c r="G103">
        <v>-154.78493497115352</v>
      </c>
      <c r="H103">
        <v>-86.465411555298502</v>
      </c>
      <c r="I103">
        <v>64.813837865968594</v>
      </c>
      <c r="J103">
        <v>26.4990269648729</v>
      </c>
      <c r="K103">
        <v>23.338654982595799</v>
      </c>
      <c r="L103">
        <v>1.8074126165450437E-3</v>
      </c>
      <c r="M103">
        <v>7.6058596622182622E-4</v>
      </c>
      <c r="N103" s="1">
        <v>-3.1538235582976997E-5</v>
      </c>
      <c r="O103" s="1">
        <v>3.4318527016515801E-5</v>
      </c>
      <c r="P103" s="1">
        <v>-3.6890424338307603E-5</v>
      </c>
      <c r="AE103">
        <v>100</v>
      </c>
      <c r="AJ103">
        <v>1</v>
      </c>
    </row>
    <row r="104" spans="1:36" x14ac:dyDescent="0.2">
      <c r="A104">
        <v>103</v>
      </c>
      <c r="B104">
        <v>780</v>
      </c>
      <c r="C104">
        <v>125</v>
      </c>
      <c r="D104">
        <v>0.47607700707401701</v>
      </c>
      <c r="E104">
        <v>6.9780636797418998</v>
      </c>
      <c r="F104">
        <v>0.29882022514210899</v>
      </c>
      <c r="G104">
        <v>-155.08932342150834</v>
      </c>
      <c r="H104">
        <v>-86.698311655981627</v>
      </c>
      <c r="I104">
        <v>64.943270229375102</v>
      </c>
      <c r="J104">
        <v>26.594322617343401</v>
      </c>
      <c r="K104">
        <v>23.3520461221236</v>
      </c>
      <c r="L104">
        <v>1.8120394749271233E-3</v>
      </c>
      <c r="M104">
        <v>7.603782295277845E-4</v>
      </c>
      <c r="N104" s="1">
        <v>-3.1575695400507403E-5</v>
      </c>
      <c r="O104" s="1">
        <v>3.4357988700859603E-5</v>
      </c>
      <c r="P104" s="1">
        <v>-3.7067915956075699E-5</v>
      </c>
      <c r="AE104">
        <v>100</v>
      </c>
      <c r="AJ104">
        <v>1</v>
      </c>
    </row>
    <row r="105" spans="1:36" x14ac:dyDescent="0.2">
      <c r="A105">
        <v>104</v>
      </c>
      <c r="B105">
        <v>779</v>
      </c>
      <c r="C105">
        <v>125</v>
      </c>
      <c r="D105">
        <v>0.475512521978807</v>
      </c>
      <c r="E105">
        <v>6.9946683856060998</v>
      </c>
      <c r="F105">
        <v>0.29936288481516998</v>
      </c>
      <c r="G105">
        <v>-155.39328228964141</v>
      </c>
      <c r="H105">
        <v>-86.931289046140165</v>
      </c>
      <c r="I105">
        <v>65.072466874754795</v>
      </c>
      <c r="J105">
        <v>26.6899156574421</v>
      </c>
      <c r="K105">
        <v>23.365182326876202</v>
      </c>
      <c r="L105">
        <v>1.8166839113140031E-3</v>
      </c>
      <c r="M105">
        <v>7.601669165309006E-4</v>
      </c>
      <c r="N105" s="1">
        <v>-3.1610429196659797E-5</v>
      </c>
      <c r="O105" s="1">
        <v>3.4397106408489099E-5</v>
      </c>
      <c r="P105" s="1">
        <v>-3.7246454369154798E-5</v>
      </c>
      <c r="AE105">
        <v>100</v>
      </c>
      <c r="AJ105">
        <v>1</v>
      </c>
    </row>
    <row r="106" spans="1:36" x14ac:dyDescent="0.2">
      <c r="A106">
        <v>105</v>
      </c>
      <c r="B106">
        <v>778</v>
      </c>
      <c r="C106">
        <v>125</v>
      </c>
      <c r="D106">
        <v>0.47494696285021398</v>
      </c>
      <c r="E106">
        <v>7.0112639503123297</v>
      </c>
      <c r="F106">
        <v>0.29990792549838502</v>
      </c>
      <c r="G106">
        <v>-155.69675457805579</v>
      </c>
      <c r="H106">
        <v>-87.164311907457119</v>
      </c>
      <c r="I106">
        <v>65.201403174020697</v>
      </c>
      <c r="J106">
        <v>26.785797852054198</v>
      </c>
      <c r="K106">
        <v>23.378054910223</v>
      </c>
      <c r="L106">
        <v>1.8213459284321186E-3</v>
      </c>
      <c r="M106">
        <v>7.599519773183735E-4</v>
      </c>
      <c r="N106" s="1">
        <v>-3.16423573590678E-5</v>
      </c>
      <c r="O106" s="1">
        <v>3.4435865105017697E-5</v>
      </c>
      <c r="P106" s="1">
        <v>-3.7426034850624601E-5</v>
      </c>
      <c r="AE106">
        <v>100</v>
      </c>
      <c r="AJ106">
        <v>1</v>
      </c>
    </row>
    <row r="107" spans="1:36" x14ac:dyDescent="0.2">
      <c r="A107">
        <v>106</v>
      </c>
      <c r="B107">
        <v>777</v>
      </c>
      <c r="C107">
        <v>125</v>
      </c>
      <c r="D107">
        <v>0.47438032662001101</v>
      </c>
      <c r="E107">
        <v>7.0636808650592799</v>
      </c>
      <c r="F107">
        <v>0.30045536188616701</v>
      </c>
      <c r="G107">
        <v>-156.79508317138109</v>
      </c>
      <c r="H107">
        <v>-87.842963597052602</v>
      </c>
      <c r="I107">
        <v>65.663154641031397</v>
      </c>
      <c r="J107">
        <v>27.019024691175101</v>
      </c>
      <c r="K107">
        <v>23.5099178151311</v>
      </c>
      <c r="L107">
        <v>1.8260255267720869E-3</v>
      </c>
      <c r="M107">
        <v>7.5973336130231159E-4</v>
      </c>
      <c r="N107" s="1">
        <v>-3.1832882902953102E-5</v>
      </c>
      <c r="O107" s="1">
        <v>3.4650024556644101E-5</v>
      </c>
      <c r="P107" s="1">
        <v>-3.7798398614049103E-5</v>
      </c>
      <c r="AE107">
        <v>100</v>
      </c>
      <c r="AJ107">
        <v>1</v>
      </c>
    </row>
    <row r="108" spans="1:36" x14ac:dyDescent="0.2">
      <c r="A108">
        <v>107</v>
      </c>
      <c r="B108">
        <v>776</v>
      </c>
      <c r="C108">
        <v>125</v>
      </c>
      <c r="D108">
        <v>0.47381261020826598</v>
      </c>
      <c r="E108">
        <v>7.13282089938438</v>
      </c>
      <c r="F108">
        <v>0.30100520876195502</v>
      </c>
      <c r="G108">
        <v>-158.26351668851228</v>
      </c>
      <c r="H108">
        <v>-88.73007976397345</v>
      </c>
      <c r="I108">
        <v>66.279863472966497</v>
      </c>
      <c r="J108">
        <v>27.316960621235499</v>
      </c>
      <c r="K108">
        <v>23.696669332473999</v>
      </c>
      <c r="L108">
        <v>1.8307227045269469E-3</v>
      </c>
      <c r="M108">
        <v>7.5951101721206862E-4</v>
      </c>
      <c r="N108" s="1">
        <v>-3.2095258333664102E-5</v>
      </c>
      <c r="O108" s="1">
        <v>3.4945355210099099E-5</v>
      </c>
      <c r="P108" s="1">
        <v>-3.8262525082519302E-5</v>
      </c>
      <c r="AE108">
        <v>100</v>
      </c>
      <c r="AJ108">
        <v>1</v>
      </c>
    </row>
    <row r="109" spans="1:36" x14ac:dyDescent="0.2">
      <c r="A109">
        <v>108</v>
      </c>
      <c r="B109">
        <v>775</v>
      </c>
      <c r="C109">
        <v>125</v>
      </c>
      <c r="D109">
        <v>0.473243810523307</v>
      </c>
      <c r="E109">
        <v>7.20232851168383</v>
      </c>
      <c r="F109">
        <v>0.301557480998209</v>
      </c>
      <c r="G109">
        <v>-159.73884374210675</v>
      </c>
      <c r="H109">
        <v>-89.622333033407671</v>
      </c>
      <c r="I109">
        <v>66.899425009156204</v>
      </c>
      <c r="J109">
        <v>27.617131774211099</v>
      </c>
      <c r="K109">
        <v>23.883766663134399</v>
      </c>
      <c r="L109">
        <v>1.8354374575295625E-3</v>
      </c>
      <c r="M109">
        <v>7.5928489308669817E-4</v>
      </c>
      <c r="N109" s="1">
        <v>-3.2355529151628199E-5</v>
      </c>
      <c r="O109" s="1">
        <v>3.5241514720048502E-5</v>
      </c>
      <c r="P109" s="1">
        <v>-3.8731147731763602E-5</v>
      </c>
      <c r="AE109">
        <v>100</v>
      </c>
      <c r="AJ109">
        <v>1</v>
      </c>
    </row>
    <row r="110" spans="1:36" x14ac:dyDescent="0.2">
      <c r="A110">
        <v>109</v>
      </c>
      <c r="B110">
        <v>774</v>
      </c>
      <c r="C110">
        <v>125</v>
      </c>
      <c r="D110">
        <v>0.47267392446163797</v>
      </c>
      <c r="E110">
        <v>7.2724984847465004</v>
      </c>
      <c r="F110">
        <v>0.30211219355637597</v>
      </c>
      <c r="G110">
        <v>-161.22759009094804</v>
      </c>
      <c r="H110">
        <v>-90.523398058204478</v>
      </c>
      <c r="I110">
        <v>67.524570312714602</v>
      </c>
      <c r="J110">
        <v>27.920680707693901</v>
      </c>
      <c r="K110">
        <v>24.0721779519614</v>
      </c>
      <c r="L110">
        <v>1.8401697791886685E-3</v>
      </c>
      <c r="M110">
        <v>7.5905493626736149E-4</v>
      </c>
      <c r="N110" s="1">
        <v>-3.2614872862732698E-5</v>
      </c>
      <c r="O110" s="1">
        <v>3.5539931511446401E-5</v>
      </c>
      <c r="P110" s="1">
        <v>-3.92058952421406E-5</v>
      </c>
      <c r="AE110">
        <v>100</v>
      </c>
      <c r="AJ110">
        <v>1</v>
      </c>
    </row>
    <row r="111" spans="1:36" x14ac:dyDescent="0.2">
      <c r="A111">
        <v>110</v>
      </c>
      <c r="B111">
        <v>773</v>
      </c>
      <c r="C111">
        <v>125</v>
      </c>
      <c r="D111">
        <v>0.472102948907902</v>
      </c>
      <c r="E111">
        <v>7.3437538655264296</v>
      </c>
      <c r="F111">
        <v>0.30266936148683299</v>
      </c>
      <c r="G111">
        <v>-162.73911291899788</v>
      </c>
      <c r="H111">
        <v>-91.438551081569329</v>
      </c>
      <c r="I111">
        <v>68.1592165409822</v>
      </c>
      <c r="J111">
        <v>28.229248705393399</v>
      </c>
      <c r="K111">
        <v>24.263287930601798</v>
      </c>
      <c r="L111">
        <v>1.8449196604234806E-3</v>
      </c>
      <c r="M111">
        <v>7.5882109338966256E-4</v>
      </c>
      <c r="N111" s="1">
        <v>-3.2875027763115902E-5</v>
      </c>
      <c r="O111" s="1">
        <v>3.5842652576515402E-5</v>
      </c>
      <c r="P111" s="1">
        <v>-3.9689105770333998E-5</v>
      </c>
      <c r="AE111">
        <v>100</v>
      </c>
      <c r="AJ111">
        <v>1</v>
      </c>
    </row>
    <row r="112" spans="1:36" x14ac:dyDescent="0.2">
      <c r="A112">
        <v>111</v>
      </c>
      <c r="B112">
        <v>772</v>
      </c>
      <c r="C112">
        <v>125</v>
      </c>
      <c r="D112">
        <v>0.47153088073482102</v>
      </c>
      <c r="E112">
        <v>7.8078061826179397</v>
      </c>
      <c r="F112">
        <v>0.30322899992881802</v>
      </c>
      <c r="G112">
        <v>-172.95015692622914</v>
      </c>
      <c r="H112">
        <v>-97.246591223632748</v>
      </c>
      <c r="I112">
        <v>72.437481518201494</v>
      </c>
      <c r="J112">
        <v>30.0504653932969</v>
      </c>
      <c r="K112">
        <v>25.748876870123802</v>
      </c>
      <c r="L112">
        <v>1.8496870895973502E-3</v>
      </c>
      <c r="M112">
        <v>7.5858331037610032E-4</v>
      </c>
      <c r="N112" s="1">
        <v>-3.4886027599033198E-5</v>
      </c>
      <c r="O112" s="1">
        <v>3.8059044571751999E-5</v>
      </c>
      <c r="P112" s="1">
        <v>-4.2303165644720201E-5</v>
      </c>
      <c r="AE112">
        <v>100</v>
      </c>
      <c r="AJ112">
        <v>1</v>
      </c>
    </row>
    <row r="113" spans="1:36" x14ac:dyDescent="0.2">
      <c r="A113">
        <v>112</v>
      </c>
      <c r="B113">
        <v>771</v>
      </c>
      <c r="C113">
        <v>125</v>
      </c>
      <c r="D113">
        <v>0.47095771680314102</v>
      </c>
      <c r="E113">
        <v>8.7616036311489793</v>
      </c>
      <c r="F113">
        <v>0.30379112411033399</v>
      </c>
      <c r="G113">
        <v>-193.99638580353096</v>
      </c>
      <c r="H113">
        <v>-109.15992555406824</v>
      </c>
      <c r="I113">
        <v>81.254105422673504</v>
      </c>
      <c r="J113">
        <v>33.763610053560697</v>
      </c>
      <c r="K113">
        <v>28.840880907260601</v>
      </c>
      <c r="L113">
        <v>1.8544720524500771E-3</v>
      </c>
      <c r="M113">
        <v>7.5834153242849002E-4</v>
      </c>
      <c r="N113" s="1">
        <v>-3.9069520695072401E-5</v>
      </c>
      <c r="O113" s="1">
        <v>4.2653728426715498E-5</v>
      </c>
      <c r="P113" s="1">
        <v>-4.7590829048330702E-5</v>
      </c>
      <c r="AE113">
        <v>100</v>
      </c>
      <c r="AJ113">
        <v>1</v>
      </c>
    </row>
    <row r="114" spans="1:36" x14ac:dyDescent="0.2">
      <c r="A114">
        <v>113</v>
      </c>
      <c r="B114">
        <v>770</v>
      </c>
      <c r="C114">
        <v>125</v>
      </c>
      <c r="D114">
        <v>0.47038345396155901</v>
      </c>
      <c r="E114">
        <v>9.8604690317392407</v>
      </c>
      <c r="F114">
        <v>0.30435574934801402</v>
      </c>
      <c r="G114">
        <v>-218.23565535863591</v>
      </c>
      <c r="H114">
        <v>-122.88859947591064</v>
      </c>
      <c r="I114">
        <v>91.4084251053131</v>
      </c>
      <c r="J114">
        <v>38.045917808932501</v>
      </c>
      <c r="K114">
        <v>32.397840529913303</v>
      </c>
      <c r="L114">
        <v>1.8592745320286448E-3</v>
      </c>
      <c r="M114">
        <v>7.5809570402031587E-4</v>
      </c>
      <c r="N114" s="1">
        <v>-4.38773614635428E-5</v>
      </c>
      <c r="O114" s="1">
        <v>4.7941673540318497E-5</v>
      </c>
      <c r="P114" s="1">
        <v>-5.3695544801710703E-5</v>
      </c>
      <c r="AE114">
        <v>100</v>
      </c>
      <c r="AJ114">
        <v>1</v>
      </c>
    </row>
    <row r="115" spans="1:36" x14ac:dyDescent="0.2">
      <c r="A115">
        <v>114</v>
      </c>
      <c r="B115">
        <v>769</v>
      </c>
      <c r="C115">
        <v>125</v>
      </c>
      <c r="D115">
        <v>0.46980808904668597</v>
      </c>
      <c r="E115">
        <v>10.4628518010548</v>
      </c>
      <c r="F115">
        <v>0.304922891046987</v>
      </c>
      <c r="G115">
        <v>-231.47084692563766</v>
      </c>
      <c r="H115">
        <v>-130.43634332207318</v>
      </c>
      <c r="I115">
        <v>96.953884843695903</v>
      </c>
      <c r="J115">
        <v>40.421079201172603</v>
      </c>
      <c r="K115">
        <v>34.313107045290799</v>
      </c>
      <c r="L115">
        <v>1.8640945086170369E-3</v>
      </c>
      <c r="M115">
        <v>7.5784576888920777E-4</v>
      </c>
      <c r="N115" s="1">
        <v>-4.6455468365360501E-5</v>
      </c>
      <c r="O115" s="1">
        <v>5.0804894766516098E-5</v>
      </c>
      <c r="P115" s="1">
        <v>-5.7121151738902101E-5</v>
      </c>
      <c r="AE115">
        <v>100</v>
      </c>
      <c r="AJ115">
        <v>1</v>
      </c>
    </row>
    <row r="116" spans="1:36" x14ac:dyDescent="0.2">
      <c r="A116">
        <v>115</v>
      </c>
      <c r="B116">
        <v>768</v>
      </c>
      <c r="C116">
        <v>125</v>
      </c>
      <c r="D116">
        <v>0.46923161888296799</v>
      </c>
      <c r="E116">
        <v>10.6948621113961</v>
      </c>
      <c r="F116">
        <v>0.30549256470070202</v>
      </c>
      <c r="G116">
        <v>-236.50455314289138</v>
      </c>
      <c r="H116">
        <v>-133.37007002977549</v>
      </c>
      <c r="I116">
        <v>99.064115036215497</v>
      </c>
      <c r="J116">
        <v>41.369710066310503</v>
      </c>
      <c r="K116">
        <v>35.008583995732003</v>
      </c>
      <c r="L116">
        <v>1.8689319596645415E-3</v>
      </c>
      <c r="M116">
        <v>7.5759167002939119E-4</v>
      </c>
      <c r="N116" s="1">
        <v>-4.7376184340646401E-5</v>
      </c>
      <c r="O116" s="1">
        <v>5.1864255638528497E-5</v>
      </c>
      <c r="P116" s="1">
        <v>-5.8537405117435501E-5</v>
      </c>
      <c r="AE116">
        <v>100</v>
      </c>
      <c r="AJ116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787CD-64FA-4BA2-978D-E60A1F43736B}">
  <sheetPr codeName="Sheet14"/>
  <dimension ref="A1:AU116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758</v>
      </c>
      <c r="C2">
        <v>275</v>
      </c>
      <c r="D2">
        <v>0.303389904475587</v>
      </c>
      <c r="E2">
        <v>201.66377639325839</v>
      </c>
      <c r="F2">
        <v>63.505235740007514</v>
      </c>
      <c r="G2">
        <v>71.533361825438121</v>
      </c>
      <c r="H2">
        <v>66.935992074197529</v>
      </c>
      <c r="J2">
        <v>53.265838876653902</v>
      </c>
      <c r="L2">
        <v>6.5542922379790394</v>
      </c>
      <c r="M2">
        <v>14.419615178453801</v>
      </c>
      <c r="N2">
        <v>2.5754868775012407</v>
      </c>
      <c r="O2">
        <v>22.67029579908661</v>
      </c>
      <c r="P2">
        <v>11.303761201598904</v>
      </c>
      <c r="Q2">
        <v>1.1525338892413637</v>
      </c>
      <c r="R2">
        <v>13.518872980567114</v>
      </c>
      <c r="S2">
        <v>36.898903762046764</v>
      </c>
      <c r="U2">
        <v>2.7463652703513834</v>
      </c>
      <c r="V2">
        <v>45.175670320361171</v>
      </c>
      <c r="W2">
        <v>22.204080450090061</v>
      </c>
      <c r="X2">
        <v>51.095304514156474</v>
      </c>
      <c r="Y2">
        <v>7.7567131718524962</v>
      </c>
      <c r="Z2">
        <v>34.015456954476555</v>
      </c>
      <c r="AA2">
        <v>4.5672646236655927</v>
      </c>
      <c r="AB2">
        <v>34.185493994277515</v>
      </c>
      <c r="AC2">
        <v>5.1773996173572862E-4</v>
      </c>
      <c r="AD2">
        <v>9.1088703040820267</v>
      </c>
      <c r="AE2">
        <v>14.62405019954255</v>
      </c>
      <c r="AF2">
        <v>14.094916837322211</v>
      </c>
      <c r="AG2">
        <v>19.666388043627013</v>
      </c>
      <c r="AH2">
        <v>7.1612650495612007</v>
      </c>
      <c r="AI2">
        <v>2.5237393891841609</v>
      </c>
      <c r="AK2">
        <v>48.507614865250105</v>
      </c>
    </row>
    <row r="3" spans="1:47" x14ac:dyDescent="0.2">
      <c r="A3">
        <v>2</v>
      </c>
      <c r="B3">
        <v>757</v>
      </c>
      <c r="C3">
        <v>275</v>
      </c>
      <c r="D3">
        <v>0.30264573120419402</v>
      </c>
      <c r="E3">
        <v>201.53955771193645</v>
      </c>
      <c r="F3">
        <v>63.120187303954651</v>
      </c>
      <c r="G3">
        <v>71.4700631037378</v>
      </c>
      <c r="H3">
        <v>66.870286009600875</v>
      </c>
      <c r="J3">
        <v>53.18792897891224</v>
      </c>
      <c r="L3">
        <v>6.4456026472633274</v>
      </c>
      <c r="M3">
        <v>14.344475839845433</v>
      </c>
      <c r="N3">
        <v>2.576591415893744</v>
      </c>
      <c r="O3">
        <v>22.288868726583988</v>
      </c>
      <c r="P3">
        <v>11.199749573514801</v>
      </c>
      <c r="Q3">
        <v>1.0849385887887848</v>
      </c>
      <c r="R3">
        <v>13.295006660990726</v>
      </c>
      <c r="S3">
        <v>36.430602332685986</v>
      </c>
      <c r="U3">
        <v>2.659477646521669</v>
      </c>
      <c r="V3">
        <v>45.051377762692113</v>
      </c>
      <c r="W3">
        <v>21.988829264747856</v>
      </c>
      <c r="X3">
        <v>50.865878819663607</v>
      </c>
      <c r="Y3">
        <v>7.6666660640624347</v>
      </c>
      <c r="Z3">
        <v>33.808444939490812</v>
      </c>
      <c r="AA3">
        <v>4.4806900514712833</v>
      </c>
      <c r="AB3">
        <v>34.027006143023343</v>
      </c>
      <c r="AD3">
        <v>8.9914738186897569</v>
      </c>
      <c r="AE3">
        <v>14.530890796307945</v>
      </c>
      <c r="AF3">
        <v>14.017789972406263</v>
      </c>
      <c r="AG3">
        <v>19.492037086635928</v>
      </c>
      <c r="AH3">
        <v>7.0229671110775254</v>
      </c>
      <c r="AI3">
        <v>2.5245576519457309</v>
      </c>
      <c r="AK3">
        <v>48.499609070193173</v>
      </c>
    </row>
    <row r="4" spans="1:47" x14ac:dyDescent="0.2">
      <c r="A4">
        <v>3</v>
      </c>
      <c r="B4">
        <v>756</v>
      </c>
      <c r="C4">
        <v>275</v>
      </c>
      <c r="D4">
        <v>0.30190011174270298</v>
      </c>
      <c r="E4">
        <v>201.4134036852542</v>
      </c>
      <c r="F4">
        <v>62.728804567187936</v>
      </c>
      <c r="G4">
        <v>71.405796542954079</v>
      </c>
      <c r="H4">
        <v>66.803625116143749</v>
      </c>
      <c r="J4">
        <v>53.10687411813479</v>
      </c>
      <c r="L4">
        <v>6.3339981691258593</v>
      </c>
      <c r="M4">
        <v>14.266648975111606</v>
      </c>
      <c r="N4">
        <v>2.5785645628026557</v>
      </c>
      <c r="O4">
        <v>21.905059487374576</v>
      </c>
      <c r="P4">
        <v>11.094678601407695</v>
      </c>
      <c r="Q4">
        <v>1.0152351996976468</v>
      </c>
      <c r="R4">
        <v>13.066618701918362</v>
      </c>
      <c r="S4">
        <v>35.949000890444921</v>
      </c>
      <c r="U4">
        <v>2.5701961729401943</v>
      </c>
      <c r="V4">
        <v>44.922437115898219</v>
      </c>
      <c r="W4">
        <v>21.768572509991881</v>
      </c>
      <c r="X4">
        <v>50.628461256374905</v>
      </c>
      <c r="Y4">
        <v>7.5752072797089625</v>
      </c>
      <c r="Z4">
        <v>33.597947666326256</v>
      </c>
      <c r="AA4">
        <v>4.3931502636862714</v>
      </c>
      <c r="AB4">
        <v>33.863925431491189</v>
      </c>
      <c r="AD4">
        <v>8.871692409538058</v>
      </c>
      <c r="AE4">
        <v>14.436427266441177</v>
      </c>
      <c r="AF4">
        <v>13.938844481009205</v>
      </c>
      <c r="AG4">
        <v>19.313964393316642</v>
      </c>
      <c r="AH4">
        <v>6.8816024209032509</v>
      </c>
      <c r="AI4">
        <v>2.5262436941593056</v>
      </c>
      <c r="AK4">
        <v>48.490567009466851</v>
      </c>
    </row>
    <row r="5" spans="1:47" x14ac:dyDescent="0.2">
      <c r="A5">
        <v>4</v>
      </c>
      <c r="B5">
        <v>755</v>
      </c>
      <c r="C5">
        <v>275</v>
      </c>
      <c r="D5">
        <v>0.30115304187132302</v>
      </c>
      <c r="E5">
        <v>201.2874048630224</v>
      </c>
      <c r="F5">
        <v>62.338118458201087</v>
      </c>
      <c r="G5">
        <v>71.341613083673906</v>
      </c>
      <c r="H5">
        <v>66.737060355211867</v>
      </c>
      <c r="J5">
        <v>53.026417962602892</v>
      </c>
      <c r="L5">
        <v>6.2223801367129283</v>
      </c>
      <c r="M5">
        <v>14.188969911905298</v>
      </c>
      <c r="N5">
        <v>2.5805375793082459</v>
      </c>
      <c r="O5">
        <v>21.52186484335903</v>
      </c>
      <c r="P5">
        <v>10.989781450180367</v>
      </c>
      <c r="Q5">
        <v>0.94570232953038158</v>
      </c>
      <c r="R5">
        <v>12.838586285284746</v>
      </c>
      <c r="S5">
        <v>35.468331185107381</v>
      </c>
      <c r="U5">
        <v>2.4809854651314471</v>
      </c>
      <c r="V5">
        <v>44.793714601836484</v>
      </c>
      <c r="W5">
        <v>21.548601292383161</v>
      </c>
      <c r="X5">
        <v>50.391476722587178</v>
      </c>
      <c r="Y5">
        <v>7.4839000465154832</v>
      </c>
      <c r="Z5">
        <v>33.38775258918011</v>
      </c>
      <c r="AA5">
        <v>4.3057779314684375</v>
      </c>
      <c r="AB5">
        <v>33.701125088373978</v>
      </c>
      <c r="AD5">
        <v>8.7520139279905464</v>
      </c>
      <c r="AE5">
        <v>14.34209406366235</v>
      </c>
      <c r="AF5">
        <v>13.860046957462473</v>
      </c>
      <c r="AG5">
        <v>19.136174459355058</v>
      </c>
      <c r="AH5">
        <v>6.7404617785278784</v>
      </c>
      <c r="AI5">
        <v>2.5279287750663753</v>
      </c>
      <c r="AK5">
        <v>48.481838213806199</v>
      </c>
    </row>
    <row r="6" spans="1:47" x14ac:dyDescent="0.2">
      <c r="A6">
        <v>5</v>
      </c>
      <c r="B6">
        <v>754</v>
      </c>
      <c r="C6">
        <v>275</v>
      </c>
      <c r="D6">
        <v>0.30040451735384299</v>
      </c>
      <c r="E6">
        <v>201.16156078421443</v>
      </c>
      <c r="F6">
        <v>61.948127107169157</v>
      </c>
      <c r="G6">
        <v>71.277512544527696</v>
      </c>
      <c r="H6">
        <v>66.670591566275377</v>
      </c>
      <c r="J6">
        <v>52.9465599272798</v>
      </c>
      <c r="L6">
        <v>6.1107634359461391</v>
      </c>
      <c r="M6">
        <v>14.111438156648367</v>
      </c>
      <c r="N6">
        <v>2.5825104659897975</v>
      </c>
      <c r="O6">
        <v>21.139283346831981</v>
      </c>
      <c r="P6">
        <v>10.885057780388086</v>
      </c>
      <c r="Q6">
        <v>0.8763008133883895</v>
      </c>
      <c r="R6">
        <v>12.610908225567956</v>
      </c>
      <c r="S6">
        <v>34.988590239039212</v>
      </c>
      <c r="U6">
        <v>2.3918451407149535</v>
      </c>
      <c r="V6">
        <v>44.665209453237253</v>
      </c>
      <c r="W6">
        <v>21.328914645324463</v>
      </c>
      <c r="X6">
        <v>50.154923637533066</v>
      </c>
      <c r="Y6">
        <v>7.3927439204815704</v>
      </c>
      <c r="Z6">
        <v>33.177858758895383</v>
      </c>
      <c r="AA6">
        <v>4.21857263074752</v>
      </c>
      <c r="AB6">
        <v>33.538604189050467</v>
      </c>
      <c r="AD6">
        <v>8.632438495347067</v>
      </c>
      <c r="AE6">
        <v>14.2478907518267</v>
      </c>
      <c r="AF6">
        <v>13.78139691437865</v>
      </c>
      <c r="AG6">
        <v>18.958666366642213</v>
      </c>
      <c r="AH6">
        <v>6.599544757371655</v>
      </c>
      <c r="AI6">
        <v>2.5296128934080246</v>
      </c>
      <c r="AK6">
        <v>48.473422527332019</v>
      </c>
    </row>
    <row r="7" spans="1:47" x14ac:dyDescent="0.2">
      <c r="A7">
        <v>6</v>
      </c>
      <c r="B7">
        <v>753</v>
      </c>
      <c r="C7">
        <v>275</v>
      </c>
      <c r="D7">
        <v>0.29965453393753799</v>
      </c>
      <c r="E7">
        <v>201.03587099254054</v>
      </c>
      <c r="F7">
        <v>61.558828665695302</v>
      </c>
      <c r="G7">
        <v>71.213494746595785</v>
      </c>
      <c r="H7">
        <v>66.604218591291612</v>
      </c>
      <c r="J7">
        <v>52.867299436502918</v>
      </c>
      <c r="L7">
        <v>5.9991607119197248</v>
      </c>
      <c r="M7">
        <v>14.034053220288421</v>
      </c>
      <c r="N7">
        <v>2.5844832234036592</v>
      </c>
      <c r="O7">
        <v>20.75731356675681</v>
      </c>
      <c r="P7">
        <v>10.780507257521442</v>
      </c>
      <c r="Q7">
        <v>0.80703007407588578</v>
      </c>
      <c r="R7">
        <v>12.383583349876869</v>
      </c>
      <c r="S7">
        <v>34.509775101182846</v>
      </c>
      <c r="U7">
        <v>2.3027748217849244</v>
      </c>
      <c r="V7">
        <v>44.5369209045151</v>
      </c>
      <c r="W7">
        <v>21.109511611486496</v>
      </c>
      <c r="X7">
        <v>49.918800433954353</v>
      </c>
      <c r="Y7">
        <v>7.3017384630040301</v>
      </c>
      <c r="Z7">
        <v>32.968265222634898</v>
      </c>
      <c r="AA7">
        <v>4.1315339429240483</v>
      </c>
      <c r="AB7">
        <v>33.376361817935326</v>
      </c>
      <c r="AD7">
        <v>8.5129662286578842</v>
      </c>
      <c r="AE7">
        <v>14.153816899323377</v>
      </c>
      <c r="AF7">
        <v>13.702893868884447</v>
      </c>
      <c r="AG7">
        <v>18.781439206099947</v>
      </c>
      <c r="AH7">
        <v>6.458850943095805</v>
      </c>
      <c r="AI7">
        <v>2.5312960479007751</v>
      </c>
      <c r="AK7">
        <v>48.465319798810569</v>
      </c>
    </row>
    <row r="8" spans="1:47" x14ac:dyDescent="0.2">
      <c r="A8">
        <v>7</v>
      </c>
      <c r="B8">
        <v>752</v>
      </c>
      <c r="C8">
        <v>275</v>
      </c>
      <c r="D8">
        <v>0.29890308735307097</v>
      </c>
      <c r="E8">
        <v>200.91033503624345</v>
      </c>
      <c r="F8">
        <v>61.170221306144164</v>
      </c>
      <c r="G8">
        <v>71.149559513329123</v>
      </c>
      <c r="H8">
        <v>66.537941274633226</v>
      </c>
      <c r="J8">
        <v>52.788635923631517</v>
      </c>
      <c r="L8">
        <v>5.8876402295659078</v>
      </c>
      <c r="M8">
        <v>13.956814618131203</v>
      </c>
      <c r="N8">
        <v>2.5864558520932581</v>
      </c>
      <c r="O8">
        <v>20.375954088406107</v>
      </c>
      <c r="P8">
        <v>10.676129551868256</v>
      </c>
      <c r="Q8">
        <v>0.73788954798928985</v>
      </c>
      <c r="R8">
        <v>12.15661049755257</v>
      </c>
      <c r="S8">
        <v>34.031882846144605</v>
      </c>
      <c r="U8">
        <v>2.2137741347620472</v>
      </c>
      <c r="V8">
        <v>44.408848191288278</v>
      </c>
      <c r="W8">
        <v>20.890391242563378</v>
      </c>
      <c r="X8">
        <v>49.683105557329284</v>
      </c>
      <c r="Y8">
        <v>7.2108832407393892</v>
      </c>
      <c r="Z8">
        <v>32.7589710504744</v>
      </c>
      <c r="AA8">
        <v>4.0446614547367279</v>
      </c>
      <c r="AB8">
        <v>33.21439706827173</v>
      </c>
      <c r="AD8">
        <v>8.3935972410024959</v>
      </c>
      <c r="AE8">
        <v>14.059872079041909</v>
      </c>
      <c r="AF8">
        <v>13.624537342466322</v>
      </c>
      <c r="AG8">
        <v>18.60449207748507</v>
      </c>
      <c r="AH8">
        <v>6.3183799300139025</v>
      </c>
      <c r="AI8">
        <v>2.5329782372493894</v>
      </c>
      <c r="AK8">
        <v>48.457529881462612</v>
      </c>
    </row>
    <row r="9" spans="1:47" x14ac:dyDescent="0.2">
      <c r="A9">
        <v>8</v>
      </c>
      <c r="B9">
        <v>751</v>
      </c>
      <c r="C9">
        <v>275</v>
      </c>
      <c r="D9">
        <v>0.29815017331445698</v>
      </c>
      <c r="E9">
        <v>200.78495246796837</v>
      </c>
      <c r="F9">
        <v>60.782303221122497</v>
      </c>
      <c r="G9">
        <v>71.085706670475361</v>
      </c>
      <c r="H9">
        <v>66.471759463007274</v>
      </c>
      <c r="J9">
        <v>52.710568830793228</v>
      </c>
      <c r="L9">
        <v>5.7760925846919644</v>
      </c>
      <c r="M9">
        <v>13.879721869628931</v>
      </c>
      <c r="N9">
        <v>2.588428352658366</v>
      </c>
      <c r="O9">
        <v>19.995203513070525</v>
      </c>
      <c r="P9">
        <v>10.571924338422798</v>
      </c>
      <c r="Q9">
        <v>0.66887868741555578</v>
      </c>
      <c r="R9">
        <v>11.929988519825407</v>
      </c>
      <c r="S9">
        <v>33.554910573101623</v>
      </c>
      <c r="U9">
        <v>2.1248427102081808</v>
      </c>
      <c r="V9">
        <v>44.280990549898661</v>
      </c>
      <c r="W9">
        <v>20.671552598816348</v>
      </c>
      <c r="X9">
        <v>49.44783746619666</v>
      </c>
      <c r="Y9">
        <v>7.1201778254922656</v>
      </c>
      <c r="Z9">
        <v>32.549975317449764</v>
      </c>
      <c r="AA9">
        <v>3.957954758180247</v>
      </c>
      <c r="AB9">
        <v>33.052709041705668</v>
      </c>
      <c r="AD9">
        <v>8.2743316416438191</v>
      </c>
      <c r="AE9">
        <v>13.966055868207716</v>
      </c>
      <c r="AF9">
        <v>13.546326860825204</v>
      </c>
      <c r="AG9">
        <v>18.427824089030846</v>
      </c>
      <c r="AH9">
        <v>6.1781313106253268</v>
      </c>
      <c r="AI9">
        <v>2.5346594602138119</v>
      </c>
      <c r="AK9">
        <v>48.45005263288428</v>
      </c>
    </row>
    <row r="10" spans="1:47" x14ac:dyDescent="0.2">
      <c r="A10">
        <v>9</v>
      </c>
      <c r="B10">
        <v>750</v>
      </c>
      <c r="C10">
        <v>275</v>
      </c>
      <c r="D10">
        <v>0.29739578751893703</v>
      </c>
      <c r="E10">
        <v>200.65972284498221</v>
      </c>
      <c r="F10">
        <v>60.395072624181999</v>
      </c>
      <c r="G10">
        <v>71.021936046187378</v>
      </c>
      <c r="H10">
        <v>66.405673005569327</v>
      </c>
      <c r="J10">
        <v>52.633097609252381</v>
      </c>
      <c r="L10">
        <v>5.6645881403501885</v>
      </c>
      <c r="M10">
        <v>13.80277449869533</v>
      </c>
      <c r="N10">
        <v>2.5904007256414774</v>
      </c>
      <c r="O10">
        <v>19.615060458303773</v>
      </c>
      <c r="P10">
        <v>10.467891297001021</v>
      </c>
      <c r="Q10">
        <v>0.59999696389351087</v>
      </c>
      <c r="R10">
        <v>11.70371628031404</v>
      </c>
      <c r="S10">
        <v>33.078855407346552</v>
      </c>
      <c r="U10">
        <v>2.0359801831009725</v>
      </c>
      <c r="V10">
        <v>44.153347217787982</v>
      </c>
      <c r="W10">
        <v>20.452994749688546</v>
      </c>
      <c r="X10">
        <v>49.212994631668529</v>
      </c>
      <c r="Y10">
        <v>7.0296217943763688</v>
      </c>
      <c r="Z10">
        <v>32.341277108305555</v>
      </c>
      <c r="AA10">
        <v>3.8714134505992406</v>
      </c>
      <c r="AB10">
        <v>32.891296848822229</v>
      </c>
      <c r="AD10">
        <v>8.1551695366489714</v>
      </c>
      <c r="AE10">
        <v>13.872367848528439</v>
      </c>
      <c r="AF10">
        <v>13.468261954077423</v>
      </c>
      <c r="AG10">
        <v>18.251434357873276</v>
      </c>
      <c r="AH10">
        <v>6.0381046989766265</v>
      </c>
      <c r="AI10">
        <v>2.5363397154967102</v>
      </c>
      <c r="AK10">
        <v>48.442887915174644</v>
      </c>
    </row>
    <row r="11" spans="1:47" x14ac:dyDescent="0.2">
      <c r="A11">
        <v>10</v>
      </c>
      <c r="B11">
        <v>749</v>
      </c>
      <c r="C11">
        <v>275</v>
      </c>
      <c r="D11">
        <v>0.29663992564692099</v>
      </c>
      <c r="E11">
        <v>200.5346457289439</v>
      </c>
      <c r="F11">
        <v>60.008527749024005</v>
      </c>
      <c r="G11">
        <v>70.958247470920981</v>
      </c>
      <c r="H11">
        <v>66.339681753817089</v>
      </c>
      <c r="J11">
        <v>52.556221719015475</v>
      </c>
      <c r="L11">
        <v>5.5531340128089361</v>
      </c>
      <c r="M11">
        <v>13.725972033432738</v>
      </c>
      <c r="N11">
        <v>2.5923729715889303</v>
      </c>
      <c r="O11">
        <v>19.235523557503591</v>
      </c>
      <c r="P11">
        <v>10.364030112092257</v>
      </c>
      <c r="Q11">
        <v>0.53124387198631484</v>
      </c>
      <c r="R11">
        <v>11.477792654516923</v>
      </c>
      <c r="S11">
        <v>32.603714498881409</v>
      </c>
      <c r="U11">
        <v>1.9471861925926772</v>
      </c>
      <c r="V11">
        <v>44.025917432889926</v>
      </c>
      <c r="W11">
        <v>20.234716773287687</v>
      </c>
      <c r="X11">
        <v>48.978575537870611</v>
      </c>
      <c r="Y11">
        <v>6.9392147296450393</v>
      </c>
      <c r="Z11">
        <v>32.132875517141422</v>
      </c>
      <c r="AA11">
        <v>3.7850371345271125</v>
      </c>
      <c r="AB11">
        <v>32.730159608703659</v>
      </c>
      <c r="AD11">
        <v>8.0361110289932789</v>
      </c>
      <c r="AE11">
        <v>13.77880760605634</v>
      </c>
      <c r="AF11">
        <v>13.390342156548188</v>
      </c>
      <c r="AG11">
        <v>18.075322009668334</v>
      </c>
      <c r="AH11">
        <v>5.8982997025983819</v>
      </c>
      <c r="AI11">
        <v>2.538019001805059</v>
      </c>
      <c r="AK11">
        <v>48.43603559475595</v>
      </c>
    </row>
    <row r="12" spans="1:47" x14ac:dyDescent="0.2">
      <c r="A12">
        <v>11</v>
      </c>
      <c r="B12">
        <v>748</v>
      </c>
      <c r="C12">
        <v>275</v>
      </c>
      <c r="D12">
        <v>0.29588258336189799</v>
      </c>
      <c r="E12">
        <v>200.40972068583653</v>
      </c>
      <c r="F12">
        <v>59.622666849191205</v>
      </c>
      <c r="G12">
        <v>70.894640777383202</v>
      </c>
      <c r="H12">
        <v>66.273785561542226</v>
      </c>
      <c r="J12">
        <v>52.479940628664828</v>
      </c>
      <c r="L12">
        <v>5.4417365262714723</v>
      </c>
      <c r="M12">
        <v>13.649314006012682</v>
      </c>
      <c r="N12">
        <v>2.5943450910961889</v>
      </c>
      <c r="O12">
        <v>18.856591459754238</v>
      </c>
      <c r="P12">
        <v>10.260340472800545</v>
      </c>
      <c r="Q12">
        <v>0.46261893431768292</v>
      </c>
      <c r="R12">
        <v>11.252216529611889</v>
      </c>
      <c r="S12">
        <v>32.129485021768701</v>
      </c>
      <c r="U12">
        <v>1.858460381905908</v>
      </c>
      <c r="V12">
        <v>43.898700433241743</v>
      </c>
      <c r="W12">
        <v>20.016717756127655</v>
      </c>
      <c r="X12">
        <v>48.74457868096934</v>
      </c>
      <c r="Y12">
        <v>6.8489562186260731</v>
      </c>
      <c r="Z12">
        <v>31.924769647178827</v>
      </c>
      <c r="AA12">
        <v>3.698825417604763</v>
      </c>
      <c r="AB12">
        <v>32.569296448652715</v>
      </c>
      <c r="AD12">
        <v>7.9171562187306641</v>
      </c>
      <c r="AE12">
        <v>13.685374731076189</v>
      </c>
      <c r="AF12">
        <v>13.312567006690793</v>
      </c>
      <c r="AG12">
        <v>17.899486178361229</v>
      </c>
      <c r="AH12">
        <v>5.758715940883917</v>
      </c>
      <c r="AI12">
        <v>2.5396973178936801</v>
      </c>
      <c r="AK12">
        <v>48.429495542331765</v>
      </c>
    </row>
    <row r="13" spans="1:47" x14ac:dyDescent="0.2">
      <c r="A13">
        <v>12</v>
      </c>
      <c r="B13">
        <v>747</v>
      </c>
      <c r="C13">
        <v>275</v>
      </c>
      <c r="D13">
        <v>0.29512375631034898</v>
      </c>
      <c r="E13">
        <v>200.28494728600887</v>
      </c>
      <c r="F13">
        <v>59.237488198232278</v>
      </c>
      <c r="G13">
        <v>70.831115800580676</v>
      </c>
      <c r="H13">
        <v>66.207984284875181</v>
      </c>
      <c r="J13">
        <v>52.404253815450268</v>
      </c>
      <c r="L13">
        <v>5.330401332271407</v>
      </c>
      <c r="M13">
        <v>13.572799952806257</v>
      </c>
      <c r="N13">
        <v>2.5963170847265866</v>
      </c>
      <c r="O13">
        <v>18.47826282979473</v>
      </c>
      <c r="P13">
        <v>10.156822072861383</v>
      </c>
      <c r="Q13">
        <v>0.3940781769209698</v>
      </c>
      <c r="R13">
        <v>11.02698680459906</v>
      </c>
      <c r="S13">
        <v>31.656164174770492</v>
      </c>
      <c r="U13">
        <v>1.7698023984482409</v>
      </c>
      <c r="V13">
        <v>43.771695457033218</v>
      </c>
      <c r="W13">
        <v>19.798996793420294</v>
      </c>
      <c r="X13">
        <v>48.511002569364827</v>
      </c>
      <c r="Y13">
        <v>6.7588458537674132</v>
      </c>
      <c r="Z13">
        <v>31.716958610993021</v>
      </c>
      <c r="AA13">
        <v>3.6127779125372399</v>
      </c>
      <c r="AB13">
        <v>32.408706504488677</v>
      </c>
      <c r="AD13">
        <v>7.798305203441366</v>
      </c>
      <c r="AE13">
        <v>13.592068818203066</v>
      </c>
      <c r="AF13">
        <v>13.234936047138778</v>
      </c>
      <c r="AG13">
        <v>17.723926006399676</v>
      </c>
      <c r="AH13">
        <v>5.6193530388616235</v>
      </c>
      <c r="AI13">
        <v>2.5413746624861959</v>
      </c>
      <c r="AK13">
        <v>48.423267632872033</v>
      </c>
    </row>
    <row r="14" spans="1:47" x14ac:dyDescent="0.2">
      <c r="A14">
        <v>13</v>
      </c>
      <c r="B14">
        <v>746</v>
      </c>
      <c r="C14">
        <v>275</v>
      </c>
      <c r="D14">
        <v>0.29436344012167098</v>
      </c>
      <c r="E14">
        <v>200.160325104169</v>
      </c>
      <c r="F14">
        <v>58.852990089599871</v>
      </c>
      <c r="G14">
        <v>70.767672377799258</v>
      </c>
      <c r="H14">
        <v>66.142277782270313</v>
      </c>
      <c r="J14">
        <v>52.329160765258045</v>
      </c>
      <c r="L14">
        <v>5.2191335062351554</v>
      </c>
      <c r="M14">
        <v>13.496429414358504</v>
      </c>
      <c r="N14">
        <v>2.5982889530245981</v>
      </c>
      <c r="O14">
        <v>18.100536347939137</v>
      </c>
      <c r="P14">
        <v>10.05347461061427</v>
      </c>
      <c r="Q14">
        <v>0.32570250959191432</v>
      </c>
      <c r="R14">
        <v>10.802102390266139</v>
      </c>
      <c r="S14">
        <v>31.183749181141369</v>
      </c>
      <c r="U14">
        <v>1.6812118937826932</v>
      </c>
      <c r="V14">
        <v>43.644901742391163</v>
      </c>
      <c r="W14">
        <v>19.581552988987422</v>
      </c>
      <c r="X14">
        <v>48.277845724298295</v>
      </c>
      <c r="Y14">
        <v>6.6688832326145775</v>
      </c>
      <c r="Z14">
        <v>31.50944153041317</v>
      </c>
      <c r="AA14">
        <v>3.5268942370186922</v>
      </c>
      <c r="AB14">
        <v>32.248388920442984</v>
      </c>
      <c r="AD14">
        <v>7.6795580784578181</v>
      </c>
      <c r="AE14">
        <v>13.49888946632227</v>
      </c>
      <c r="AF14">
        <v>13.157448824698468</v>
      </c>
      <c r="AG14">
        <v>17.548640644646134</v>
      </c>
      <c r="AH14">
        <v>5.4802106279844978</v>
      </c>
      <c r="AI14">
        <v>2.5430510342866715</v>
      </c>
      <c r="AK14">
        <v>48.41735174561309</v>
      </c>
    </row>
    <row r="15" spans="1:47" x14ac:dyDescent="0.2">
      <c r="A15">
        <v>14</v>
      </c>
      <c r="B15">
        <v>745</v>
      </c>
      <c r="C15">
        <v>275</v>
      </c>
      <c r="D15">
        <v>0.29360163040809401</v>
      </c>
      <c r="E15">
        <v>200.03585371930191</v>
      </c>
      <c r="F15">
        <v>58.469170836316323</v>
      </c>
      <c r="G15">
        <v>70.704310348560909</v>
      </c>
      <c r="H15">
        <v>66.076665914455759</v>
      </c>
      <c r="J15">
        <v>52.254660972438401</v>
      </c>
      <c r="L15">
        <v>5.1079376262989244</v>
      </c>
      <c r="M15">
        <v>13.420201935252921</v>
      </c>
      <c r="N15">
        <v>2.6002606965518109</v>
      </c>
      <c r="O15">
        <v>17.723410709874209</v>
      </c>
      <c r="P15">
        <v>9.9502977889549644</v>
      </c>
      <c r="Q15">
        <v>0.25745283769417526</v>
      </c>
      <c r="R15">
        <v>10.577562208943784</v>
      </c>
      <c r="S15">
        <v>30.71223728795615</v>
      </c>
      <c r="U15">
        <v>1.5926885235128139</v>
      </c>
      <c r="V15">
        <v>43.518318526978042</v>
      </c>
      <c r="W15">
        <v>19.36438545497781</v>
      </c>
      <c r="X15">
        <v>48.045106678859</v>
      </c>
      <c r="Y15">
        <v>6.5790679577458064</v>
      </c>
      <c r="Z15">
        <v>31.302217536294695</v>
      </c>
      <c r="AA15">
        <v>3.4411740135925357</v>
      </c>
      <c r="AB15">
        <v>32.088342848896367</v>
      </c>
      <c r="AD15">
        <v>7.5609149369967366</v>
      </c>
      <c r="AE15">
        <v>13.405836278480953</v>
      </c>
      <c r="AF15">
        <v>13.080104890236758</v>
      </c>
      <c r="AG15">
        <v>17.373629252145651</v>
      </c>
      <c r="AH15">
        <v>5.3412883459912024</v>
      </c>
      <c r="AI15">
        <v>2.5447264320164003</v>
      </c>
      <c r="AK15">
        <v>48.411747764002705</v>
      </c>
    </row>
    <row r="16" spans="1:47" x14ac:dyDescent="0.2">
      <c r="A16">
        <v>15</v>
      </c>
      <c r="B16">
        <v>744</v>
      </c>
      <c r="C16">
        <v>275</v>
      </c>
      <c r="D16">
        <v>0.29283832276459099</v>
      </c>
      <c r="E16">
        <v>199.91153271445194</v>
      </c>
      <c r="F16">
        <v>58.086028770266466</v>
      </c>
      <c r="G16">
        <v>70.641029554535976</v>
      </c>
      <c r="H16">
        <v>66.011148544352835</v>
      </c>
      <c r="J16">
        <v>52.180753939426943</v>
      </c>
      <c r="L16">
        <v>4.9968178381960122</v>
      </c>
      <c r="M16">
        <v>13.344117063912377</v>
      </c>
      <c r="N16">
        <v>2.602232315912886</v>
      </c>
      <c r="O16">
        <v>17.346884626293026</v>
      </c>
      <c r="P16">
        <v>9.8472913151806534</v>
      </c>
      <c r="Q16">
        <v>0.18932868079837953</v>
      </c>
      <c r="R16">
        <v>10.353365194084038</v>
      </c>
      <c r="S16">
        <v>30.241625765063549</v>
      </c>
      <c r="U16">
        <v>1.5042319471124208</v>
      </c>
      <c r="V16">
        <v>43.391945047419775</v>
      </c>
      <c r="W16">
        <v>19.14749331157341</v>
      </c>
      <c r="X16">
        <v>47.812783977638297</v>
      </c>
      <c r="Y16">
        <v>6.4893996366213589</v>
      </c>
      <c r="Z16">
        <v>31.095285768337554</v>
      </c>
      <c r="AA16">
        <v>3.3556168694465742</v>
      </c>
      <c r="AB16">
        <v>31.928567450111583</v>
      </c>
      <c r="AD16">
        <v>7.4423758702798581</v>
      </c>
      <c r="AE16">
        <v>13.312908861840153</v>
      </c>
      <c r="AF16">
        <v>13.002903798519991</v>
      </c>
      <c r="AG16">
        <v>17.198890995890952</v>
      </c>
      <c r="AH16">
        <v>5.2025858366579554</v>
      </c>
      <c r="AI16">
        <v>2.5464008544394012</v>
      </c>
      <c r="AK16">
        <v>48.406455575497993</v>
      </c>
    </row>
    <row r="17" spans="1:37" x14ac:dyDescent="0.2">
      <c r="A17">
        <v>16</v>
      </c>
      <c r="B17">
        <v>743</v>
      </c>
      <c r="C17">
        <v>275</v>
      </c>
      <c r="D17">
        <v>0.29207351276878402</v>
      </c>
      <c r="E17">
        <v>199.7873616770633</v>
      </c>
      <c r="F17">
        <v>57.703562243233101</v>
      </c>
      <c r="G17">
        <v>70.577829839687908</v>
      </c>
      <c r="H17">
        <v>65.945725537215935</v>
      </c>
      <c r="J17">
        <v>52.107439177313879</v>
      </c>
      <c r="L17">
        <v>4.8857779098089331</v>
      </c>
      <c r="M17">
        <v>13.268174352975375</v>
      </c>
      <c r="N17">
        <v>2.6042038116554416</v>
      </c>
      <c r="O17">
        <v>16.97095682329229</v>
      </c>
      <c r="P17">
        <v>9.7444549011864687</v>
      </c>
      <c r="Q17">
        <v>0.12132959568068509</v>
      </c>
      <c r="R17">
        <v>10.129510290956286</v>
      </c>
      <c r="S17">
        <v>29.771911906937806</v>
      </c>
      <c r="U17">
        <v>1.4158418282415115</v>
      </c>
      <c r="V17">
        <v>43.265780539788182</v>
      </c>
      <c r="W17">
        <v>18.930875687586035</v>
      </c>
      <c r="X17">
        <v>47.580876177669722</v>
      </c>
      <c r="Y17">
        <v>6.3998778818117357</v>
      </c>
      <c r="Z17">
        <v>30.888645375446465</v>
      </c>
      <c r="AA17">
        <v>3.2702224364528591</v>
      </c>
      <c r="AB17">
        <v>31.769061892770083</v>
      </c>
      <c r="AD17">
        <v>7.3239409680396408</v>
      </c>
      <c r="AE17">
        <v>13.220106827763965</v>
      </c>
      <c r="AF17">
        <v>12.92584510848963</v>
      </c>
      <c r="AG17">
        <v>17.024425051255974</v>
      </c>
      <c r="AH17">
        <v>5.0641027502504041</v>
      </c>
      <c r="AI17">
        <v>2.5480743002634649</v>
      </c>
      <c r="AK17">
        <v>48.40147507182526</v>
      </c>
    </row>
    <row r="18" spans="1:37" x14ac:dyDescent="0.2">
      <c r="A18">
        <v>17</v>
      </c>
      <c r="B18">
        <v>742</v>
      </c>
      <c r="C18">
        <v>275</v>
      </c>
      <c r="D18">
        <v>0.291307195980888</v>
      </c>
      <c r="E18">
        <v>199.66334019848335</v>
      </c>
      <c r="F18">
        <v>57.321769625331171</v>
      </c>
      <c r="G18">
        <v>70.514711050072563</v>
      </c>
      <c r="H18">
        <v>65.880396760435659</v>
      </c>
      <c r="J18">
        <v>52.034716204999597</v>
      </c>
      <c r="L18">
        <v>4.7748212760142739</v>
      </c>
      <c r="M18">
        <v>13.192373358811063</v>
      </c>
      <c r="N18">
        <v>2.6061751843603895</v>
      </c>
      <c r="O18">
        <v>16.595626041618868</v>
      </c>
      <c r="P18">
        <v>9.6417882631518541</v>
      </c>
      <c r="Q18">
        <v>5.3455186927553772E-2</v>
      </c>
      <c r="R18">
        <v>9.9059964556425424</v>
      </c>
      <c r="S18">
        <v>29.303093030176118</v>
      </c>
      <c r="U18">
        <v>1.3275178343349492</v>
      </c>
      <c r="V18">
        <v>43.139824238484017</v>
      </c>
      <c r="W18">
        <v>18.714531719681816</v>
      </c>
      <c r="X18">
        <v>47.349381847280732</v>
      </c>
      <c r="Y18">
        <v>6.3105023106671743</v>
      </c>
      <c r="Z18">
        <v>30.682295515268322</v>
      </c>
      <c r="AA18">
        <v>3.1849903507994606</v>
      </c>
      <c r="AB18">
        <v>31.609825353296323</v>
      </c>
      <c r="AD18">
        <v>7.2056103184129565</v>
      </c>
      <c r="AE18">
        <v>13.127429791693817</v>
      </c>
      <c r="AF18">
        <v>12.848928382857359</v>
      </c>
      <c r="AG18">
        <v>16.850230601408178</v>
      </c>
      <c r="AH18">
        <v>4.9258387429351282</v>
      </c>
      <c r="AI18">
        <v>2.5497467682282777</v>
      </c>
      <c r="AK18">
        <v>48.396806148553445</v>
      </c>
    </row>
    <row r="19" spans="1:37" x14ac:dyDescent="0.2">
      <c r="A19">
        <v>18</v>
      </c>
      <c r="B19">
        <v>741</v>
      </c>
      <c r="C19">
        <v>275</v>
      </c>
      <c r="D19">
        <v>0.29053936794360102</v>
      </c>
      <c r="E19">
        <v>199.5109815926771</v>
      </c>
      <c r="F19">
        <v>56.699822103666733</v>
      </c>
      <c r="G19">
        <v>70.422686997800611</v>
      </c>
      <c r="H19">
        <v>65.786176047496042</v>
      </c>
      <c r="J19">
        <v>51.812686549669536</v>
      </c>
      <c r="L19">
        <v>4.5865394609784591</v>
      </c>
      <c r="M19">
        <v>13.085717505316058</v>
      </c>
      <c r="N19">
        <v>2.60814496607476</v>
      </c>
      <c r="O19">
        <v>16.001200367590169</v>
      </c>
      <c r="P19">
        <v>9.4813175808912877</v>
      </c>
      <c r="R19">
        <v>9.5510911858623224</v>
      </c>
      <c r="S19">
        <v>28.559690299212612</v>
      </c>
      <c r="U19">
        <v>1.2245735312989507</v>
      </c>
      <c r="V19">
        <v>42.943625019211602</v>
      </c>
      <c r="W19">
        <v>18.500430810301687</v>
      </c>
      <c r="X19">
        <v>47.071807897475345</v>
      </c>
      <c r="Y19">
        <v>6.1611395394885884</v>
      </c>
      <c r="Z19">
        <v>30.276826468177148</v>
      </c>
      <c r="AA19">
        <v>3.0374389475751524</v>
      </c>
      <c r="AB19">
        <v>31.301475099428643</v>
      </c>
      <c r="AD19">
        <v>6.9763986774243811</v>
      </c>
      <c r="AE19">
        <v>12.937983779627256</v>
      </c>
      <c r="AF19">
        <v>12.741155583345218</v>
      </c>
      <c r="AG19">
        <v>16.526923452316673</v>
      </c>
      <c r="AH19">
        <v>4.6914132257420276</v>
      </c>
      <c r="AI19">
        <v>2.5514167885406929</v>
      </c>
      <c r="AK19">
        <v>48.310013302623467</v>
      </c>
    </row>
    <row r="20" spans="1:37" x14ac:dyDescent="0.2">
      <c r="A20">
        <v>19</v>
      </c>
      <c r="B20">
        <v>740</v>
      </c>
      <c r="C20">
        <v>275</v>
      </c>
      <c r="D20">
        <v>0.28977002418201098</v>
      </c>
      <c r="E20">
        <v>198.68963271439242</v>
      </c>
      <c r="F20">
        <v>51.156590853910316</v>
      </c>
      <c r="G20">
        <v>69.628826166050089</v>
      </c>
      <c r="H20">
        <v>64.99013190299415</v>
      </c>
      <c r="J20">
        <v>49.438622107967298</v>
      </c>
      <c r="L20">
        <v>3.6682977628033013</v>
      </c>
      <c r="M20">
        <v>12.978358453864971</v>
      </c>
      <c r="N20">
        <v>2.6100638787879378</v>
      </c>
      <c r="O20">
        <v>10.462499444887818</v>
      </c>
      <c r="P20">
        <v>7.917130566370707</v>
      </c>
      <c r="R20">
        <v>7.4296658447968058</v>
      </c>
      <c r="S20">
        <v>25.135821966025105</v>
      </c>
      <c r="U20">
        <v>1.1541838224829573</v>
      </c>
      <c r="V20">
        <v>42.510325571971919</v>
      </c>
      <c r="W20">
        <v>18.347396592141429</v>
      </c>
      <c r="X20">
        <v>46.893595889633886</v>
      </c>
      <c r="Y20">
        <v>4.6037863721800747</v>
      </c>
      <c r="Z20">
        <v>26.463227112956897</v>
      </c>
      <c r="AA20">
        <v>1.5216141867362385</v>
      </c>
      <c r="AB20">
        <v>29.571590460314969</v>
      </c>
      <c r="AD20">
        <v>4.776208912487947</v>
      </c>
      <c r="AE20">
        <v>11.270839331344712</v>
      </c>
      <c r="AF20">
        <v>12.632629099106998</v>
      </c>
      <c r="AG20">
        <v>14.782033661323261</v>
      </c>
      <c r="AH20">
        <v>2.2942967144110851</v>
      </c>
      <c r="AI20">
        <v>2.5530350813494533</v>
      </c>
      <c r="AK20">
        <v>46.769791364623416</v>
      </c>
    </row>
    <row r="21" spans="1:37" x14ac:dyDescent="0.2">
      <c r="A21">
        <v>20</v>
      </c>
      <c r="B21">
        <v>739</v>
      </c>
      <c r="C21">
        <v>275</v>
      </c>
      <c r="D21">
        <v>0.28899916020352701</v>
      </c>
      <c r="E21">
        <v>198.53562608164029</v>
      </c>
      <c r="F21">
        <v>46.543875296136022</v>
      </c>
      <c r="G21">
        <v>69.48940369935292</v>
      </c>
      <c r="H21">
        <v>64.848539492921489</v>
      </c>
      <c r="J21">
        <v>34.586299008284087</v>
      </c>
      <c r="L21">
        <v>1.5464116767067717</v>
      </c>
      <c r="M21">
        <v>12.846458695574702</v>
      </c>
      <c r="N21">
        <v>2.6120388059015571</v>
      </c>
      <c r="O21">
        <v>5.7382618878964342</v>
      </c>
      <c r="P21">
        <v>7.6618844157364725</v>
      </c>
      <c r="R21">
        <v>6.4550936988518197</v>
      </c>
      <c r="S21">
        <v>23.049572262221918</v>
      </c>
      <c r="U21">
        <v>1.0843384345255409</v>
      </c>
      <c r="V21">
        <v>42.645006149422905</v>
      </c>
      <c r="W21">
        <v>18.162694585428522</v>
      </c>
      <c r="X21">
        <v>46.72747139624105</v>
      </c>
      <c r="Y21">
        <v>3.816478504789214</v>
      </c>
      <c r="Z21">
        <v>19.21967168133466</v>
      </c>
      <c r="AB21">
        <v>25.824237496184971</v>
      </c>
      <c r="AD21">
        <v>1.1280927195909571</v>
      </c>
      <c r="AE21">
        <v>7.2360915975138926</v>
      </c>
      <c r="AF21">
        <v>12.499618310465593</v>
      </c>
      <c r="AG21">
        <v>11.019734178281281</v>
      </c>
      <c r="AI21">
        <v>2.5547085282154334</v>
      </c>
      <c r="AK21">
        <v>36.793965225690258</v>
      </c>
    </row>
    <row r="22" spans="1:37" x14ac:dyDescent="0.2">
      <c r="A22">
        <v>21</v>
      </c>
      <c r="B22">
        <v>738</v>
      </c>
      <c r="C22">
        <v>275</v>
      </c>
      <c r="D22">
        <v>0.28822677149780002</v>
      </c>
      <c r="E22">
        <v>198.68900925132797</v>
      </c>
      <c r="F22">
        <v>46.34393581913983</v>
      </c>
      <c r="G22">
        <v>69.554241823944778</v>
      </c>
      <c r="H22">
        <v>64.911221065016505</v>
      </c>
      <c r="J22">
        <v>22.675931705678614</v>
      </c>
      <c r="L22">
        <v>1.5757347327779025</v>
      </c>
      <c r="M22">
        <v>12.579022577850649</v>
      </c>
      <c r="N22">
        <v>2.6140238232067921</v>
      </c>
      <c r="O22">
        <v>5.5280471242891709</v>
      </c>
      <c r="P22">
        <v>7.8151776810030551</v>
      </c>
      <c r="R22">
        <v>6.3900683763087587</v>
      </c>
      <c r="S22">
        <v>23.288707555893833</v>
      </c>
      <c r="U22">
        <v>1.049467364679189</v>
      </c>
      <c r="V22">
        <v>43.064262560250647</v>
      </c>
      <c r="W22">
        <v>17.827492716192975</v>
      </c>
      <c r="X22">
        <v>46.661701663222054</v>
      </c>
      <c r="Y22">
        <v>3.7231726339621267</v>
      </c>
      <c r="Z22">
        <v>17.783880873642676</v>
      </c>
      <c r="AB22">
        <v>25.268810328895082</v>
      </c>
      <c r="AE22">
        <v>6.3865309897278362</v>
      </c>
      <c r="AF22">
        <v>12.231081646436238</v>
      </c>
      <c r="AG22">
        <v>10.449373207082632</v>
      </c>
      <c r="AI22">
        <v>2.55639120308998</v>
      </c>
      <c r="AK22">
        <v>28.777158663510573</v>
      </c>
    </row>
    <row r="23" spans="1:37" x14ac:dyDescent="0.2">
      <c r="A23">
        <v>22</v>
      </c>
      <c r="B23">
        <v>759</v>
      </c>
      <c r="C23">
        <v>250</v>
      </c>
      <c r="D23">
        <v>0.33077604999273502</v>
      </c>
      <c r="E23">
        <v>187.19292500355436</v>
      </c>
      <c r="F23">
        <v>63.358069859667133</v>
      </c>
      <c r="G23">
        <v>71.594264369434555</v>
      </c>
      <c r="H23">
        <v>66.998168327401274</v>
      </c>
      <c r="J23">
        <v>52.879684110367172</v>
      </c>
      <c r="L23">
        <v>6.5325578637994477</v>
      </c>
      <c r="M23">
        <v>14.450364774579018</v>
      </c>
      <c r="N23">
        <v>2.4906515227287582</v>
      </c>
      <c r="O23">
        <v>23.163268547036726</v>
      </c>
      <c r="P23">
        <v>11.178094780501628</v>
      </c>
      <c r="Q23">
        <v>0.98192051571330008</v>
      </c>
      <c r="R23">
        <v>13.741888802288255</v>
      </c>
      <c r="S23">
        <v>36.821673151091389</v>
      </c>
      <c r="U23">
        <v>2.6843779766037774</v>
      </c>
      <c r="V23">
        <v>44.73274862457486</v>
      </c>
      <c r="W23">
        <v>22.920394033743886</v>
      </c>
      <c r="X23">
        <v>49.782972172368424</v>
      </c>
      <c r="Y23">
        <v>7.6445916034889407</v>
      </c>
      <c r="Z23">
        <v>34.128468837560163</v>
      </c>
      <c r="AA23">
        <v>4.5818897160880585</v>
      </c>
      <c r="AB23">
        <v>34.332845239880108</v>
      </c>
      <c r="AC23">
        <v>9.2318281365134699E-3</v>
      </c>
      <c r="AD23">
        <v>9.1628815639387931</v>
      </c>
      <c r="AE23">
        <v>14.883989691196946</v>
      </c>
      <c r="AF23">
        <v>14.121006337556912</v>
      </c>
      <c r="AG23">
        <v>19.853847900350441</v>
      </c>
      <c r="AH23">
        <v>6.7807283683409389</v>
      </c>
      <c r="AI23">
        <v>2.435978815090404</v>
      </c>
      <c r="AK23">
        <v>48.15949808401443</v>
      </c>
    </row>
    <row r="24" spans="1:37" x14ac:dyDescent="0.2">
      <c r="A24">
        <v>23</v>
      </c>
      <c r="B24">
        <v>758</v>
      </c>
      <c r="C24">
        <v>250</v>
      </c>
      <c r="D24">
        <v>0.330059157251614</v>
      </c>
      <c r="E24">
        <v>187.0901889689211</v>
      </c>
      <c r="F24">
        <v>63.045122980890717</v>
      </c>
      <c r="G24">
        <v>71.541621820626318</v>
      </c>
      <c r="H24">
        <v>66.943095275960857</v>
      </c>
      <c r="J24">
        <v>52.839187504555156</v>
      </c>
      <c r="L24">
        <v>6.4526933784496787</v>
      </c>
      <c r="M24">
        <v>14.404210443311438</v>
      </c>
      <c r="N24">
        <v>2.4830678980002632</v>
      </c>
      <c r="O24">
        <v>22.811960138755673</v>
      </c>
      <c r="P24">
        <v>11.086689835633347</v>
      </c>
      <c r="Q24">
        <v>0.93722621457242805</v>
      </c>
      <c r="R24">
        <v>13.568049222105973</v>
      </c>
      <c r="S24">
        <v>36.497877125541002</v>
      </c>
      <c r="U24">
        <v>2.6224490668960136</v>
      </c>
      <c r="V24">
        <v>44.658352485092919</v>
      </c>
      <c r="W24">
        <v>22.758601657517318</v>
      </c>
      <c r="X24">
        <v>49.64028116820478</v>
      </c>
      <c r="Y24">
        <v>7.5704182071795749</v>
      </c>
      <c r="Z24">
        <v>33.96036634274008</v>
      </c>
      <c r="AA24">
        <v>4.5070184306283991</v>
      </c>
      <c r="AB24">
        <v>34.223946994400428</v>
      </c>
      <c r="AD24">
        <v>9.0713870918511326</v>
      </c>
      <c r="AE24">
        <v>14.80546806568746</v>
      </c>
      <c r="AF24">
        <v>14.064172512110245</v>
      </c>
      <c r="AG24">
        <v>19.720428759480924</v>
      </c>
      <c r="AH24">
        <v>6.6757491971571374</v>
      </c>
      <c r="AI24">
        <v>2.4281108697076781</v>
      </c>
      <c r="AK24">
        <v>48.165161775948626</v>
      </c>
    </row>
    <row r="25" spans="1:37" x14ac:dyDescent="0.2">
      <c r="A25">
        <v>24</v>
      </c>
      <c r="B25">
        <v>757</v>
      </c>
      <c r="C25">
        <v>250</v>
      </c>
      <c r="D25">
        <v>0.32934087268844398</v>
      </c>
      <c r="E25">
        <v>186.964358882829</v>
      </c>
      <c r="F25">
        <v>62.655480355513205</v>
      </c>
      <c r="G25">
        <v>71.477478010554464</v>
      </c>
      <c r="H25">
        <v>66.876533955090807</v>
      </c>
      <c r="J25">
        <v>52.757554428225035</v>
      </c>
      <c r="L25">
        <v>6.342042714604835</v>
      </c>
      <c r="M25">
        <v>14.327016482482499</v>
      </c>
      <c r="N25">
        <v>2.4850317459165985</v>
      </c>
      <c r="O25">
        <v>22.428565210310648</v>
      </c>
      <c r="P25">
        <v>10.981837540826737</v>
      </c>
      <c r="Q25">
        <v>0.86866293713690179</v>
      </c>
      <c r="R25">
        <v>13.340839773804669</v>
      </c>
      <c r="S25">
        <v>36.018415029439453</v>
      </c>
      <c r="U25">
        <v>2.5332549776420024</v>
      </c>
      <c r="V25">
        <v>44.530404821373502</v>
      </c>
      <c r="W25">
        <v>22.539017683128538</v>
      </c>
      <c r="X25">
        <v>49.404694022754512</v>
      </c>
      <c r="Y25">
        <v>7.4792115382001327</v>
      </c>
      <c r="Z25">
        <v>33.751855637124024</v>
      </c>
      <c r="AA25">
        <v>4.4198909112823381</v>
      </c>
      <c r="AB25">
        <v>34.062278655540275</v>
      </c>
      <c r="AD25">
        <v>8.9530988564170961</v>
      </c>
      <c r="AE25">
        <v>14.711840840700786</v>
      </c>
      <c r="AF25">
        <v>13.985846821322957</v>
      </c>
      <c r="AG25">
        <v>19.543789507415475</v>
      </c>
      <c r="AH25">
        <v>6.5348463234581322</v>
      </c>
      <c r="AI25">
        <v>2.4297895697438094</v>
      </c>
      <c r="AK25">
        <v>48.155920422842868</v>
      </c>
    </row>
    <row r="26" spans="1:37" x14ac:dyDescent="0.2">
      <c r="A26">
        <v>25</v>
      </c>
      <c r="B26">
        <v>756</v>
      </c>
      <c r="C26">
        <v>250</v>
      </c>
      <c r="D26">
        <v>0.32862119224602798</v>
      </c>
      <c r="E26">
        <v>186.83864945666343</v>
      </c>
      <c r="F26">
        <v>62.266419473020271</v>
      </c>
      <c r="G26">
        <v>71.413400588504871</v>
      </c>
      <c r="H26">
        <v>66.8100520348343</v>
      </c>
      <c r="J26">
        <v>52.676455644670376</v>
      </c>
      <c r="L26">
        <v>6.231261543088106</v>
      </c>
      <c r="M26">
        <v>14.249927737548548</v>
      </c>
      <c r="N26">
        <v>2.4870072512447488</v>
      </c>
      <c r="O26">
        <v>22.045729683762424</v>
      </c>
      <c r="P26">
        <v>10.877137402011071</v>
      </c>
      <c r="Q26">
        <v>0.80015105528067121</v>
      </c>
      <c r="R26">
        <v>13.113908497612371</v>
      </c>
      <c r="S26">
        <v>35.539664190808473</v>
      </c>
      <c r="U26">
        <v>2.4440909792391263</v>
      </c>
      <c r="V26">
        <v>44.402601250744731</v>
      </c>
      <c r="W26">
        <v>22.319641329284238</v>
      </c>
      <c r="X26">
        <v>49.169408557562591</v>
      </c>
      <c r="Y26">
        <v>7.3881301441132603</v>
      </c>
      <c r="Z26">
        <v>33.543594887432768</v>
      </c>
      <c r="AA26">
        <v>4.3329109416111535</v>
      </c>
      <c r="AB26">
        <v>33.900820676025546</v>
      </c>
      <c r="AD26">
        <v>8.8348715926270014</v>
      </c>
      <c r="AE26">
        <v>14.618324734446249</v>
      </c>
      <c r="AF26">
        <v>13.907638301005273</v>
      </c>
      <c r="AG26">
        <v>19.367374787540044</v>
      </c>
      <c r="AH26">
        <v>6.394116161299733</v>
      </c>
      <c r="AI26">
        <v>2.431479098127352</v>
      </c>
      <c r="AK26">
        <v>48.146966036728735</v>
      </c>
    </row>
    <row r="27" spans="1:37" x14ac:dyDescent="0.2">
      <c r="A27">
        <v>26</v>
      </c>
      <c r="B27">
        <v>755</v>
      </c>
      <c r="C27">
        <v>250</v>
      </c>
      <c r="D27">
        <v>0.32790011185138401</v>
      </c>
      <c r="E27">
        <v>186.71308884657097</v>
      </c>
      <c r="F27">
        <v>61.878033735545266</v>
      </c>
      <c r="G27">
        <v>71.349403639716357</v>
      </c>
      <c r="H27">
        <v>66.74366362122845</v>
      </c>
      <c r="J27">
        <v>52.595941909458375</v>
      </c>
      <c r="L27">
        <v>6.120473273719778</v>
      </c>
      <c r="M27">
        <v>14.172982162245381</v>
      </c>
      <c r="N27">
        <v>2.4889826273510764</v>
      </c>
      <c r="O27">
        <v>21.66349225427059</v>
      </c>
      <c r="P27">
        <v>10.772605825681939</v>
      </c>
      <c r="Q27">
        <v>0.73181341324814275</v>
      </c>
      <c r="R27">
        <v>12.887320382012607</v>
      </c>
      <c r="S27">
        <v>35.061814562331769</v>
      </c>
      <c r="U27">
        <v>2.3549903630529183</v>
      </c>
      <c r="V27">
        <v>44.275007278689515</v>
      </c>
      <c r="W27">
        <v>22.100543244974457</v>
      </c>
      <c r="X27">
        <v>48.934538178493312</v>
      </c>
      <c r="Y27">
        <v>7.2971947143392253</v>
      </c>
      <c r="Z27">
        <v>33.335633368012353</v>
      </c>
      <c r="AA27">
        <v>4.2460933629532596</v>
      </c>
      <c r="AB27">
        <v>33.739637572031782</v>
      </c>
      <c r="AD27">
        <v>8.7167387515133417</v>
      </c>
      <c r="AE27">
        <v>14.524938123081816</v>
      </c>
      <c r="AF27">
        <v>13.82957312385683</v>
      </c>
      <c r="AG27">
        <v>19.191237335310419</v>
      </c>
      <c r="AH27">
        <v>6.2536028106870756</v>
      </c>
      <c r="AI27">
        <v>2.4331676663860047</v>
      </c>
      <c r="AK27">
        <v>48.138317143386381</v>
      </c>
    </row>
    <row r="28" spans="1:37" x14ac:dyDescent="0.2">
      <c r="A28">
        <v>27</v>
      </c>
      <c r="B28">
        <v>754</v>
      </c>
      <c r="C28">
        <v>250</v>
      </c>
      <c r="D28">
        <v>0.32717762741566497</v>
      </c>
      <c r="E28">
        <v>186.5876766068547</v>
      </c>
      <c r="F28">
        <v>61.490321392782413</v>
      </c>
      <c r="G28">
        <v>71.285486992960827</v>
      </c>
      <c r="H28">
        <v>66.677368563883974</v>
      </c>
      <c r="J28">
        <v>52.516012655554981</v>
      </c>
      <c r="L28">
        <v>6.0096912224179615</v>
      </c>
      <c r="M28">
        <v>14.096179293221622</v>
      </c>
      <c r="N28">
        <v>2.4909578747800571</v>
      </c>
      <c r="O28">
        <v>21.281851571816585</v>
      </c>
      <c r="P28">
        <v>10.668242492643898</v>
      </c>
      <c r="Q28">
        <v>0.66360805930652711</v>
      </c>
      <c r="R28">
        <v>12.661074308860652</v>
      </c>
      <c r="S28">
        <v>34.584863322605607</v>
      </c>
      <c r="U28">
        <v>2.2659527740585714</v>
      </c>
      <c r="V28">
        <v>44.147622171266804</v>
      </c>
      <c r="W28">
        <v>21.881722543908172</v>
      </c>
      <c r="X28">
        <v>48.70008136715682</v>
      </c>
      <c r="Y28">
        <v>7.2064048272500933</v>
      </c>
      <c r="Z28">
        <v>33.127970238896367</v>
      </c>
      <c r="AA28">
        <v>4.1593596116711193</v>
      </c>
      <c r="AB28">
        <v>33.578728506769131</v>
      </c>
      <c r="AD28">
        <v>8.5987006617065109</v>
      </c>
      <c r="AE28">
        <v>14.431680628969456</v>
      </c>
      <c r="AF28">
        <v>13.751650832682996</v>
      </c>
      <c r="AG28">
        <v>19.015376320413417</v>
      </c>
      <c r="AH28">
        <v>6.113305885940358</v>
      </c>
      <c r="AI28">
        <v>2.4348552732258124</v>
      </c>
      <c r="AK28">
        <v>48.129973587286813</v>
      </c>
    </row>
    <row r="29" spans="1:37" x14ac:dyDescent="0.2">
      <c r="A29">
        <v>28</v>
      </c>
      <c r="B29">
        <v>753</v>
      </c>
      <c r="C29">
        <v>250</v>
      </c>
      <c r="D29">
        <v>0.32645373483409301</v>
      </c>
      <c r="E29">
        <v>186.46241229583896</v>
      </c>
      <c r="F29">
        <v>61.10328071346521</v>
      </c>
      <c r="G29">
        <v>71.221650479148408</v>
      </c>
      <c r="H29">
        <v>66.611166714589842</v>
      </c>
      <c r="J29">
        <v>52.436667323790196</v>
      </c>
      <c r="L29">
        <v>5.8989852945430252</v>
      </c>
      <c r="M29">
        <v>14.019518671090077</v>
      </c>
      <c r="N29">
        <v>2.4929329940963041</v>
      </c>
      <c r="O29">
        <v>20.900806301369322</v>
      </c>
      <c r="P29">
        <v>10.564047088062884</v>
      </c>
      <c r="Q29">
        <v>0.5954852120163141</v>
      </c>
      <c r="R29">
        <v>12.435169171230225</v>
      </c>
      <c r="S29">
        <v>34.108807673331569</v>
      </c>
      <c r="U29">
        <v>2.176977861063512</v>
      </c>
      <c r="V29">
        <v>44.02044519536998</v>
      </c>
      <c r="W29">
        <v>21.663178348152378</v>
      </c>
      <c r="X29">
        <v>48.466036616693458</v>
      </c>
      <c r="Y29">
        <v>7.1157600660368345</v>
      </c>
      <c r="Z29">
        <v>32.92060466932778</v>
      </c>
      <c r="AA29">
        <v>4.0728645224800637</v>
      </c>
      <c r="AB29">
        <v>33.418092651774025</v>
      </c>
      <c r="AD29">
        <v>8.4807576405401957</v>
      </c>
      <c r="AE29">
        <v>14.338551878890845</v>
      </c>
      <c r="AF29">
        <v>13.673870974282414</v>
      </c>
      <c r="AG29">
        <v>18.839790920900754</v>
      </c>
      <c r="AH29">
        <v>5.9732250074316164</v>
      </c>
      <c r="AI29">
        <v>2.4365419173716769</v>
      </c>
      <c r="AK29">
        <v>48.121935216719436</v>
      </c>
    </row>
    <row r="30" spans="1:37" x14ac:dyDescent="0.2">
      <c r="A30">
        <v>29</v>
      </c>
      <c r="B30">
        <v>752</v>
      </c>
      <c r="C30">
        <v>250</v>
      </c>
      <c r="D30">
        <v>0.32572842998585799</v>
      </c>
      <c r="E30">
        <v>186.33729547577681</v>
      </c>
      <c r="F30">
        <v>60.716909985016244</v>
      </c>
      <c r="G30">
        <v>71.157893931287617</v>
      </c>
      <c r="H30">
        <v>66.545057927274883</v>
      </c>
      <c r="J30">
        <v>52.35790536268722</v>
      </c>
      <c r="L30">
        <v>5.7882438812806356</v>
      </c>
      <c r="M30">
        <v>13.942999840340637</v>
      </c>
      <c r="N30">
        <v>2.4949079858905088</v>
      </c>
      <c r="O30">
        <v>20.520355122688706</v>
      </c>
      <c r="P30">
        <v>10.460019301387989</v>
      </c>
      <c r="Q30">
        <v>0.52753283858951361</v>
      </c>
      <c r="R30">
        <v>12.209603873193739</v>
      </c>
      <c r="S30">
        <v>33.633644838805182</v>
      </c>
      <c r="U30">
        <v>2.088065276632451</v>
      </c>
      <c r="V30">
        <v>43.893475618422634</v>
      </c>
      <c r="W30">
        <v>21.444909788006804</v>
      </c>
      <c r="X30">
        <v>48.232402431329639</v>
      </c>
      <c r="Y30">
        <v>7.0252600186369278</v>
      </c>
      <c r="Z30">
        <v>32.713535837658789</v>
      </c>
      <c r="AA30">
        <v>3.9865306308517101</v>
      </c>
      <c r="AB30">
        <v>33.257729186777574</v>
      </c>
      <c r="AD30">
        <v>8.3629099947919574</v>
      </c>
      <c r="AE30">
        <v>14.245551504013136</v>
      </c>
      <c r="AF30">
        <v>13.596233099374132</v>
      </c>
      <c r="AG30">
        <v>18.664480323065412</v>
      </c>
      <c r="AH30">
        <v>5.833359801468335</v>
      </c>
      <c r="AI30">
        <v>2.4382275975756267</v>
      </c>
      <c r="AK30">
        <v>48.114201883712944</v>
      </c>
    </row>
    <row r="31" spans="1:37" x14ac:dyDescent="0.2">
      <c r="A31">
        <v>30</v>
      </c>
      <c r="B31">
        <v>751</v>
      </c>
      <c r="C31">
        <v>250</v>
      </c>
      <c r="D31">
        <v>0.32500170873407402</v>
      </c>
      <c r="E31">
        <v>186.21232571316116</v>
      </c>
      <c r="F31">
        <v>60.331207514458015</v>
      </c>
      <c r="G31">
        <v>71.09421718460861</v>
      </c>
      <c r="H31">
        <v>66.479042058129608</v>
      </c>
      <c r="J31">
        <v>52.279726228975164</v>
      </c>
      <c r="L31">
        <v>5.677539298589072</v>
      </c>
      <c r="M31">
        <v>13.866622349664627</v>
      </c>
      <c r="N31">
        <v>2.4968828507062151</v>
      </c>
      <c r="O31">
        <v>20.140496730633846</v>
      </c>
      <c r="P31">
        <v>10.356158826528404</v>
      </c>
      <c r="Q31">
        <v>0.45971326801710072</v>
      </c>
      <c r="R31">
        <v>11.984377330467547</v>
      </c>
      <c r="S31">
        <v>33.159372067512486</v>
      </c>
      <c r="U31">
        <v>1.9992146773519697</v>
      </c>
      <c r="V31">
        <v>43.766712708848686</v>
      </c>
      <c r="W31">
        <v>21.226916002472809</v>
      </c>
      <c r="X31">
        <v>47.999177327866676</v>
      </c>
      <c r="Y31">
        <v>6.9349042779360488</v>
      </c>
      <c r="Z31">
        <v>32.506762931620706</v>
      </c>
      <c r="AA31">
        <v>3.9003575542056934</v>
      </c>
      <c r="AB31">
        <v>33.097637300131225</v>
      </c>
      <c r="AD31">
        <v>8.2451580216524327</v>
      </c>
      <c r="AE31">
        <v>14.152679139940075</v>
      </c>
      <c r="AF31">
        <v>13.518736762841607</v>
      </c>
      <c r="AG31">
        <v>18.489443721789041</v>
      </c>
      <c r="AH31">
        <v>5.6937099006736478</v>
      </c>
      <c r="AI31">
        <v>2.4399123125413769</v>
      </c>
      <c r="AK31">
        <v>48.106773444279256</v>
      </c>
    </row>
    <row r="32" spans="1:37" x14ac:dyDescent="0.2">
      <c r="A32">
        <v>31</v>
      </c>
      <c r="B32">
        <v>750</v>
      </c>
      <c r="C32">
        <v>250</v>
      </c>
      <c r="D32">
        <v>0.324273566925672</v>
      </c>
      <c r="E32">
        <v>186.08750257819031</v>
      </c>
      <c r="F32">
        <v>59.94617162676775</v>
      </c>
      <c r="G32">
        <v>71.030620076353713</v>
      </c>
      <c r="H32">
        <v>66.413118965397643</v>
      </c>
      <c r="J32">
        <v>52.202129386659394</v>
      </c>
      <c r="L32">
        <v>5.5668789406143393</v>
      </c>
      <c r="M32">
        <v>13.790385751437686</v>
      </c>
      <c r="N32">
        <v>2.4988575891258478</v>
      </c>
      <c r="O32">
        <v>19.761229834407601</v>
      </c>
      <c r="P32">
        <v>10.252465361520715</v>
      </c>
      <c r="Q32">
        <v>0.39197076459167512</v>
      </c>
      <c r="R32">
        <v>11.759488469322699</v>
      </c>
      <c r="S32">
        <v>32.685986629492163</v>
      </c>
      <c r="U32">
        <v>1.9104257234048123</v>
      </c>
      <c r="V32">
        <v>43.640155734937188</v>
      </c>
      <c r="W32">
        <v>21.009196138490868</v>
      </c>
      <c r="X32">
        <v>47.76635983349162</v>
      </c>
      <c r="Y32">
        <v>6.8446924414147396</v>
      </c>
      <c r="Z32">
        <v>32.300285147862802</v>
      </c>
      <c r="AA32">
        <v>3.814344914579189</v>
      </c>
      <c r="AB32">
        <v>32.937816188119896</v>
      </c>
      <c r="AD32">
        <v>8.1275020090803274</v>
      </c>
      <c r="AE32">
        <v>14.059934426599538</v>
      </c>
      <c r="AF32">
        <v>13.441381523303594</v>
      </c>
      <c r="AG32">
        <v>18.314680319947765</v>
      </c>
      <c r="AH32">
        <v>5.5542749433625582</v>
      </c>
      <c r="AI32">
        <v>2.4415960610116416</v>
      </c>
      <c r="AK32">
        <v>48.09964975793676</v>
      </c>
    </row>
    <row r="33" spans="1:37" x14ac:dyDescent="0.2">
      <c r="A33">
        <v>32</v>
      </c>
      <c r="B33">
        <v>749</v>
      </c>
      <c r="C33">
        <v>250</v>
      </c>
      <c r="D33">
        <v>0.32354400039133302</v>
      </c>
      <c r="E33">
        <v>185.96282564505717</v>
      </c>
      <c r="F33">
        <v>59.561800665661366</v>
      </c>
      <c r="G33">
        <v>70.967102445874076</v>
      </c>
      <c r="H33">
        <v>66.347288509473373</v>
      </c>
      <c r="J33">
        <v>52.125114307497803</v>
      </c>
      <c r="L33">
        <v>5.4562693665976516</v>
      </c>
      <c r="M33">
        <v>13.714289601950032</v>
      </c>
      <c r="N33">
        <v>2.5008322017404483</v>
      </c>
      <c r="O33">
        <v>19.382553157846093</v>
      </c>
      <c r="P33">
        <v>10.148938608694436</v>
      </c>
      <c r="Q33">
        <v>0.3244038778488002</v>
      </c>
      <c r="R33">
        <v>11.534936227111574</v>
      </c>
      <c r="S33">
        <v>32.213485817477299</v>
      </c>
      <c r="U33">
        <v>1.8216980787483363</v>
      </c>
      <c r="V33">
        <v>43.51380396517704</v>
      </c>
      <c r="W33">
        <v>20.791749351190347</v>
      </c>
      <c r="X33">
        <v>47.533948486842306</v>
      </c>
      <c r="Y33">
        <v>6.7546241113217897</v>
      </c>
      <c r="Z33">
        <v>32.09410169204935</v>
      </c>
      <c r="AA33">
        <v>3.728492338757198</v>
      </c>
      <c r="AB33">
        <v>32.778265055179908</v>
      </c>
      <c r="AD33">
        <v>8.0099422365756432</v>
      </c>
      <c r="AE33">
        <v>13.967317008208607</v>
      </c>
      <c r="AF33">
        <v>13.364166943316485</v>
      </c>
      <c r="AG33">
        <v>18.140189328595874</v>
      </c>
      <c r="AH33">
        <v>5.4150545738334417</v>
      </c>
      <c r="AI33">
        <v>2.4432788417377509</v>
      </c>
      <c r="AK33">
        <v>48.09283068798964</v>
      </c>
    </row>
    <row r="34" spans="1:37" x14ac:dyDescent="0.2">
      <c r="A34">
        <v>33</v>
      </c>
      <c r="B34">
        <v>748</v>
      </c>
      <c r="C34">
        <v>250</v>
      </c>
      <c r="D34">
        <v>0.32281300494540499</v>
      </c>
      <c r="E34">
        <v>185.8382944919048</v>
      </c>
      <c r="F34">
        <v>59.178092993477499</v>
      </c>
      <c r="G34">
        <v>70.903664134635889</v>
      </c>
      <c r="H34">
        <v>66.281550552907703</v>
      </c>
      <c r="J34">
        <v>52.048680470924417</v>
      </c>
      <c r="L34">
        <v>5.3457164289164814</v>
      </c>
      <c r="M34">
        <v>13.63833346146793</v>
      </c>
      <c r="N34">
        <v>2.5028066890922793</v>
      </c>
      <c r="O34">
        <v>19.004465439299032</v>
      </c>
      <c r="P34">
        <v>10.045578274618927</v>
      </c>
      <c r="Q34">
        <v>0.25691684054033886</v>
      </c>
      <c r="R34">
        <v>11.310719552252761</v>
      </c>
      <c r="S34">
        <v>31.741866947115223</v>
      </c>
      <c r="U34">
        <v>1.7330314111761325</v>
      </c>
      <c r="V34">
        <v>43.387656668136877</v>
      </c>
      <c r="W34">
        <v>20.574574804091075</v>
      </c>
      <c r="X34">
        <v>47.301941838061168</v>
      </c>
      <c r="Y34">
        <v>6.664698894655297</v>
      </c>
      <c r="Z34">
        <v>31.888211779020395</v>
      </c>
      <c r="AA34">
        <v>3.6427994581888559</v>
      </c>
      <c r="AB34">
        <v>32.61898311408315</v>
      </c>
      <c r="AD34">
        <v>7.8924789758849752</v>
      </c>
      <c r="AE34">
        <v>13.874826533363091</v>
      </c>
      <c r="AF34">
        <v>13.287092589376398</v>
      </c>
      <c r="AG34">
        <v>17.965969967095294</v>
      </c>
      <c r="AH34">
        <v>5.2760484423987268</v>
      </c>
      <c r="AI34">
        <v>2.44496065342179</v>
      </c>
      <c r="AK34">
        <v>48.086316101414312</v>
      </c>
    </row>
    <row r="35" spans="1:37" x14ac:dyDescent="0.2">
      <c r="A35">
        <v>34</v>
      </c>
      <c r="B35">
        <v>747</v>
      </c>
      <c r="C35">
        <v>250</v>
      </c>
      <c r="D35">
        <v>0.32208057638582899</v>
      </c>
      <c r="E35">
        <v>185.7139087006997</v>
      </c>
      <c r="F35">
        <v>58.795046990721161</v>
      </c>
      <c r="G35">
        <v>70.84030498615077</v>
      </c>
      <c r="H35">
        <v>66.215904960335536</v>
      </c>
      <c r="J35">
        <v>51.972827363793243</v>
      </c>
      <c r="L35">
        <v>5.2352253762083114</v>
      </c>
      <c r="M35">
        <v>13.562516894036259</v>
      </c>
      <c r="N35">
        <v>2.5047810517302382</v>
      </c>
      <c r="O35">
        <v>18.62696543137508</v>
      </c>
      <c r="P35">
        <v>9.9423840700321495</v>
      </c>
      <c r="Q35">
        <v>0.35194500051957495</v>
      </c>
      <c r="R35">
        <v>11.08683740390177</v>
      </c>
      <c r="S35">
        <v>31.271127355989886</v>
      </c>
      <c r="U35">
        <v>1.6444253921417902</v>
      </c>
      <c r="V35">
        <v>43.261713111981116</v>
      </c>
      <c r="W35">
        <v>20.357671668707397</v>
      </c>
      <c r="X35">
        <v>47.070338448189382</v>
      </c>
      <c r="Y35">
        <v>6.5749164030641056</v>
      </c>
      <c r="Z35">
        <v>31.682614632505416</v>
      </c>
      <c r="AA35">
        <v>3.5572659088636138</v>
      </c>
      <c r="AB35">
        <v>32.459969585577575</v>
      </c>
      <c r="AD35">
        <v>7.7751124914037142</v>
      </c>
      <c r="AE35">
        <v>13.782462654907613</v>
      </c>
      <c r="AF35">
        <v>13.21015803177575</v>
      </c>
      <c r="AG35">
        <v>17.792021462807543</v>
      </c>
      <c r="AH35">
        <v>5.1372562051791624</v>
      </c>
      <c r="AI35">
        <v>2.4466414947725967</v>
      </c>
      <c r="AK35">
        <v>48.080105868783946</v>
      </c>
    </row>
    <row r="36" spans="1:37" x14ac:dyDescent="0.2">
      <c r="A36">
        <v>35</v>
      </c>
      <c r="B36">
        <v>746</v>
      </c>
      <c r="C36">
        <v>250</v>
      </c>
      <c r="D36">
        <v>0.32134671049404001</v>
      </c>
      <c r="E36">
        <v>185.5896678570117</v>
      </c>
      <c r="F36">
        <v>58.41266105529121</v>
      </c>
      <c r="G36">
        <v>70.77702484586483</v>
      </c>
      <c r="H36">
        <v>66.150351598370563</v>
      </c>
      <c r="J36">
        <v>51.897554479989715</v>
      </c>
      <c r="L36">
        <v>5.1248009372514112</v>
      </c>
      <c r="M36">
        <v>13.486839467195614</v>
      </c>
      <c r="N36">
        <v>2.5067552902920487</v>
      </c>
      <c r="O36">
        <v>18.250051900596336</v>
      </c>
      <c r="P36">
        <v>9.8393557096888564</v>
      </c>
      <c r="Q36">
        <v>0.12237064345968883</v>
      </c>
      <c r="R36">
        <v>10.863288751448772</v>
      </c>
      <c r="S36">
        <v>30.80126440215977</v>
      </c>
      <c r="U36">
        <v>1.5558796965155315</v>
      </c>
      <c r="V36">
        <v>43.13597256380968</v>
      </c>
      <c r="W36">
        <v>20.141039124017293</v>
      </c>
      <c r="X36">
        <v>46.839136888509842</v>
      </c>
      <c r="Y36">
        <v>6.4852762526827448</v>
      </c>
      <c r="Z36">
        <v>31.477309484739713</v>
      </c>
      <c r="AA36">
        <v>3.4718913311328796</v>
      </c>
      <c r="AB36">
        <v>32.301223697896667</v>
      </c>
      <c r="AD36">
        <v>7.6578430404698201</v>
      </c>
      <c r="AE36">
        <v>13.690225029786939</v>
      </c>
      <c r="AF36">
        <v>13.133362844409088</v>
      </c>
      <c r="AG36">
        <v>17.61834305068955</v>
      </c>
      <c r="AH36">
        <v>4.9986775237598868</v>
      </c>
      <c r="AI36">
        <v>2.4483213645876005</v>
      </c>
      <c r="AK36">
        <v>48.074199864116665</v>
      </c>
    </row>
    <row r="37" spans="1:37" x14ac:dyDescent="0.2">
      <c r="A37">
        <v>36</v>
      </c>
      <c r="B37">
        <v>745</v>
      </c>
      <c r="C37">
        <v>250</v>
      </c>
      <c r="D37">
        <v>0.32061140303491598</v>
      </c>
      <c r="E37">
        <v>185.4655715504999</v>
      </c>
      <c r="F37">
        <v>58.030933604045202</v>
      </c>
      <c r="G37">
        <v>70.713823561400488</v>
      </c>
      <c r="H37">
        <v>66.084890335843284</v>
      </c>
      <c r="J37">
        <v>51.822861321270381</v>
      </c>
      <c r="L37">
        <v>5.0144473908290363</v>
      </c>
      <c r="M37">
        <v>13.411300752647271</v>
      </c>
      <c r="N37">
        <v>2.5087294052865623</v>
      </c>
      <c r="O37">
        <v>17.873723627954192</v>
      </c>
      <c r="P37">
        <v>9.7364929126365016</v>
      </c>
      <c r="Q37">
        <v>5.5267000227068819E-2</v>
      </c>
      <c r="R37">
        <v>10.640072575622144</v>
      </c>
      <c r="S37">
        <v>30.332275467414014</v>
      </c>
      <c r="U37">
        <v>1.4673940031506378</v>
      </c>
      <c r="V37">
        <v>43.01043429061508</v>
      </c>
      <c r="W37">
        <v>19.924676357679946</v>
      </c>
      <c r="X37">
        <v>46.608335742146792</v>
      </c>
      <c r="Y37">
        <v>6.3957780644790088</v>
      </c>
      <c r="Z37">
        <v>31.272295577288649</v>
      </c>
      <c r="AA37">
        <v>3.3866753698796019</v>
      </c>
      <c r="AB37">
        <v>32.142744687860215</v>
      </c>
      <c r="AD37">
        <v>7.5406708744305391</v>
      </c>
      <c r="AE37">
        <v>13.598113319337724</v>
      </c>
      <c r="AF37">
        <v>13.056706605210334</v>
      </c>
      <c r="AG37">
        <v>17.444933974173967</v>
      </c>
      <c r="AH37">
        <v>4.8603120659518657</v>
      </c>
      <c r="AI37">
        <v>2.4500002615354757</v>
      </c>
      <c r="AK37">
        <v>48.068597965172657</v>
      </c>
    </row>
    <row r="38" spans="1:37" x14ac:dyDescent="0.2">
      <c r="A38">
        <v>37</v>
      </c>
      <c r="B38">
        <v>744</v>
      </c>
      <c r="C38">
        <v>250</v>
      </c>
      <c r="D38">
        <v>0.31987464975667701</v>
      </c>
      <c r="E38">
        <v>184.82460367768809</v>
      </c>
      <c r="F38">
        <v>53.885354989548574</v>
      </c>
      <c r="G38">
        <v>70.098466727994037</v>
      </c>
      <c r="H38">
        <v>65.467286789239495</v>
      </c>
      <c r="J38">
        <v>50.165907284485264</v>
      </c>
      <c r="L38">
        <v>4.3837296663518766</v>
      </c>
      <c r="M38">
        <v>13.399300547734418</v>
      </c>
      <c r="N38">
        <v>2.5106641677431285</v>
      </c>
      <c r="O38">
        <v>13.650576908790237</v>
      </c>
      <c r="P38">
        <v>8.5292876637325996</v>
      </c>
      <c r="R38">
        <v>9.1247511562648373</v>
      </c>
      <c r="S38">
        <v>28.004103746101208</v>
      </c>
      <c r="U38">
        <v>1.4452827770759227</v>
      </c>
      <c r="V38">
        <v>42.779952408717918</v>
      </c>
      <c r="W38">
        <v>19.753641398446931</v>
      </c>
      <c r="X38">
        <v>46.58142256041652</v>
      </c>
      <c r="Y38">
        <v>5.2038148883187541</v>
      </c>
      <c r="Z38">
        <v>28.555601429379472</v>
      </c>
      <c r="AA38">
        <v>2.2390035310169698</v>
      </c>
      <c r="AB38">
        <v>31.016021489483155</v>
      </c>
      <c r="AD38">
        <v>5.9603845725003826</v>
      </c>
      <c r="AE38">
        <v>12.432431722892574</v>
      </c>
      <c r="AF38">
        <v>13.043549888288965</v>
      </c>
      <c r="AG38">
        <v>16.303243944430143</v>
      </c>
      <c r="AH38">
        <v>3.047608906003926</v>
      </c>
      <c r="AI38">
        <v>2.4516389548045803</v>
      </c>
      <c r="AK38">
        <v>46.973024669770318</v>
      </c>
    </row>
    <row r="39" spans="1:37" x14ac:dyDescent="0.2">
      <c r="A39">
        <v>38</v>
      </c>
      <c r="B39">
        <v>743</v>
      </c>
      <c r="C39">
        <v>250</v>
      </c>
      <c r="D39">
        <v>0.31913644639078897</v>
      </c>
      <c r="E39">
        <v>183.85239016433181</v>
      </c>
      <c r="F39">
        <v>47.189912071285669</v>
      </c>
      <c r="G39">
        <v>69.12286349238353</v>
      </c>
      <c r="H39">
        <v>64.48945012658919</v>
      </c>
      <c r="J39">
        <v>47.309227709310626</v>
      </c>
      <c r="L39">
        <v>1.3682995390279284</v>
      </c>
      <c r="M39">
        <v>13.350978119623198</v>
      </c>
      <c r="N39">
        <v>2.512570173150225</v>
      </c>
      <c r="O39">
        <v>6.8733667494300157</v>
      </c>
      <c r="P39">
        <v>6.6015688753649666</v>
      </c>
      <c r="R39">
        <v>6.5914716888493858</v>
      </c>
      <c r="S39">
        <v>24.083990196064324</v>
      </c>
      <c r="U39">
        <v>1.4343826414143634</v>
      </c>
      <c r="V39">
        <v>42.341832112716205</v>
      </c>
      <c r="W39">
        <v>19.626391171968315</v>
      </c>
      <c r="X39">
        <v>46.585332166234238</v>
      </c>
      <c r="Y39">
        <v>3.286332782235347</v>
      </c>
      <c r="Z39">
        <v>23.991081633873385</v>
      </c>
      <c r="AA39">
        <v>0.37768147493541621</v>
      </c>
      <c r="AB39">
        <v>29.028587960513857</v>
      </c>
      <c r="AD39">
        <v>3.3076279763898682</v>
      </c>
      <c r="AE39">
        <v>10.460166584691043</v>
      </c>
      <c r="AF39">
        <v>12.994042562055299</v>
      </c>
      <c r="AG39">
        <v>14.300817420839916</v>
      </c>
      <c r="AH39">
        <v>9.3292613760200205E-2</v>
      </c>
      <c r="AI39">
        <v>2.4532480380439137</v>
      </c>
      <c r="AK39">
        <v>45.095650903065867</v>
      </c>
    </row>
    <row r="40" spans="1:37" x14ac:dyDescent="0.2">
      <c r="A40">
        <v>39</v>
      </c>
      <c r="B40">
        <v>742</v>
      </c>
      <c r="C40">
        <v>250</v>
      </c>
      <c r="D40">
        <v>0.318396788651924</v>
      </c>
      <c r="E40">
        <v>184.65103476334215</v>
      </c>
      <c r="F40">
        <v>46.90887017570472</v>
      </c>
      <c r="G40">
        <v>69.827129985576391</v>
      </c>
      <c r="H40">
        <v>65.191496500233072</v>
      </c>
      <c r="J40">
        <v>25.772589778875762</v>
      </c>
      <c r="L40">
        <v>1.5469585494057865</v>
      </c>
      <c r="M40">
        <v>13.111105288585462</v>
      </c>
      <c r="N40">
        <v>2.5146127100758608</v>
      </c>
      <c r="O40">
        <v>5.8057328298046276</v>
      </c>
      <c r="P40">
        <v>8.0337341216050326</v>
      </c>
      <c r="R40">
        <v>7.2466284274755983</v>
      </c>
      <c r="S40">
        <v>23.926823885968023</v>
      </c>
      <c r="U40">
        <v>1.4187810633336262</v>
      </c>
      <c r="V40">
        <v>42.792054383971283</v>
      </c>
      <c r="W40">
        <v>19.308732984155192</v>
      </c>
      <c r="X40">
        <v>46.575385356034488</v>
      </c>
      <c r="Y40">
        <v>3.7716305515006816</v>
      </c>
      <c r="Z40">
        <v>17.544040928894194</v>
      </c>
      <c r="AB40">
        <v>25.080212100015107</v>
      </c>
      <c r="AD40">
        <v>0.35474900715813529</v>
      </c>
      <c r="AE40">
        <v>6.3206967225592958</v>
      </c>
      <c r="AF40">
        <v>12.753121741110352</v>
      </c>
      <c r="AG40">
        <v>10.337587697194774</v>
      </c>
      <c r="AI40">
        <v>2.4549927979802599</v>
      </c>
      <c r="AK40">
        <v>30.696136698808736</v>
      </c>
    </row>
    <row r="41" spans="1:37" x14ac:dyDescent="0.2">
      <c r="A41">
        <v>40</v>
      </c>
      <c r="B41">
        <v>741</v>
      </c>
      <c r="C41">
        <v>250</v>
      </c>
      <c r="D41">
        <v>0.31765567223783697</v>
      </c>
      <c r="E41">
        <v>184.73496960012861</v>
      </c>
      <c r="F41">
        <v>47.253700949500676</v>
      </c>
      <c r="G41">
        <v>69.799399016225266</v>
      </c>
      <c r="H41">
        <v>65.161558740199084</v>
      </c>
      <c r="J41">
        <v>18.298169537964746</v>
      </c>
      <c r="L41">
        <v>1.5635143576156079</v>
      </c>
      <c r="M41">
        <v>12.828251669321485</v>
      </c>
      <c r="N41">
        <v>2.5165908127246031</v>
      </c>
      <c r="O41">
        <v>5.7645597653100733</v>
      </c>
      <c r="P41">
        <v>8.0018480775160583</v>
      </c>
      <c r="R41">
        <v>7.0504865468264937</v>
      </c>
      <c r="S41">
        <v>24.146157241262525</v>
      </c>
      <c r="U41">
        <v>1.398890619059203</v>
      </c>
      <c r="V41">
        <v>43.171272169754623</v>
      </c>
      <c r="W41">
        <v>18.950439609217522</v>
      </c>
      <c r="X41">
        <v>46.553632934255397</v>
      </c>
      <c r="Y41">
        <v>3.5932083474723799</v>
      </c>
      <c r="Z41">
        <v>17.747713293947722</v>
      </c>
      <c r="AB41">
        <v>25.443611599520398</v>
      </c>
      <c r="AE41">
        <v>6.4326330052426925</v>
      </c>
      <c r="AF41">
        <v>12.469156080139458</v>
      </c>
      <c r="AG41">
        <v>10.686071505417933</v>
      </c>
      <c r="AI41">
        <v>2.4566722669777765</v>
      </c>
      <c r="AK41">
        <v>25.651297536115386</v>
      </c>
    </row>
    <row r="42" spans="1:37" x14ac:dyDescent="0.2">
      <c r="A42">
        <v>41</v>
      </c>
      <c r="B42">
        <v>759</v>
      </c>
      <c r="C42">
        <v>225</v>
      </c>
      <c r="D42">
        <v>0.35741946422516302</v>
      </c>
      <c r="E42">
        <v>172.61053279324508</v>
      </c>
      <c r="F42">
        <v>62.871667638398627</v>
      </c>
      <c r="G42">
        <v>71.601121702048104</v>
      </c>
      <c r="H42">
        <v>67.003889581737681</v>
      </c>
      <c r="J42">
        <v>52.463999874318922</v>
      </c>
      <c r="L42">
        <v>6.4214243105793072</v>
      </c>
      <c r="M42">
        <v>14.431950468429203</v>
      </c>
      <c r="N42">
        <v>2.3956956760872212</v>
      </c>
      <c r="O42">
        <v>23.325369827793509</v>
      </c>
      <c r="P42">
        <v>10.955689234695321</v>
      </c>
      <c r="Q42">
        <v>0.8368812482316772</v>
      </c>
      <c r="R42">
        <v>13.775833407800642</v>
      </c>
      <c r="S42">
        <v>36.436503576263952</v>
      </c>
      <c r="U42">
        <v>2.5892972899801054</v>
      </c>
      <c r="V42">
        <v>44.202228969909363</v>
      </c>
      <c r="W42">
        <v>23.514452399673232</v>
      </c>
      <c r="X42">
        <v>48.30030381836805</v>
      </c>
      <c r="Y42">
        <v>7.4528532417609865</v>
      </c>
      <c r="Z42">
        <v>34.060432801389275</v>
      </c>
      <c r="AA42">
        <v>4.5135351758281397</v>
      </c>
      <c r="AB42">
        <v>34.368551966827212</v>
      </c>
      <c r="AC42">
        <v>5.8515523535257593E-3</v>
      </c>
      <c r="AD42">
        <v>9.1164756412219248</v>
      </c>
      <c r="AE42">
        <v>15.065395643962436</v>
      </c>
      <c r="AF42">
        <v>14.084728800538857</v>
      </c>
      <c r="AG42">
        <v>19.902550350847513</v>
      </c>
      <c r="AH42">
        <v>6.2884886018689681</v>
      </c>
      <c r="AI42">
        <v>2.3378718751288776</v>
      </c>
      <c r="AK42">
        <v>47.808370594337724</v>
      </c>
    </row>
    <row r="43" spans="1:37" x14ac:dyDescent="0.2">
      <c r="A43">
        <v>42</v>
      </c>
      <c r="B43">
        <v>758</v>
      </c>
      <c r="C43">
        <v>225</v>
      </c>
      <c r="D43">
        <v>0.356728410027642</v>
      </c>
      <c r="E43">
        <v>172.50036383333781</v>
      </c>
      <c r="F43">
        <v>62.534148999567293</v>
      </c>
      <c r="G43">
        <v>71.544638914749484</v>
      </c>
      <c r="H43">
        <v>66.94496612153759</v>
      </c>
      <c r="J43">
        <v>52.409327855045937</v>
      </c>
      <c r="L43">
        <v>6.331590389251784</v>
      </c>
      <c r="M43">
        <v>14.375614711812768</v>
      </c>
      <c r="N43">
        <v>2.3914946963851582</v>
      </c>
      <c r="O43">
        <v>22.963403664307492</v>
      </c>
      <c r="P43">
        <v>10.859976713519712</v>
      </c>
      <c r="Q43">
        <v>0.57725074494617135</v>
      </c>
      <c r="R43">
        <v>13.58477555651506</v>
      </c>
      <c r="S43">
        <v>36.060705004843619</v>
      </c>
      <c r="U43">
        <v>2.5180813880038335</v>
      </c>
      <c r="V43">
        <v>44.110376153072359</v>
      </c>
      <c r="W43">
        <v>23.332961982896958</v>
      </c>
      <c r="X43">
        <v>48.127719011702375</v>
      </c>
      <c r="Y43">
        <v>7.3730607299045836</v>
      </c>
      <c r="Z43">
        <v>33.879490400075554</v>
      </c>
      <c r="AA43">
        <v>4.4348893942265928</v>
      </c>
      <c r="AB43">
        <v>34.242189141318747</v>
      </c>
      <c r="AD43">
        <v>9.0168382646139307</v>
      </c>
      <c r="AE43">
        <v>14.982010454883106</v>
      </c>
      <c r="AF43">
        <v>14.02109267556078</v>
      </c>
      <c r="AG43">
        <v>19.755082157983541</v>
      </c>
      <c r="AH43">
        <v>6.1714567260884863</v>
      </c>
      <c r="AI43">
        <v>2.3333877025234289</v>
      </c>
      <c r="AK43">
        <v>47.809178156668466</v>
      </c>
    </row>
    <row r="44" spans="1:37" x14ac:dyDescent="0.2">
      <c r="A44">
        <v>43</v>
      </c>
      <c r="B44">
        <v>757</v>
      </c>
      <c r="C44">
        <v>225</v>
      </c>
      <c r="D44">
        <v>0.35603601417269398</v>
      </c>
      <c r="E44">
        <v>172.37519028418888</v>
      </c>
      <c r="F44">
        <v>62.147390936011369</v>
      </c>
      <c r="G44">
        <v>71.480746482682875</v>
      </c>
      <c r="H44">
        <v>66.878646010770922</v>
      </c>
      <c r="J44">
        <v>52.327987694504671</v>
      </c>
      <c r="L44">
        <v>6.2218076751241336</v>
      </c>
      <c r="M44">
        <v>14.299275724194082</v>
      </c>
      <c r="N44">
        <v>2.393472699991237</v>
      </c>
      <c r="O44">
        <v>22.581220345465297</v>
      </c>
      <c r="P44">
        <v>10.755631582942275</v>
      </c>
      <c r="Q44">
        <v>0.50064235055897155</v>
      </c>
      <c r="R44">
        <v>13.359349006983589</v>
      </c>
      <c r="S44">
        <v>35.584691941036446</v>
      </c>
      <c r="U44">
        <v>2.4291437564183007</v>
      </c>
      <c r="V44">
        <v>43.983848288040534</v>
      </c>
      <c r="W44">
        <v>23.114312324083759</v>
      </c>
      <c r="X44">
        <v>47.894874859487871</v>
      </c>
      <c r="Y44">
        <v>7.2823531595545514</v>
      </c>
      <c r="Z44">
        <v>33.673152094501837</v>
      </c>
      <c r="AA44">
        <v>4.3484413215673481</v>
      </c>
      <c r="AB44">
        <v>34.082173052909631</v>
      </c>
      <c r="AD44">
        <v>8.9002201713992992</v>
      </c>
      <c r="AE44">
        <v>14.889259184402187</v>
      </c>
      <c r="AF44">
        <v>13.943632600499475</v>
      </c>
      <c r="AG44">
        <v>19.580142195065832</v>
      </c>
      <c r="AH44">
        <v>6.0313427674116431</v>
      </c>
      <c r="AI44">
        <v>2.3350816860000325</v>
      </c>
      <c r="AK44">
        <v>47.800266652785389</v>
      </c>
    </row>
    <row r="45" spans="1:37" x14ac:dyDescent="0.2">
      <c r="A45">
        <v>44</v>
      </c>
      <c r="B45">
        <v>756</v>
      </c>
      <c r="C45">
        <v>225</v>
      </c>
      <c r="D45">
        <v>0.35534227274935698</v>
      </c>
      <c r="E45">
        <v>172.25015977065092</v>
      </c>
      <c r="F45">
        <v>61.76128703285513</v>
      </c>
      <c r="G45">
        <v>71.416932055202778</v>
      </c>
      <c r="H45">
        <v>66.812416919549932</v>
      </c>
      <c r="J45">
        <v>52.247220370022724</v>
      </c>
      <c r="L45">
        <v>6.1120122311667648</v>
      </c>
      <c r="M45">
        <v>14.223075304001172</v>
      </c>
      <c r="N45">
        <v>2.3954505748950545</v>
      </c>
      <c r="O45">
        <v>22.199618637125443</v>
      </c>
      <c r="P45">
        <v>10.651450052254795</v>
      </c>
      <c r="Q45">
        <v>0.42413051185907108</v>
      </c>
      <c r="R45">
        <v>13.134253778246636</v>
      </c>
      <c r="S45">
        <v>35.109550496678906</v>
      </c>
      <c r="U45">
        <v>2.3402620813493624</v>
      </c>
      <c r="V45">
        <v>43.857521951908772</v>
      </c>
      <c r="W45">
        <v>22.895933165532306</v>
      </c>
      <c r="X45">
        <v>47.662429213655741</v>
      </c>
      <c r="Y45">
        <v>7.1917862752212489</v>
      </c>
      <c r="Z45">
        <v>33.467108286503375</v>
      </c>
      <c r="AA45">
        <v>4.2621506405432301</v>
      </c>
      <c r="AB45">
        <v>33.922425242750755</v>
      </c>
      <c r="AD45">
        <v>8.7836829255872058</v>
      </c>
      <c r="AE45">
        <v>14.796635412779992</v>
      </c>
      <c r="AF45">
        <v>13.866311267359338</v>
      </c>
      <c r="AG45">
        <v>19.405472897129695</v>
      </c>
      <c r="AH45">
        <v>5.891438369260297</v>
      </c>
      <c r="AI45">
        <v>2.336774711709972</v>
      </c>
      <c r="AK45">
        <v>47.791653736138862</v>
      </c>
    </row>
    <row r="46" spans="1:37" x14ac:dyDescent="0.2">
      <c r="A46">
        <v>45</v>
      </c>
      <c r="B46">
        <v>755</v>
      </c>
      <c r="C46">
        <v>225</v>
      </c>
      <c r="D46">
        <v>0.354647181831445</v>
      </c>
      <c r="E46">
        <v>172.12527186635583</v>
      </c>
      <c r="F46">
        <v>61.375835658047734</v>
      </c>
      <c r="G46">
        <v>71.35319547228714</v>
      </c>
      <c r="H46">
        <v>66.746278708651332</v>
      </c>
      <c r="J46">
        <v>52.167025347321847</v>
      </c>
      <c r="L46">
        <v>6.0022175929836239</v>
      </c>
      <c r="M46">
        <v>14.14701301642514</v>
      </c>
      <c r="N46">
        <v>2.3974283216627401</v>
      </c>
      <c r="O46">
        <v>21.818597286329453</v>
      </c>
      <c r="P46">
        <v>10.547431824634058</v>
      </c>
      <c r="Q46">
        <v>0.34766587287444334</v>
      </c>
      <c r="R46">
        <v>12.909488819043421</v>
      </c>
      <c r="S46">
        <v>34.635278008753851</v>
      </c>
      <c r="U46">
        <v>2.2514360396080382</v>
      </c>
      <c r="V46">
        <v>43.731396449619723</v>
      </c>
      <c r="W46">
        <v>22.677823694224124</v>
      </c>
      <c r="X46">
        <v>47.430380623930695</v>
      </c>
      <c r="Y46">
        <v>7.1013596792161362</v>
      </c>
      <c r="Z46">
        <v>33.261358230173947</v>
      </c>
      <c r="AA46">
        <v>4.1760169806763301</v>
      </c>
      <c r="AB46">
        <v>33.762944948078911</v>
      </c>
      <c r="AD46">
        <v>8.6672272308624247</v>
      </c>
      <c r="AE46">
        <v>14.704138808403984</v>
      </c>
      <c r="AF46">
        <v>13.7891282474938</v>
      </c>
      <c r="AG46">
        <v>19.231073507890901</v>
      </c>
      <c r="AH46">
        <v>5.7517431825125609</v>
      </c>
      <c r="AI46">
        <v>2.3384667783807118</v>
      </c>
      <c r="AK46">
        <v>47.783339261246994</v>
      </c>
    </row>
    <row r="47" spans="1:37" x14ac:dyDescent="0.2">
      <c r="A47">
        <v>46</v>
      </c>
      <c r="B47">
        <v>754</v>
      </c>
      <c r="C47">
        <v>225</v>
      </c>
      <c r="D47">
        <v>0.35395073747748601</v>
      </c>
      <c r="E47">
        <v>172.00052614891217</v>
      </c>
      <c r="F47">
        <v>60.991035198041615</v>
      </c>
      <c r="G47">
        <v>71.289536575994006</v>
      </c>
      <c r="H47">
        <v>66.680231240970556</v>
      </c>
      <c r="J47">
        <v>52.087402099689292</v>
      </c>
      <c r="L47">
        <v>5.8924939996537429</v>
      </c>
      <c r="M47">
        <v>14.071088430594253</v>
      </c>
      <c r="N47">
        <v>2.3994059408381849</v>
      </c>
      <c r="O47">
        <v>21.438155054299923</v>
      </c>
      <c r="P47">
        <v>10.443576607459212</v>
      </c>
      <c r="Q47">
        <v>0.27128811266346903</v>
      </c>
      <c r="R47">
        <v>12.6850530890916</v>
      </c>
      <c r="S47">
        <v>34.161871836750777</v>
      </c>
      <c r="U47">
        <v>2.1626653116831274</v>
      </c>
      <c r="V47">
        <v>43.605471087338678</v>
      </c>
      <c r="W47">
        <v>22.459983105330789</v>
      </c>
      <c r="X47">
        <v>47.198727651810501</v>
      </c>
      <c r="Y47">
        <v>7.0110729785180075</v>
      </c>
      <c r="Z47">
        <v>33.055901188458598</v>
      </c>
      <c r="AA47">
        <v>4.0900399761733857</v>
      </c>
      <c r="AB47">
        <v>33.603731414296277</v>
      </c>
      <c r="AD47">
        <v>8.5508537605427026</v>
      </c>
      <c r="AE47">
        <v>14.611769043927902</v>
      </c>
      <c r="AF47">
        <v>13.712083116187634</v>
      </c>
      <c r="AG47">
        <v>19.056943279227571</v>
      </c>
      <c r="AH47">
        <v>5.6122568639417798</v>
      </c>
      <c r="AI47">
        <v>2.3401578847177129</v>
      </c>
      <c r="AK47">
        <v>47.775323086313115</v>
      </c>
    </row>
    <row r="48" spans="1:37" x14ac:dyDescent="0.2">
      <c r="A48">
        <v>47</v>
      </c>
      <c r="B48">
        <v>753</v>
      </c>
      <c r="C48">
        <v>225</v>
      </c>
      <c r="D48">
        <v>0.35325293573064698</v>
      </c>
      <c r="E48">
        <v>171.87592219919551</v>
      </c>
      <c r="F48">
        <v>60.606884055683999</v>
      </c>
      <c r="G48">
        <v>71.225955210190392</v>
      </c>
      <c r="H48">
        <v>66.614274381255399</v>
      </c>
      <c r="J48">
        <v>52.008350106804343</v>
      </c>
      <c r="L48">
        <v>5.7827294048564433</v>
      </c>
      <c r="M48">
        <v>13.995301118958572</v>
      </c>
      <c r="N48">
        <v>2.4013834330344324</v>
      </c>
      <c r="O48">
        <v>21.058290715476023</v>
      </c>
      <c r="P48">
        <v>10.339884111862631</v>
      </c>
      <c r="Q48">
        <v>0.1949933052928339</v>
      </c>
      <c r="R48">
        <v>12.460945557747886</v>
      </c>
      <c r="S48">
        <v>33.689329359464914</v>
      </c>
      <c r="U48">
        <v>2.0739495812480997</v>
      </c>
      <c r="V48">
        <v>43.479745171092077</v>
      </c>
      <c r="W48">
        <v>22.242410601328945</v>
      </c>
      <c r="X48">
        <v>46.967468867825104</v>
      </c>
      <c r="Y48">
        <v>6.9209257843176859</v>
      </c>
      <c r="Z48">
        <v>32.850736432635031</v>
      </c>
      <c r="AA48">
        <v>4.0042192655034379</v>
      </c>
      <c r="AB48">
        <v>33.444783894195304</v>
      </c>
      <c r="AD48">
        <v>8.4345631594852239</v>
      </c>
      <c r="AE48">
        <v>14.519525796174543</v>
      </c>
      <c r="AF48">
        <v>13.635175452126107</v>
      </c>
      <c r="AG48">
        <v>18.883081470497054</v>
      </c>
      <c r="AH48">
        <v>5.4729790754404943</v>
      </c>
      <c r="AI48">
        <v>2.3418480294945403</v>
      </c>
      <c r="AK48">
        <v>47.767605072564599</v>
      </c>
    </row>
    <row r="49" spans="1:37" x14ac:dyDescent="0.2">
      <c r="A49">
        <v>48</v>
      </c>
      <c r="B49">
        <v>752</v>
      </c>
      <c r="C49">
        <v>225</v>
      </c>
      <c r="D49">
        <v>0.35255377261864101</v>
      </c>
      <c r="E49">
        <v>171.75145960192444</v>
      </c>
      <c r="F49">
        <v>60.223380651936544</v>
      </c>
      <c r="G49">
        <v>71.162451220799738</v>
      </c>
      <c r="H49">
        <v>66.548407996348132</v>
      </c>
      <c r="J49">
        <v>51.929868855712527</v>
      </c>
      <c r="L49">
        <v>5.6729966813158228</v>
      </c>
      <c r="M49">
        <v>13.919650657897646</v>
      </c>
      <c r="N49">
        <v>2.4033607987825696</v>
      </c>
      <c r="O49">
        <v>20.679003058183035</v>
      </c>
      <c r="P49">
        <v>10.236354053065661</v>
      </c>
      <c r="Q49">
        <v>0.3687944261997545</v>
      </c>
      <c r="R49">
        <v>12.237165205163194</v>
      </c>
      <c r="S49">
        <v>33.217647978033845</v>
      </c>
      <c r="U49">
        <v>1.9852885356684764</v>
      </c>
      <c r="V49">
        <v>43.354218007773348</v>
      </c>
      <c r="W49">
        <v>22.025105392986564</v>
      </c>
      <c r="X49">
        <v>46.736602853680786</v>
      </c>
      <c r="Y49">
        <v>6.830917712397806</v>
      </c>
      <c r="Z49">
        <v>32.645863242914523</v>
      </c>
      <c r="AA49">
        <v>3.9185544916869839</v>
      </c>
      <c r="AB49">
        <v>33.286101648831121</v>
      </c>
      <c r="AD49">
        <v>8.3183560466319726</v>
      </c>
      <c r="AE49">
        <v>14.4274087462941</v>
      </c>
      <c r="AF49">
        <v>13.558404837858081</v>
      </c>
      <c r="AG49">
        <v>18.709487349254879</v>
      </c>
      <c r="AH49">
        <v>5.3339094862192153</v>
      </c>
      <c r="AI49">
        <v>2.3435372114030346</v>
      </c>
      <c r="AK49">
        <v>47.760185084724952</v>
      </c>
    </row>
    <row r="50" spans="1:37" x14ac:dyDescent="0.2">
      <c r="A50">
        <v>49</v>
      </c>
      <c r="B50">
        <v>751</v>
      </c>
      <c r="C50">
        <v>225</v>
      </c>
      <c r="D50">
        <v>0.35185324415369101</v>
      </c>
      <c r="E50">
        <v>171.62713794514423</v>
      </c>
      <c r="F50">
        <v>59.84052342422391</v>
      </c>
      <c r="G50">
        <v>71.099024455566692</v>
      </c>
      <c r="H50">
        <v>66.482631954954272</v>
      </c>
      <c r="J50">
        <v>51.851957839896613</v>
      </c>
      <c r="L50">
        <v>5.5633033033200281</v>
      </c>
      <c r="M50">
        <v>13.844136627140051</v>
      </c>
      <c r="N50">
        <v>2.405338038673869</v>
      </c>
      <c r="O50">
        <v>20.300290883888913</v>
      </c>
      <c r="P50">
        <v>10.13298615005778</v>
      </c>
      <c r="Q50">
        <v>4.2651940975494143E-2</v>
      </c>
      <c r="R50">
        <v>12.013711021192924</v>
      </c>
      <c r="S50">
        <v>32.746825112999673</v>
      </c>
      <c r="U50">
        <v>1.8966818655096978</v>
      </c>
      <c r="V50">
        <v>43.228888903955202</v>
      </c>
      <c r="W50">
        <v>21.808066698358282</v>
      </c>
      <c r="X50">
        <v>46.506128201054992</v>
      </c>
      <c r="Y50">
        <v>6.7410483827761531</v>
      </c>
      <c r="Z50">
        <v>32.441280907790969</v>
      </c>
      <c r="AA50">
        <v>3.8330453019851922</v>
      </c>
      <c r="AB50">
        <v>33.127683946633326</v>
      </c>
      <c r="AD50">
        <v>8.2022330164918671</v>
      </c>
      <c r="AE50">
        <v>14.335417579552047</v>
      </c>
      <c r="AF50">
        <v>13.48177085935153</v>
      </c>
      <c r="AG50">
        <v>18.536160190510664</v>
      </c>
      <c r="AH50">
        <v>5.1950477666631256</v>
      </c>
      <c r="AI50">
        <v>2.3452254291951076</v>
      </c>
      <c r="AK50">
        <v>47.75306299058456</v>
      </c>
    </row>
    <row r="51" spans="1:37" x14ac:dyDescent="0.2">
      <c r="A51">
        <v>50</v>
      </c>
      <c r="B51">
        <v>750</v>
      </c>
      <c r="C51">
        <v>225</v>
      </c>
      <c r="D51">
        <v>0.35115134633240402</v>
      </c>
      <c r="E51">
        <v>171.46858012723902</v>
      </c>
      <c r="F51">
        <v>59.239800768728514</v>
      </c>
      <c r="G51">
        <v>70.997607356297124</v>
      </c>
      <c r="H51">
        <v>66.378878719881456</v>
      </c>
      <c r="J51">
        <v>51.73672060873249</v>
      </c>
      <c r="L51">
        <v>5.4709651672751152</v>
      </c>
      <c r="M51">
        <v>13.808276014244244</v>
      </c>
      <c r="N51">
        <v>2.4073119252747923</v>
      </c>
      <c r="O51">
        <v>19.672361247121966</v>
      </c>
      <c r="P51">
        <v>9.9536420819925091</v>
      </c>
      <c r="R51">
        <v>11.768553088813265</v>
      </c>
      <c r="S51">
        <v>32.336165954322439</v>
      </c>
      <c r="U51">
        <v>1.8311498575095368</v>
      </c>
      <c r="V51">
        <v>43.166128835367012</v>
      </c>
      <c r="W51">
        <v>21.594185618932013</v>
      </c>
      <c r="X51">
        <v>46.348395625199629</v>
      </c>
      <c r="Y51">
        <v>6.5773568748581495</v>
      </c>
      <c r="Z51">
        <v>32.126848386807168</v>
      </c>
      <c r="AA51">
        <v>3.6807885100480924</v>
      </c>
      <c r="AB51">
        <v>33.004097546813625</v>
      </c>
      <c r="AD51">
        <v>8.0175176464351043</v>
      </c>
      <c r="AE51">
        <v>14.208003993043567</v>
      </c>
      <c r="AF51">
        <v>13.444787282391596</v>
      </c>
      <c r="AG51">
        <v>18.397663532049268</v>
      </c>
      <c r="AH51">
        <v>4.9495172521127211</v>
      </c>
      <c r="AI51">
        <v>2.3469094535973922</v>
      </c>
      <c r="AK51">
        <v>47.697603944793499</v>
      </c>
    </row>
    <row r="52" spans="1:37" x14ac:dyDescent="0.2">
      <c r="A52">
        <v>51</v>
      </c>
      <c r="B52">
        <v>749</v>
      </c>
      <c r="C52">
        <v>225</v>
      </c>
      <c r="D52">
        <v>0.350448075135744</v>
      </c>
      <c r="E52">
        <v>171.26905080773614</v>
      </c>
      <c r="F52">
        <v>58.374473193021167</v>
      </c>
      <c r="G52">
        <v>70.849497325678641</v>
      </c>
      <c r="H52">
        <v>66.228445714859589</v>
      </c>
      <c r="J52">
        <v>51.5727387103315</v>
      </c>
      <c r="L52">
        <v>5.3937290960106532</v>
      </c>
      <c r="M52">
        <v>13.820709096863926</v>
      </c>
      <c r="N52">
        <v>2.4092815564867358</v>
      </c>
      <c r="O52">
        <v>18.739053988851929</v>
      </c>
      <c r="P52">
        <v>9.6809157751820187</v>
      </c>
      <c r="R52">
        <v>11.492300918648821</v>
      </c>
      <c r="S52">
        <v>31.988362109626888</v>
      </c>
      <c r="U52">
        <v>1.7948942948645765</v>
      </c>
      <c r="V52">
        <v>43.174905506612831</v>
      </c>
      <c r="W52">
        <v>21.385439118949293</v>
      </c>
      <c r="X52">
        <v>46.282437139216718</v>
      </c>
      <c r="Y52">
        <v>6.3229927203559804</v>
      </c>
      <c r="Z52">
        <v>31.678939888541727</v>
      </c>
      <c r="AA52">
        <v>3.4465845627893796</v>
      </c>
      <c r="AB52">
        <v>32.918287070495623</v>
      </c>
      <c r="AD52">
        <v>7.7490126306139526</v>
      </c>
      <c r="AE52">
        <v>14.038008739549557</v>
      </c>
      <c r="AF52">
        <v>13.456093488209792</v>
      </c>
      <c r="AG52">
        <v>18.296941098924133</v>
      </c>
      <c r="AH52">
        <v>4.5726791973686627</v>
      </c>
      <c r="AI52">
        <v>2.3485883806715737</v>
      </c>
      <c r="AK52">
        <v>47.582828057147715</v>
      </c>
    </row>
    <row r="53" spans="1:37" x14ac:dyDescent="0.2">
      <c r="A53">
        <v>52</v>
      </c>
      <c r="B53">
        <v>748</v>
      </c>
      <c r="C53">
        <v>225</v>
      </c>
      <c r="D53">
        <v>0.34974342652891699</v>
      </c>
      <c r="E53">
        <v>170.69554946928335</v>
      </c>
      <c r="F53">
        <v>54.68862363613411</v>
      </c>
      <c r="G53">
        <v>70.295507721066087</v>
      </c>
      <c r="H53">
        <v>65.672146318328643</v>
      </c>
      <c r="J53">
        <v>50.092027896410293</v>
      </c>
      <c r="L53">
        <v>3.3307426283331298</v>
      </c>
      <c r="M53">
        <v>13.812128833935189</v>
      </c>
      <c r="N53">
        <v>2.4112238731092042</v>
      </c>
      <c r="O53">
        <v>14.955496468691095</v>
      </c>
      <c r="P53">
        <v>8.5964109082383633</v>
      </c>
      <c r="R53">
        <v>10.111293146631972</v>
      </c>
      <c r="S53">
        <v>29.836205180922338</v>
      </c>
      <c r="U53">
        <v>1.7801846151778551</v>
      </c>
      <c r="V53">
        <v>42.935832877117562</v>
      </c>
      <c r="W53">
        <v>21.210095296109099</v>
      </c>
      <c r="X53">
        <v>46.277539736698969</v>
      </c>
      <c r="Y53">
        <v>5.2549057698334636</v>
      </c>
      <c r="Z53">
        <v>29.290789484403</v>
      </c>
      <c r="AA53">
        <v>2.4192998245729105</v>
      </c>
      <c r="AB53">
        <v>31.88969086125757</v>
      </c>
      <c r="AD53">
        <v>6.3571579985357793</v>
      </c>
      <c r="AE53">
        <v>13.013121807163589</v>
      </c>
      <c r="AF53">
        <v>13.446359382228835</v>
      </c>
      <c r="AG53">
        <v>17.253408181560332</v>
      </c>
      <c r="AH53">
        <v>2.9525997839955918</v>
      </c>
      <c r="AI53">
        <v>2.3502391493770962</v>
      </c>
      <c r="AK53">
        <v>46.619504129729393</v>
      </c>
    </row>
    <row r="54" spans="1:37" x14ac:dyDescent="0.2">
      <c r="A54">
        <v>53</v>
      </c>
      <c r="B54">
        <v>747</v>
      </c>
      <c r="C54">
        <v>225</v>
      </c>
      <c r="D54">
        <v>0.34903739646130499</v>
      </c>
      <c r="E54">
        <v>169.75456819902527</v>
      </c>
      <c r="F54">
        <v>48.175422590536435</v>
      </c>
      <c r="G54">
        <v>69.338515627987789</v>
      </c>
      <c r="H54">
        <v>64.712857636940299</v>
      </c>
      <c r="J54">
        <v>47.273155678936021</v>
      </c>
      <c r="L54">
        <v>1.5560576714453418</v>
      </c>
      <c r="M54">
        <v>13.76941662739293</v>
      </c>
      <c r="N54">
        <v>2.4131358222145276</v>
      </c>
      <c r="O54">
        <v>8.3263232696370739</v>
      </c>
      <c r="P54">
        <v>6.7058786224542892</v>
      </c>
      <c r="R54">
        <v>7.5983478648206724</v>
      </c>
      <c r="S54">
        <v>25.885180800953812</v>
      </c>
      <c r="U54">
        <v>1.7842687380038711</v>
      </c>
      <c r="V54">
        <v>42.450679970131752</v>
      </c>
      <c r="W54">
        <v>21.079684333260584</v>
      </c>
      <c r="X54">
        <v>46.325376118811008</v>
      </c>
      <c r="Y54">
        <v>3.3765332554062164</v>
      </c>
      <c r="Z54">
        <v>24.886936550198616</v>
      </c>
      <c r="AA54">
        <v>0.59703035992642983</v>
      </c>
      <c r="AB54">
        <v>29.898873364645837</v>
      </c>
      <c r="AD54">
        <v>3.7939973190988416</v>
      </c>
      <c r="AE54">
        <v>11.104904331243722</v>
      </c>
      <c r="AF54">
        <v>13.402463319153899</v>
      </c>
      <c r="AG54">
        <v>15.24762617864098</v>
      </c>
      <c r="AH54">
        <v>6.8495045111242353E-2</v>
      </c>
      <c r="AI54">
        <v>2.3518587049459962</v>
      </c>
      <c r="AK54">
        <v>44.790343817674724</v>
      </c>
    </row>
    <row r="55" spans="1:37" x14ac:dyDescent="0.2">
      <c r="A55">
        <v>54</v>
      </c>
      <c r="B55">
        <v>746</v>
      </c>
      <c r="C55">
        <v>225</v>
      </c>
      <c r="D55">
        <v>0.34832998086640898</v>
      </c>
      <c r="E55">
        <v>170.5819106452924</v>
      </c>
      <c r="F55">
        <v>47.888585962776929</v>
      </c>
      <c r="G55">
        <v>70.033998923765935</v>
      </c>
      <c r="H55">
        <v>65.406057569184767</v>
      </c>
      <c r="J55">
        <v>26.797788785498472</v>
      </c>
      <c r="L55">
        <v>1.5156039662115728</v>
      </c>
      <c r="M55">
        <v>13.571743004857385</v>
      </c>
      <c r="N55">
        <v>2.4151752610701243</v>
      </c>
      <c r="O55">
        <v>6.2727397992298952</v>
      </c>
      <c r="P55">
        <v>8.1204325529731758</v>
      </c>
      <c r="R55">
        <v>7.9947477819414887</v>
      </c>
      <c r="S55">
        <v>24.766142396975901</v>
      </c>
      <c r="U55">
        <v>1.8263618863087014</v>
      </c>
      <c r="V55">
        <v>42.62150346944572</v>
      </c>
      <c r="W55">
        <v>20.776316345853036</v>
      </c>
      <c r="X55">
        <v>46.481793713050621</v>
      </c>
      <c r="Y55">
        <v>3.7258282889035677</v>
      </c>
      <c r="Z55">
        <v>18.45416644996352</v>
      </c>
      <c r="AB55">
        <v>25.649432133111024</v>
      </c>
      <c r="AD55">
        <v>0.83761150239700488</v>
      </c>
      <c r="AE55">
        <v>6.9287155429790861</v>
      </c>
      <c r="AF55">
        <v>13.203733689590029</v>
      </c>
      <c r="AG55">
        <v>10.983350505970993</v>
      </c>
      <c r="AI55">
        <v>2.3536049028053987</v>
      </c>
      <c r="AK55">
        <v>31.186992945996312</v>
      </c>
    </row>
    <row r="56" spans="1:37" x14ac:dyDescent="0.2">
      <c r="A56">
        <v>55</v>
      </c>
      <c r="B56">
        <v>745</v>
      </c>
      <c r="C56">
        <v>225</v>
      </c>
      <c r="D56">
        <v>0.347621175661739</v>
      </c>
      <c r="E56">
        <v>170.76913440837296</v>
      </c>
      <c r="F56">
        <v>47.68834882296985</v>
      </c>
      <c r="G56">
        <v>70.116648627584652</v>
      </c>
      <c r="H56">
        <v>65.486437155453345</v>
      </c>
      <c r="J56">
        <v>19.425719206397538</v>
      </c>
      <c r="L56">
        <v>1.5402377768103761</v>
      </c>
      <c r="M56">
        <v>13.31663172926433</v>
      </c>
      <c r="N56">
        <v>2.4171657017009389</v>
      </c>
      <c r="O56">
        <v>6.0482176420777449</v>
      </c>
      <c r="P56">
        <v>8.3092782734829456</v>
      </c>
      <c r="R56">
        <v>7.9194512627710463</v>
      </c>
      <c r="S56">
        <v>24.831020781427803</v>
      </c>
      <c r="U56">
        <v>1.812916178365966</v>
      </c>
      <c r="V56">
        <v>42.958522102955172</v>
      </c>
      <c r="W56">
        <v>20.441300200170144</v>
      </c>
      <c r="X56">
        <v>46.479476433331371</v>
      </c>
      <c r="Y56">
        <v>3.638265552349607</v>
      </c>
      <c r="Z56">
        <v>16.811926636234581</v>
      </c>
      <c r="AB56">
        <v>24.876306046417533</v>
      </c>
      <c r="AD56">
        <v>4.2330815277959672E-3</v>
      </c>
      <c r="AE56">
        <v>5.9579551979859975</v>
      </c>
      <c r="AF56">
        <v>12.947517774220225</v>
      </c>
      <c r="AG56">
        <v>10.195343561442446</v>
      </c>
      <c r="AI56">
        <v>2.3553012531404205</v>
      </c>
      <c r="AK56">
        <v>26.228858695539859</v>
      </c>
    </row>
    <row r="57" spans="1:37" x14ac:dyDescent="0.2">
      <c r="A57">
        <v>56</v>
      </c>
      <c r="B57">
        <v>759</v>
      </c>
      <c r="C57">
        <v>200</v>
      </c>
      <c r="D57">
        <v>0.38406287845759102</v>
      </c>
      <c r="E57">
        <v>158.00823033930061</v>
      </c>
      <c r="F57">
        <v>62.328194156405203</v>
      </c>
      <c r="G57">
        <v>71.603279146932266</v>
      </c>
      <c r="H57">
        <v>67.004921519873406</v>
      </c>
      <c r="J57">
        <v>52.045378153554161</v>
      </c>
      <c r="L57">
        <v>6.2911173420340223</v>
      </c>
      <c r="M57">
        <v>14.403548676279216</v>
      </c>
      <c r="N57">
        <v>2.2979527492140961</v>
      </c>
      <c r="O57">
        <v>23.49947056845421</v>
      </c>
      <c r="P57">
        <v>10.721095228819305</v>
      </c>
      <c r="Q57">
        <v>0.19922770166235215</v>
      </c>
      <c r="R57">
        <v>13.775956119332047</v>
      </c>
      <c r="S57">
        <v>36.036645183094052</v>
      </c>
      <c r="U57">
        <v>2.5218879539213805</v>
      </c>
      <c r="V57">
        <v>43.642361206157567</v>
      </c>
      <c r="W57">
        <v>24.147820266900411</v>
      </c>
      <c r="X57">
        <v>46.756411515835687</v>
      </c>
      <c r="Y57">
        <v>7.2490984328405386</v>
      </c>
      <c r="Z57">
        <v>33.977264995592797</v>
      </c>
      <c r="AA57">
        <v>4.4305661576360871</v>
      </c>
      <c r="AB57">
        <v>34.396908841242862</v>
      </c>
      <c r="AD57">
        <v>9.0569154737386892</v>
      </c>
      <c r="AE57">
        <v>15.248696763558083</v>
      </c>
      <c r="AF57">
        <v>14.035686906604029</v>
      </c>
      <c r="AG57">
        <v>19.941094098752917</v>
      </c>
      <c r="AH57">
        <v>5.7802939391116492</v>
      </c>
      <c r="AI57">
        <v>2.2370375820876407</v>
      </c>
      <c r="AK57">
        <v>47.437092373190588</v>
      </c>
    </row>
    <row r="58" spans="1:37" x14ac:dyDescent="0.2">
      <c r="A58">
        <v>57</v>
      </c>
      <c r="B58">
        <v>758</v>
      </c>
      <c r="C58">
        <v>200</v>
      </c>
      <c r="D58">
        <v>0.383397662803666</v>
      </c>
      <c r="E58">
        <v>157.88386840559767</v>
      </c>
      <c r="F58">
        <v>61.944542785147824</v>
      </c>
      <c r="G58">
        <v>71.539660864019041</v>
      </c>
      <c r="H58">
        <v>66.938852393788494</v>
      </c>
      <c r="J58">
        <v>51.964211441614694</v>
      </c>
      <c r="L58">
        <v>6.1825143218445593</v>
      </c>
      <c r="M58">
        <v>14.328153403935097</v>
      </c>
      <c r="N58">
        <v>2.2999332630550047</v>
      </c>
      <c r="O58">
        <v>23.118286559095203</v>
      </c>
      <c r="P58">
        <v>10.617283517804138</v>
      </c>
      <c r="Q58">
        <v>0.12350636323570945</v>
      </c>
      <c r="R58">
        <v>13.552510477915419</v>
      </c>
      <c r="S58">
        <v>35.564333227696196</v>
      </c>
      <c r="U58">
        <v>2.4333749210111462</v>
      </c>
      <c r="V58">
        <v>43.517524084467894</v>
      </c>
      <c r="W58">
        <v>23.930065882661729</v>
      </c>
      <c r="X58">
        <v>46.526860770481193</v>
      </c>
      <c r="Y58">
        <v>7.1589359133553092</v>
      </c>
      <c r="Z58">
        <v>33.772914193983709</v>
      </c>
      <c r="AA58">
        <v>4.344819206529217</v>
      </c>
      <c r="AB58">
        <v>34.2385038273014</v>
      </c>
      <c r="AD58">
        <v>8.9422034467895966</v>
      </c>
      <c r="AE58">
        <v>15.15669520992204</v>
      </c>
      <c r="AF58">
        <v>13.95916924023272</v>
      </c>
      <c r="AG58">
        <v>19.767798094006579</v>
      </c>
      <c r="AH58">
        <v>5.6410412639304548</v>
      </c>
      <c r="AI58">
        <v>2.2387360307758932</v>
      </c>
      <c r="AK58">
        <v>47.428505857082222</v>
      </c>
    </row>
    <row r="59" spans="1:37" x14ac:dyDescent="0.2">
      <c r="A59">
        <v>58</v>
      </c>
      <c r="B59">
        <v>757</v>
      </c>
      <c r="C59">
        <v>200</v>
      </c>
      <c r="D59">
        <v>0.38273115565694399</v>
      </c>
      <c r="E59">
        <v>157.75964372591329</v>
      </c>
      <c r="F59">
        <v>61.561522816371792</v>
      </c>
      <c r="G59">
        <v>71.476118027975531</v>
      </c>
      <c r="H59">
        <v>66.872871711143517</v>
      </c>
      <c r="J59">
        <v>51.883605774547064</v>
      </c>
      <c r="L59">
        <v>6.0738977311793185</v>
      </c>
      <c r="M59">
        <v>14.252891574326743</v>
      </c>
      <c r="N59">
        <v>2.3019136486465084</v>
      </c>
      <c r="O59">
        <v>22.737665891099944</v>
      </c>
      <c r="P59">
        <v>10.513630265964117</v>
      </c>
      <c r="Q59">
        <v>4.7867083173642869E-2</v>
      </c>
      <c r="R59">
        <v>13.329383467380136</v>
      </c>
      <c r="S59">
        <v>35.092860694108303</v>
      </c>
      <c r="U59">
        <v>2.3449096829237033</v>
      </c>
      <c r="V59">
        <v>43.392879988682516</v>
      </c>
      <c r="W59">
        <v>23.71257265593065</v>
      </c>
      <c r="X59">
        <v>46.297691413793807</v>
      </c>
      <c r="Y59">
        <v>7.0689085405476995</v>
      </c>
      <c r="Z59">
        <v>33.568850582345448</v>
      </c>
      <c r="AA59">
        <v>4.259224218939897</v>
      </c>
      <c r="AB59">
        <v>34.080358495625745</v>
      </c>
      <c r="AD59">
        <v>8.8275486872836648</v>
      </c>
      <c r="AE59">
        <v>15.064817655215858</v>
      </c>
      <c r="AF59">
        <v>13.882785191992925</v>
      </c>
      <c r="AG59">
        <v>19.594764152815422</v>
      </c>
      <c r="AH59">
        <v>5.5019903178550305</v>
      </c>
      <c r="AI59">
        <v>2.2404335239886515</v>
      </c>
      <c r="AK59">
        <v>47.420211490047301</v>
      </c>
    </row>
    <row r="60" spans="1:37" x14ac:dyDescent="0.2">
      <c r="A60">
        <v>59</v>
      </c>
      <c r="B60">
        <v>756</v>
      </c>
      <c r="C60">
        <v>200</v>
      </c>
      <c r="D60">
        <v>0.38206335325268598</v>
      </c>
      <c r="E60">
        <v>157.60777718873999</v>
      </c>
      <c r="F60">
        <v>61.000261584091618</v>
      </c>
      <c r="G60">
        <v>71.381462341390417</v>
      </c>
      <c r="H60">
        <v>66.775791195283517</v>
      </c>
      <c r="J60">
        <v>51.773290047333255</v>
      </c>
      <c r="L60">
        <v>5.9778140526875925</v>
      </c>
      <c r="M60">
        <v>14.210428058446222</v>
      </c>
      <c r="N60">
        <v>2.3038913089946766</v>
      </c>
      <c r="O60">
        <v>22.152325566117629</v>
      </c>
      <c r="P60">
        <v>10.347756304078441</v>
      </c>
      <c r="R60">
        <v>13.088381611293476</v>
      </c>
      <c r="S60">
        <v>34.671303696551057</v>
      </c>
      <c r="U60">
        <v>2.2758489010384584</v>
      </c>
      <c r="V60">
        <v>43.319723270321091</v>
      </c>
      <c r="W60">
        <v>23.497389857674658</v>
      </c>
      <c r="X60">
        <v>46.129771169666775</v>
      </c>
      <c r="Y60">
        <v>6.918364947210895</v>
      </c>
      <c r="Z60">
        <v>33.273796446052074</v>
      </c>
      <c r="AA60">
        <v>4.1189454631063924</v>
      </c>
      <c r="AB60">
        <v>33.950163728297767</v>
      </c>
      <c r="AD60">
        <v>8.6560855756648571</v>
      </c>
      <c r="AE60">
        <v>14.943319711577967</v>
      </c>
      <c r="AF60">
        <v>13.839197041469554</v>
      </c>
      <c r="AG60">
        <v>19.449680566161728</v>
      </c>
      <c r="AH60">
        <v>5.2756383650159533</v>
      </c>
      <c r="AI60">
        <v>2.2421274628937868</v>
      </c>
      <c r="AK60">
        <v>47.372884375023794</v>
      </c>
    </row>
    <row r="61" spans="1:37" x14ac:dyDescent="0.2">
      <c r="A61">
        <v>60</v>
      </c>
      <c r="B61">
        <v>755</v>
      </c>
      <c r="C61">
        <v>200</v>
      </c>
      <c r="D61">
        <v>0.38139425181150599</v>
      </c>
      <c r="E61">
        <v>157.41117948758199</v>
      </c>
      <c r="F61">
        <v>60.147187526064144</v>
      </c>
      <c r="G61">
        <v>71.235384156990449</v>
      </c>
      <c r="H61">
        <v>66.627301219734477</v>
      </c>
      <c r="J61">
        <v>51.61130400849035</v>
      </c>
      <c r="L61">
        <v>5.8964457149119953</v>
      </c>
      <c r="M61">
        <v>14.22177171414376</v>
      </c>
      <c r="N61">
        <v>2.3058644048711856</v>
      </c>
      <c r="O61">
        <v>21.229429891154638</v>
      </c>
      <c r="P61">
        <v>10.079040521031665</v>
      </c>
      <c r="R61">
        <v>12.813992233719915</v>
      </c>
      <c r="S61">
        <v>34.322533138064763</v>
      </c>
      <c r="U61">
        <v>2.2396785100059473</v>
      </c>
      <c r="V61">
        <v>43.327018323685103</v>
      </c>
      <c r="W61">
        <v>23.287068629038753</v>
      </c>
      <c r="X61">
        <v>46.065093969075441</v>
      </c>
      <c r="Y61">
        <v>6.6678615400139529</v>
      </c>
      <c r="Z61">
        <v>32.829740080728442</v>
      </c>
      <c r="AA61">
        <v>3.8882064341907316</v>
      </c>
      <c r="AB61">
        <v>33.86181156547795</v>
      </c>
      <c r="AD61">
        <v>8.3912552230624016</v>
      </c>
      <c r="AE61">
        <v>14.773741018800886</v>
      </c>
      <c r="AF61">
        <v>13.849411812881169</v>
      </c>
      <c r="AG61">
        <v>19.346437540891444</v>
      </c>
      <c r="AH61">
        <v>4.9048098007845029</v>
      </c>
      <c r="AI61">
        <v>2.2438160064239629</v>
      </c>
      <c r="AK61">
        <v>47.261100887780223</v>
      </c>
    </row>
    <row r="62" spans="1:37" x14ac:dyDescent="0.2">
      <c r="A62">
        <v>61</v>
      </c>
      <c r="B62">
        <v>754</v>
      </c>
      <c r="C62">
        <v>200</v>
      </c>
      <c r="D62">
        <v>0.38072384753930699</v>
      </c>
      <c r="E62">
        <v>157.21481535971529</v>
      </c>
      <c r="F62">
        <v>59.289891550382983</v>
      </c>
      <c r="G62">
        <v>71.087800126616031</v>
      </c>
      <c r="H62">
        <v>66.477318457174704</v>
      </c>
      <c r="J62">
        <v>51.444538120095821</v>
      </c>
      <c r="L62">
        <v>5.8034770102124043</v>
      </c>
      <c r="M62">
        <v>14.234376353361712</v>
      </c>
      <c r="N62">
        <v>2.3078370173037341</v>
      </c>
      <c r="O62">
        <v>20.297883017037599</v>
      </c>
      <c r="P62">
        <v>9.8073203242548939</v>
      </c>
      <c r="R62">
        <v>12.533274298849641</v>
      </c>
      <c r="S62">
        <v>33.962137111553531</v>
      </c>
      <c r="U62">
        <v>2.2057965999665612</v>
      </c>
      <c r="V62">
        <v>43.329928482365581</v>
      </c>
      <c r="W62">
        <v>23.078895952157037</v>
      </c>
      <c r="X62">
        <v>46.007226278541623</v>
      </c>
      <c r="Y62">
        <v>6.4144870223085633</v>
      </c>
      <c r="Z62">
        <v>32.383241076981797</v>
      </c>
      <c r="AA62">
        <v>3.6546329623561107</v>
      </c>
      <c r="AB62">
        <v>33.768213273786323</v>
      </c>
      <c r="AD62">
        <v>8.1241993904026781</v>
      </c>
      <c r="AE62">
        <v>14.603984861528506</v>
      </c>
      <c r="AF62">
        <v>13.860887404810097</v>
      </c>
      <c r="AG62">
        <v>19.237950430584235</v>
      </c>
      <c r="AH62">
        <v>4.5294383485029961</v>
      </c>
      <c r="AI62">
        <v>2.2455032337689129</v>
      </c>
      <c r="AK62">
        <v>47.147784045715028</v>
      </c>
    </row>
    <row r="63" spans="1:37" x14ac:dyDescent="0.2">
      <c r="A63">
        <v>62</v>
      </c>
      <c r="B63">
        <v>753</v>
      </c>
      <c r="C63">
        <v>200</v>
      </c>
      <c r="D63">
        <v>0.380052136627202</v>
      </c>
      <c r="E63">
        <v>157.0184983661353</v>
      </c>
      <c r="F63">
        <v>58.4265765957743</v>
      </c>
      <c r="G63">
        <v>70.93839586005268</v>
      </c>
      <c r="H63">
        <v>66.325528538269467</v>
      </c>
      <c r="J63">
        <v>51.27180793487458</v>
      </c>
      <c r="L63">
        <v>4.2817260219470921</v>
      </c>
      <c r="M63">
        <v>14.248322003601887</v>
      </c>
      <c r="N63">
        <v>2.3098091055063303</v>
      </c>
      <c r="O63">
        <v>19.355574458043709</v>
      </c>
      <c r="P63">
        <v>9.5319669153205968</v>
      </c>
      <c r="R63">
        <v>12.245346255586037</v>
      </c>
      <c r="S63">
        <v>33.587771079185025</v>
      </c>
      <c r="U63">
        <v>2.1743695515847334</v>
      </c>
      <c r="V63">
        <v>43.327780190754638</v>
      </c>
      <c r="W63">
        <v>22.872925559547962</v>
      </c>
      <c r="X63">
        <v>45.956659218513273</v>
      </c>
      <c r="Y63">
        <v>6.1576198638397148</v>
      </c>
      <c r="Z63">
        <v>31.933098050990356</v>
      </c>
      <c r="AA63">
        <v>3.4177974711472414</v>
      </c>
      <c r="AB63">
        <v>33.668199962257724</v>
      </c>
      <c r="AD63">
        <v>7.854199098906542</v>
      </c>
      <c r="AE63">
        <v>14.433570277268421</v>
      </c>
      <c r="AF63">
        <v>13.873703809593961</v>
      </c>
      <c r="AG63">
        <v>19.123050309439982</v>
      </c>
      <c r="AH63">
        <v>4.1485945121402787</v>
      </c>
      <c r="AI63">
        <v>2.247189102302702</v>
      </c>
      <c r="AK63">
        <v>47.03237360389452</v>
      </c>
    </row>
    <row r="64" spans="1:37" x14ac:dyDescent="0.2">
      <c r="A64">
        <v>63</v>
      </c>
      <c r="B64">
        <v>752</v>
      </c>
      <c r="C64">
        <v>200</v>
      </c>
      <c r="D64">
        <v>0.37937911525142798</v>
      </c>
      <c r="E64">
        <v>156.15969706175514</v>
      </c>
      <c r="F64">
        <v>52.513715917470542</v>
      </c>
      <c r="G64">
        <v>70.058785850023199</v>
      </c>
      <c r="H64">
        <v>65.443545976660957</v>
      </c>
      <c r="J64">
        <v>48.699325432963235</v>
      </c>
      <c r="L64">
        <v>2.6586442010854734</v>
      </c>
      <c r="M64">
        <v>14.221061585561207</v>
      </c>
      <c r="N64">
        <v>2.311732441054001</v>
      </c>
      <c r="O64">
        <v>13.292618035320032</v>
      </c>
      <c r="P64">
        <v>7.7961610740968528</v>
      </c>
      <c r="R64">
        <v>9.9336984196802582</v>
      </c>
      <c r="S64">
        <v>29.867609748599232</v>
      </c>
      <c r="U64">
        <v>2.1903654526447194</v>
      </c>
      <c r="V64">
        <v>42.833546729259623</v>
      </c>
      <c r="W64">
        <v>22.72682968625147</v>
      </c>
      <c r="X64">
        <v>46.04007639769695</v>
      </c>
      <c r="Y64">
        <v>4.4372399490016265</v>
      </c>
      <c r="Z64">
        <v>28.01564962341633</v>
      </c>
      <c r="AA64">
        <v>1.7532765276182836</v>
      </c>
      <c r="AB64">
        <v>31.821976467694935</v>
      </c>
      <c r="AD64">
        <v>5.576814770499289</v>
      </c>
      <c r="AE64">
        <v>12.729286358561955</v>
      </c>
      <c r="AF64">
        <v>13.845265725142943</v>
      </c>
      <c r="AG64">
        <v>17.261893791805814</v>
      </c>
      <c r="AH64">
        <v>1.5304201778985738</v>
      </c>
      <c r="AI64">
        <v>2.2488253817615753</v>
      </c>
      <c r="AK64">
        <v>45.387888440553255</v>
      </c>
    </row>
    <row r="65" spans="1:37" x14ac:dyDescent="0.2">
      <c r="A65">
        <v>64</v>
      </c>
      <c r="B65">
        <v>751</v>
      </c>
      <c r="C65">
        <v>200</v>
      </c>
      <c r="D65">
        <v>0.378704779573308</v>
      </c>
      <c r="E65">
        <v>156.32423352895353</v>
      </c>
      <c r="F65">
        <v>49.644310322953068</v>
      </c>
      <c r="G65">
        <v>70.115523673735836</v>
      </c>
      <c r="H65">
        <v>65.497924370518248</v>
      </c>
      <c r="J65">
        <v>35.692613011584847</v>
      </c>
      <c r="L65">
        <v>1.4648739271722735</v>
      </c>
      <c r="M65">
        <v>14.156432588783392</v>
      </c>
      <c r="N65">
        <v>2.3137219741718518</v>
      </c>
      <c r="O65">
        <v>7.1133091617504904</v>
      </c>
      <c r="P65">
        <v>7.9331249281385068</v>
      </c>
      <c r="R65">
        <v>8.731243012683521</v>
      </c>
      <c r="S65">
        <v>25.948372296311319</v>
      </c>
      <c r="U65">
        <v>2.2740549747961416</v>
      </c>
      <c r="V65">
        <v>42.379251019171711</v>
      </c>
      <c r="W65">
        <v>22.533816788796219</v>
      </c>
      <c r="X65">
        <v>46.31699908524697</v>
      </c>
      <c r="Y65">
        <v>3.657112332357606</v>
      </c>
      <c r="Z65">
        <v>22.153964803875748</v>
      </c>
      <c r="AB65">
        <v>27.928030946201726</v>
      </c>
      <c r="AD65">
        <v>2.6544072128998137</v>
      </c>
      <c r="AE65">
        <v>9.2125990844076835</v>
      </c>
      <c r="AF65">
        <v>13.779525596874453</v>
      </c>
      <c r="AG65">
        <v>13.353083989999821</v>
      </c>
      <c r="AI65">
        <v>2.2505270205310453</v>
      </c>
      <c r="AK65">
        <v>36.865631174640903</v>
      </c>
    </row>
    <row r="66" spans="1:37" x14ac:dyDescent="0.2">
      <c r="A66">
        <v>65</v>
      </c>
      <c r="B66">
        <v>750</v>
      </c>
      <c r="C66">
        <v>200</v>
      </c>
      <c r="D66">
        <v>0.37802912573913899</v>
      </c>
      <c r="E66">
        <v>156.62142379431756</v>
      </c>
      <c r="F66">
        <v>48.724887670685447</v>
      </c>
      <c r="G66">
        <v>70.296552122286215</v>
      </c>
      <c r="H66">
        <v>65.676606531938702</v>
      </c>
      <c r="J66">
        <v>24.310935391816194</v>
      </c>
      <c r="L66">
        <v>1.4939714322657165</v>
      </c>
      <c r="M66">
        <v>13.945526216486535</v>
      </c>
      <c r="N66">
        <v>2.3157220013356161</v>
      </c>
      <c r="O66">
        <v>6.7477611722743127</v>
      </c>
      <c r="P66">
        <v>8.3186883790870745</v>
      </c>
      <c r="R66">
        <v>8.737731158648506</v>
      </c>
      <c r="S66">
        <v>25.689053313418388</v>
      </c>
      <c r="U66">
        <v>2.2936472329910145</v>
      </c>
      <c r="V66">
        <v>42.565830351480855</v>
      </c>
      <c r="W66">
        <v>22.22569071040774</v>
      </c>
      <c r="X66">
        <v>46.410324852091968</v>
      </c>
      <c r="Y66">
        <v>3.6574290546890103</v>
      </c>
      <c r="Z66">
        <v>18.46601058669696</v>
      </c>
      <c r="AB66">
        <v>25.750183703139506</v>
      </c>
      <c r="AD66">
        <v>0.87453066292714721</v>
      </c>
      <c r="AE66">
        <v>7.0076872620968045</v>
      </c>
      <c r="AF66">
        <v>13.567518930142198</v>
      </c>
      <c r="AG66">
        <v>11.16038551186687</v>
      </c>
      <c r="AI66">
        <v>2.2522383132467834</v>
      </c>
      <c r="AK66">
        <v>29.291916418501369</v>
      </c>
    </row>
    <row r="67" spans="1:37" x14ac:dyDescent="0.2">
      <c r="A67">
        <v>66</v>
      </c>
      <c r="B67">
        <v>749</v>
      </c>
      <c r="C67">
        <v>200</v>
      </c>
      <c r="D67">
        <v>0.37735214988015597</v>
      </c>
      <c r="E67">
        <v>156.79495726051977</v>
      </c>
      <c r="F67">
        <v>48.606451328613474</v>
      </c>
      <c r="G67">
        <v>70.362628318418572</v>
      </c>
      <c r="H67">
        <v>65.740349604709834</v>
      </c>
      <c r="J67">
        <v>18.060907343691941</v>
      </c>
      <c r="L67">
        <v>1.5155897226944761</v>
      </c>
      <c r="M67">
        <v>13.690362369920887</v>
      </c>
      <c r="N67">
        <v>2.317713447322165</v>
      </c>
      <c r="O67">
        <v>6.5519072746244547</v>
      </c>
      <c r="P67">
        <v>8.4743466202526481</v>
      </c>
      <c r="R67">
        <v>8.639119879579173</v>
      </c>
      <c r="S67">
        <v>25.743859401296955</v>
      </c>
      <c r="U67">
        <v>2.2826723360773187</v>
      </c>
      <c r="V67">
        <v>42.89160229794102</v>
      </c>
      <c r="W67">
        <v>21.887690514096004</v>
      </c>
      <c r="X67">
        <v>46.416316039804407</v>
      </c>
      <c r="Y67">
        <v>3.5527286416513322</v>
      </c>
      <c r="Z67">
        <v>17.097299301999303</v>
      </c>
      <c r="AB67">
        <v>25.125235293442465</v>
      </c>
      <c r="AD67">
        <v>0.16855921162608273</v>
      </c>
      <c r="AE67">
        <v>6.195942204561331</v>
      </c>
      <c r="AF67">
        <v>13.311246556650064</v>
      </c>
      <c r="AG67">
        <v>10.520579843144731</v>
      </c>
      <c r="AI67">
        <v>2.2539401828464163</v>
      </c>
      <c r="AK67">
        <v>25.086024026232977</v>
      </c>
    </row>
    <row r="68" spans="1:37" x14ac:dyDescent="0.2">
      <c r="A68">
        <v>67</v>
      </c>
      <c r="B68">
        <v>765</v>
      </c>
      <c r="C68">
        <v>175</v>
      </c>
      <c r="D68">
        <v>0.41451668833983701</v>
      </c>
      <c r="E68">
        <v>143.98890770346756</v>
      </c>
      <c r="F68">
        <v>63.573217472350628</v>
      </c>
      <c r="G68">
        <v>71.91704024742593</v>
      </c>
      <c r="H68">
        <v>67.332605612741347</v>
      </c>
      <c r="J68">
        <v>51.876112929006894</v>
      </c>
      <c r="L68">
        <v>6.6136042810831697</v>
      </c>
      <c r="M68">
        <v>14.642278046174294</v>
      </c>
      <c r="N68">
        <v>2.2339515397683893</v>
      </c>
      <c r="O68">
        <v>25.799120009877246</v>
      </c>
      <c r="P68">
        <v>11.015000861983308</v>
      </c>
      <c r="Q68">
        <v>3.7389763706206114E-2</v>
      </c>
      <c r="R68">
        <v>14.768889489511668</v>
      </c>
      <c r="S68">
        <v>37.59388652821039</v>
      </c>
      <c r="U68">
        <v>2.8662035269575021</v>
      </c>
      <c r="V68">
        <v>43.489419711300805</v>
      </c>
      <c r="W68">
        <v>25.829286439552316</v>
      </c>
      <c r="X68">
        <v>45.971717578398071</v>
      </c>
      <c r="Y68">
        <v>7.4747034113421007</v>
      </c>
      <c r="Z68">
        <v>34.896335077064933</v>
      </c>
      <c r="AA68">
        <v>4.7716430248688413</v>
      </c>
      <c r="AB68">
        <v>35.08963186752873</v>
      </c>
      <c r="AC68">
        <v>3.9159764086496088E-2</v>
      </c>
      <c r="AD68">
        <v>9.5171482425801841</v>
      </c>
      <c r="AE68">
        <v>15.914855913238485</v>
      </c>
      <c r="AF68">
        <v>14.30617335814698</v>
      </c>
      <c r="AG68">
        <v>20.778808520733456</v>
      </c>
      <c r="AH68">
        <v>5.8900942638035456</v>
      </c>
      <c r="AI68">
        <v>2.1716732419437208</v>
      </c>
      <c r="AK68">
        <v>46.998723657712461</v>
      </c>
    </row>
    <row r="69" spans="1:37" x14ac:dyDescent="0.2">
      <c r="A69">
        <v>68</v>
      </c>
      <c r="B69">
        <v>764</v>
      </c>
      <c r="C69">
        <v>175</v>
      </c>
      <c r="D69">
        <v>0.41388468398978101</v>
      </c>
      <c r="E69">
        <v>143.88584199886213</v>
      </c>
      <c r="F69">
        <v>63.231576366464772</v>
      </c>
      <c r="G69">
        <v>71.858306852524791</v>
      </c>
      <c r="H69">
        <v>67.271333644444752</v>
      </c>
      <c r="J69">
        <v>51.836519435930647</v>
      </c>
      <c r="L69">
        <v>6.5464720471855271</v>
      </c>
      <c r="M69">
        <v>14.614783640518869</v>
      </c>
      <c r="N69">
        <v>2.2244757877281058</v>
      </c>
      <c r="O69">
        <v>25.39482337287998</v>
      </c>
      <c r="P69">
        <v>10.909447349306934</v>
      </c>
      <c r="R69">
        <v>14.606395891919636</v>
      </c>
      <c r="S69">
        <v>37.3266312760083</v>
      </c>
      <c r="U69">
        <v>2.8177443839589666</v>
      </c>
      <c r="V69">
        <v>43.446815570281458</v>
      </c>
      <c r="W69">
        <v>25.681571564658483</v>
      </c>
      <c r="X69">
        <v>45.877855220499704</v>
      </c>
      <c r="Y69">
        <v>7.387556464865221</v>
      </c>
      <c r="Z69">
        <v>34.711624224696678</v>
      </c>
      <c r="AA69">
        <v>4.6848877658997807</v>
      </c>
      <c r="AB69">
        <v>35.002109354201544</v>
      </c>
      <c r="AC69">
        <v>2.7700450015382908E-2</v>
      </c>
      <c r="AD69">
        <v>9.4189052364649282</v>
      </c>
      <c r="AE69">
        <v>15.83065722720721</v>
      </c>
      <c r="AF69">
        <v>14.26609503189469</v>
      </c>
      <c r="AG69">
        <v>20.664956699238235</v>
      </c>
      <c r="AH69">
        <v>5.7688278552933765</v>
      </c>
      <c r="AI69">
        <v>2.1619214772704414</v>
      </c>
      <c r="AK69">
        <v>46.997595648468597</v>
      </c>
    </row>
    <row r="70" spans="1:37" x14ac:dyDescent="0.2">
      <c r="A70">
        <v>69</v>
      </c>
      <c r="B70">
        <v>763</v>
      </c>
      <c r="C70">
        <v>175</v>
      </c>
      <c r="D70">
        <v>0.41325145973073701</v>
      </c>
      <c r="E70">
        <v>143.779064520487</v>
      </c>
      <c r="F70">
        <v>62.814789681276231</v>
      </c>
      <c r="G70">
        <v>71.785209336089366</v>
      </c>
      <c r="H70">
        <v>67.195710429845306</v>
      </c>
      <c r="J70">
        <v>51.803973407177693</v>
      </c>
      <c r="L70">
        <v>6.5051566670190333</v>
      </c>
      <c r="M70">
        <v>14.630380050006174</v>
      </c>
      <c r="N70">
        <v>2.208856734842767</v>
      </c>
      <c r="O70">
        <v>24.866816378351501</v>
      </c>
      <c r="P70">
        <v>10.76902984893956</v>
      </c>
      <c r="R70">
        <v>14.465220500035674</v>
      </c>
      <c r="S70">
        <v>37.193600437605689</v>
      </c>
      <c r="U70">
        <v>2.8011405778191034</v>
      </c>
      <c r="V70">
        <v>43.474672141300722</v>
      </c>
      <c r="W70">
        <v>25.572294269364498</v>
      </c>
      <c r="X70">
        <v>45.889100998206764</v>
      </c>
      <c r="Y70">
        <v>7.2688611107528143</v>
      </c>
      <c r="Z70">
        <v>34.486948112536396</v>
      </c>
      <c r="AA70">
        <v>4.5675384211034906</v>
      </c>
      <c r="AB70">
        <v>34.966139775698146</v>
      </c>
      <c r="AC70">
        <v>1.0097981321515388E-2</v>
      </c>
      <c r="AD70">
        <v>9.2964248369475548</v>
      </c>
      <c r="AE70">
        <v>15.734108840240051</v>
      </c>
      <c r="AF70">
        <v>14.262964496369417</v>
      </c>
      <c r="AG70">
        <v>20.596516986282854</v>
      </c>
      <c r="AH70">
        <v>5.6094269057308592</v>
      </c>
      <c r="AI70">
        <v>2.1460255955493839</v>
      </c>
      <c r="AK70">
        <v>46.979828141014217</v>
      </c>
    </row>
    <row r="71" spans="1:37" x14ac:dyDescent="0.2">
      <c r="A71">
        <v>70</v>
      </c>
      <c r="B71">
        <v>762</v>
      </c>
      <c r="C71">
        <v>175</v>
      </c>
      <c r="D71">
        <v>0.41261701202724399</v>
      </c>
      <c r="E71">
        <v>143.63703487425067</v>
      </c>
      <c r="F71">
        <v>62.225062484492007</v>
      </c>
      <c r="G71">
        <v>71.683031423535255</v>
      </c>
      <c r="H71">
        <v>67.09101971487614</v>
      </c>
      <c r="J71">
        <v>51.718751172412681</v>
      </c>
      <c r="L71">
        <v>6.4416484977575532</v>
      </c>
      <c r="M71">
        <v>14.643956109671239</v>
      </c>
      <c r="N71">
        <v>2.2004310737806381</v>
      </c>
      <c r="O71">
        <v>24.181241444371764</v>
      </c>
      <c r="P71">
        <v>10.577652526609436</v>
      </c>
      <c r="R71">
        <v>14.269632074836032</v>
      </c>
      <c r="S71">
        <v>36.970423630198873</v>
      </c>
      <c r="U71">
        <v>2.7769433277860718</v>
      </c>
      <c r="V71">
        <v>43.492818320594935</v>
      </c>
      <c r="W71">
        <v>25.421435525378964</v>
      </c>
      <c r="X71">
        <v>45.871044283556529</v>
      </c>
      <c r="Y71">
        <v>7.0977060927823823</v>
      </c>
      <c r="Z71">
        <v>34.174223903622469</v>
      </c>
      <c r="AA71">
        <v>4.4050203306610713</v>
      </c>
      <c r="AB71">
        <v>34.906900528416578</v>
      </c>
      <c r="AD71">
        <v>9.1172728098083766</v>
      </c>
      <c r="AE71">
        <v>15.607972016158051</v>
      </c>
      <c r="AF71">
        <v>14.265007284783701</v>
      </c>
      <c r="AG71">
        <v>20.512003476716892</v>
      </c>
      <c r="AH71">
        <v>5.3658087303775073</v>
      </c>
      <c r="AI71">
        <v>2.1373222876121298</v>
      </c>
      <c r="AK71">
        <v>46.924800850062752</v>
      </c>
    </row>
    <row r="72" spans="1:37" x14ac:dyDescent="0.2">
      <c r="A72">
        <v>71</v>
      </c>
      <c r="B72">
        <v>761</v>
      </c>
      <c r="C72">
        <v>175</v>
      </c>
      <c r="D72">
        <v>0.411981337330175</v>
      </c>
      <c r="E72">
        <v>143.44392987996773</v>
      </c>
      <c r="F72">
        <v>61.382583799118336</v>
      </c>
      <c r="G72">
        <v>71.538022561871855</v>
      </c>
      <c r="H72">
        <v>66.943510967105098</v>
      </c>
      <c r="J72">
        <v>51.555017705719713</v>
      </c>
      <c r="L72">
        <v>4.9803844015646934</v>
      </c>
      <c r="M72">
        <v>14.655171253292204</v>
      </c>
      <c r="N72">
        <v>2.2024073616914643</v>
      </c>
      <c r="O72">
        <v>23.263272764677325</v>
      </c>
      <c r="P72">
        <v>10.311022855773656</v>
      </c>
      <c r="R72">
        <v>13.992568051578088</v>
      </c>
      <c r="S72">
        <v>36.611627811421805</v>
      </c>
      <c r="U72">
        <v>2.7427595996947183</v>
      </c>
      <c r="V72">
        <v>43.495110866297566</v>
      </c>
      <c r="W72">
        <v>25.211373039532276</v>
      </c>
      <c r="X72">
        <v>45.813409569740003</v>
      </c>
      <c r="Y72">
        <v>6.849276198914926</v>
      </c>
      <c r="Z72">
        <v>33.732833766293112</v>
      </c>
      <c r="AA72">
        <v>4.1760355547409418</v>
      </c>
      <c r="AB72">
        <v>34.811784221314902</v>
      </c>
      <c r="AD72">
        <v>8.8551098276670359</v>
      </c>
      <c r="AE72">
        <v>15.43891665241693</v>
      </c>
      <c r="AF72">
        <v>14.275091393588983</v>
      </c>
      <c r="AG72">
        <v>20.40201734245111</v>
      </c>
      <c r="AH72">
        <v>4.9981534169710757</v>
      </c>
      <c r="AI72">
        <v>2.1390201087722049</v>
      </c>
      <c r="AK72">
        <v>46.815050108352807</v>
      </c>
    </row>
    <row r="73" spans="1:37" x14ac:dyDescent="0.2">
      <c r="A73">
        <v>72</v>
      </c>
      <c r="B73">
        <v>760</v>
      </c>
      <c r="C73">
        <v>175</v>
      </c>
      <c r="D73">
        <v>0.41134443207665999</v>
      </c>
      <c r="E73">
        <v>143.25113819458619</v>
      </c>
      <c r="F73">
        <v>60.53641532620594</v>
      </c>
      <c r="G73">
        <v>71.391641041468787</v>
      </c>
      <c r="H73">
        <v>66.79464249749897</v>
      </c>
      <c r="J73">
        <v>51.386689296926548</v>
      </c>
      <c r="L73">
        <v>4.7621732036148492</v>
      </c>
      <c r="M73">
        <v>14.667533258301521</v>
      </c>
      <c r="N73">
        <v>2.2043831804596028</v>
      </c>
      <c r="O73">
        <v>22.337394003363812</v>
      </c>
      <c r="P73">
        <v>10.041655021409609</v>
      </c>
      <c r="R73">
        <v>13.709550516226843</v>
      </c>
      <c r="S73">
        <v>36.241184082970747</v>
      </c>
      <c r="U73">
        <v>2.7107512273155061</v>
      </c>
      <c r="V73">
        <v>43.492986843766786</v>
      </c>
      <c r="W73">
        <v>25.003389019832191</v>
      </c>
      <c r="X73">
        <v>45.762265673515131</v>
      </c>
      <c r="Y73">
        <v>6.5982218237089887</v>
      </c>
      <c r="Z73">
        <v>33.289111849569579</v>
      </c>
      <c r="AA73">
        <v>3.9445224071855409</v>
      </c>
      <c r="AB73">
        <v>34.711276684733186</v>
      </c>
      <c r="AD73">
        <v>8.5908053797791357</v>
      </c>
      <c r="AE73">
        <v>15.269657070601363</v>
      </c>
      <c r="AF73">
        <v>14.286322187637618</v>
      </c>
      <c r="AG73">
        <v>20.286642001529071</v>
      </c>
      <c r="AH73">
        <v>4.6263090592696274</v>
      </c>
      <c r="AI73">
        <v>2.1407166390763503</v>
      </c>
      <c r="AK73">
        <v>46.703928220650312</v>
      </c>
    </row>
    <row r="74" spans="1:37" x14ac:dyDescent="0.2">
      <c r="A74">
        <v>73</v>
      </c>
      <c r="B74">
        <v>759</v>
      </c>
      <c r="C74">
        <v>175</v>
      </c>
      <c r="D74">
        <v>0.41070629269001901</v>
      </c>
      <c r="E74">
        <v>143.05849263040096</v>
      </c>
      <c r="F74">
        <v>59.684915035354599</v>
      </c>
      <c r="G74">
        <v>71.243601565425607</v>
      </c>
      <c r="H74">
        <v>66.64412902979538</v>
      </c>
      <c r="J74">
        <v>51.212670082057969</v>
      </c>
      <c r="L74">
        <v>4.5401383586975461</v>
      </c>
      <c r="M74">
        <v>14.681105973359744</v>
      </c>
      <c r="N74">
        <v>2.206358493648688</v>
      </c>
      <c r="O74">
        <v>21.401682043312913</v>
      </c>
      <c r="P74">
        <v>9.7689784156942121</v>
      </c>
      <c r="R74">
        <v>13.419771152662168</v>
      </c>
      <c r="S74">
        <v>35.85690946610702</v>
      </c>
      <c r="U74">
        <v>2.6810667374603883</v>
      </c>
      <c r="V74">
        <v>43.485818028002598</v>
      </c>
      <c r="W74">
        <v>24.797528478594089</v>
      </c>
      <c r="X74">
        <v>45.718050793860954</v>
      </c>
      <c r="Y74">
        <v>6.3439780855445518</v>
      </c>
      <c r="Z74">
        <v>32.841949404390171</v>
      </c>
      <c r="AA74">
        <v>3.7098553507789838</v>
      </c>
      <c r="AB74">
        <v>34.604281755818597</v>
      </c>
      <c r="AD74">
        <v>8.3237039364621168</v>
      </c>
      <c r="AE74">
        <v>15.099741548492112</v>
      </c>
      <c r="AF74">
        <v>14.298763484703317</v>
      </c>
      <c r="AG74">
        <v>20.164781260503307</v>
      </c>
      <c r="AH74">
        <v>4.2494316133469594</v>
      </c>
      <c r="AI74">
        <v>2.1424118402512837</v>
      </c>
      <c r="AK74">
        <v>46.590919496735687</v>
      </c>
    </row>
    <row r="75" spans="1:37" x14ac:dyDescent="0.2">
      <c r="A75">
        <v>74</v>
      </c>
      <c r="B75">
        <v>758</v>
      </c>
      <c r="C75">
        <v>175</v>
      </c>
      <c r="D75">
        <v>0.41006691557969399</v>
      </c>
      <c r="E75">
        <v>142.84384538337625</v>
      </c>
      <c r="F75">
        <v>58.658015334505052</v>
      </c>
      <c r="G75">
        <v>71.069021587530472</v>
      </c>
      <c r="H75">
        <v>66.467088038459281</v>
      </c>
      <c r="J75">
        <v>50.950515645506208</v>
      </c>
      <c r="L75">
        <v>4.2666974298192359</v>
      </c>
      <c r="M75">
        <v>14.69476563900624</v>
      </c>
      <c r="N75">
        <v>2.2083317114896883</v>
      </c>
      <c r="O75">
        <v>20.282358076994619</v>
      </c>
      <c r="P75">
        <v>9.4432263789085233</v>
      </c>
      <c r="R75">
        <v>13.053605188540775</v>
      </c>
      <c r="S75">
        <v>35.339686910186451</v>
      </c>
      <c r="U75">
        <v>2.6558836761731426</v>
      </c>
      <c r="V75">
        <v>43.454493590715558</v>
      </c>
      <c r="W75">
        <v>24.595555424106774</v>
      </c>
      <c r="X75">
        <v>45.686939517318578</v>
      </c>
      <c r="Y75">
        <v>6.036753681421084</v>
      </c>
      <c r="Z75">
        <v>32.276488468230092</v>
      </c>
      <c r="AA75">
        <v>3.4237235691308889</v>
      </c>
      <c r="AB75">
        <v>34.429286252338521</v>
      </c>
      <c r="AD75">
        <v>7.9880872069568039</v>
      </c>
      <c r="AE75">
        <v>14.878048889369358</v>
      </c>
      <c r="AF75">
        <v>14.311289941114545</v>
      </c>
      <c r="AG75">
        <v>19.974920353225983</v>
      </c>
      <c r="AH75">
        <v>3.7920093283561283</v>
      </c>
      <c r="AI75">
        <v>2.1441041206903564</v>
      </c>
      <c r="AK75">
        <v>46.42452557790665</v>
      </c>
    </row>
    <row r="76" spans="1:37" x14ac:dyDescent="0.2">
      <c r="A76">
        <v>75</v>
      </c>
      <c r="B76">
        <v>757</v>
      </c>
      <c r="C76">
        <v>175</v>
      </c>
      <c r="D76">
        <v>0.40942629714119499</v>
      </c>
      <c r="E76">
        <v>141.9509233470294</v>
      </c>
      <c r="F76">
        <v>52.407288268393302</v>
      </c>
      <c r="G76">
        <v>70.134592973764526</v>
      </c>
      <c r="H76">
        <v>65.530211410189978</v>
      </c>
      <c r="J76">
        <v>48.161868026527344</v>
      </c>
      <c r="L76">
        <v>2.5308397026494021</v>
      </c>
      <c r="M76">
        <v>14.663461570428762</v>
      </c>
      <c r="N76">
        <v>2.2102546473382731</v>
      </c>
      <c r="O76">
        <v>13.843839473407542</v>
      </c>
      <c r="P76">
        <v>7.5977344789099597</v>
      </c>
      <c r="R76">
        <v>10.548925760243053</v>
      </c>
      <c r="S76">
        <v>31.23300203515922</v>
      </c>
      <c r="U76">
        <v>2.6900853093208963</v>
      </c>
      <c r="V76">
        <v>42.860930150229073</v>
      </c>
      <c r="W76">
        <v>24.455661766142352</v>
      </c>
      <c r="X76">
        <v>45.823421587174494</v>
      </c>
      <c r="Y76">
        <v>4.2072805378882334</v>
      </c>
      <c r="Z76">
        <v>28.140209118185034</v>
      </c>
      <c r="AA76">
        <v>1.652028995467139</v>
      </c>
      <c r="AB76">
        <v>32.385464325563362</v>
      </c>
      <c r="AD76">
        <v>5.5946465659985538</v>
      </c>
      <c r="AE76">
        <v>13.068718095269409</v>
      </c>
      <c r="AF76">
        <v>14.278802690988575</v>
      </c>
      <c r="AG76">
        <v>17.916185250199483</v>
      </c>
      <c r="AH76">
        <v>1.0099319842108332</v>
      </c>
      <c r="AI76">
        <v>2.145745291910925</v>
      </c>
      <c r="AK76">
        <v>44.667512229226666</v>
      </c>
    </row>
    <row r="77" spans="1:37" x14ac:dyDescent="0.2">
      <c r="A77">
        <v>76</v>
      </c>
      <c r="B77">
        <v>756</v>
      </c>
      <c r="C77">
        <v>175</v>
      </c>
      <c r="D77">
        <v>0.40878443375601398</v>
      </c>
      <c r="E77">
        <v>142.31239553041934</v>
      </c>
      <c r="F77">
        <v>50.682077715572596</v>
      </c>
      <c r="G77">
        <v>70.355689006815552</v>
      </c>
      <c r="H77">
        <v>65.748872448432607</v>
      </c>
      <c r="J77">
        <v>35.624586976542076</v>
      </c>
      <c r="L77">
        <v>1.4369517504891591</v>
      </c>
      <c r="M77">
        <v>14.611864992172301</v>
      </c>
      <c r="N77">
        <v>2.2122557112998038</v>
      </c>
      <c r="O77">
        <v>7.8312485132363818</v>
      </c>
      <c r="P77">
        <v>8.0633777137803531</v>
      </c>
      <c r="R77">
        <v>9.5275548667856107</v>
      </c>
      <c r="S77">
        <v>27.138758765782548</v>
      </c>
      <c r="U77">
        <v>2.8118827821165504</v>
      </c>
      <c r="V77">
        <v>42.294669776079772</v>
      </c>
      <c r="W77">
        <v>24.252511728280805</v>
      </c>
      <c r="X77">
        <v>46.210942974406414</v>
      </c>
      <c r="Y77">
        <v>3.608542194717701</v>
      </c>
      <c r="Z77">
        <v>23.005617175726169</v>
      </c>
      <c r="AB77">
        <v>28.574594919762884</v>
      </c>
      <c r="AD77">
        <v>3.0983027370536105</v>
      </c>
      <c r="AE77">
        <v>9.809378327240827</v>
      </c>
      <c r="AF77">
        <v>14.226101374562532</v>
      </c>
      <c r="AG77">
        <v>14.090483311694438</v>
      </c>
      <c r="AI77">
        <v>2.147463762180152</v>
      </c>
      <c r="AK77">
        <v>36.517026613437729</v>
      </c>
    </row>
    <row r="78" spans="1:37" x14ac:dyDescent="0.2">
      <c r="A78">
        <v>77</v>
      </c>
      <c r="B78">
        <v>755</v>
      </c>
      <c r="C78">
        <v>175</v>
      </c>
      <c r="D78">
        <v>0.40814132179156798</v>
      </c>
      <c r="E78">
        <v>142.61511674849004</v>
      </c>
      <c r="F78">
        <v>49.724184647706963</v>
      </c>
      <c r="G78">
        <v>70.533512311151952</v>
      </c>
      <c r="H78">
        <v>65.924273798453385</v>
      </c>
      <c r="J78">
        <v>24.824090350306825</v>
      </c>
      <c r="L78">
        <v>1.4620222056096099</v>
      </c>
      <c r="M78">
        <v>14.418639056332019</v>
      </c>
      <c r="N78">
        <v>2.2142569974123858</v>
      </c>
      <c r="O78">
        <v>7.4866154212603506</v>
      </c>
      <c r="P78">
        <v>8.442483449154734</v>
      </c>
      <c r="R78">
        <v>9.5157073405710442</v>
      </c>
      <c r="S78">
        <v>26.751976767892806</v>
      </c>
      <c r="U78">
        <v>2.8484223453251376</v>
      </c>
      <c r="V78">
        <v>42.399710462366947</v>
      </c>
      <c r="W78">
        <v>23.951287954386558</v>
      </c>
      <c r="X78">
        <v>46.354114009987413</v>
      </c>
      <c r="Y78">
        <v>3.6094129687776788</v>
      </c>
      <c r="Z78">
        <v>19.278859520279354</v>
      </c>
      <c r="AB78">
        <v>26.273694540147751</v>
      </c>
      <c r="AD78">
        <v>1.3062251076619598</v>
      </c>
      <c r="AE78">
        <v>7.564668834347172</v>
      </c>
      <c r="AF78">
        <v>14.031771243567045</v>
      </c>
      <c r="AG78">
        <v>11.774753142871985</v>
      </c>
      <c r="AI78">
        <v>2.1491816236972467</v>
      </c>
      <c r="AK78">
        <v>29.359247576378465</v>
      </c>
    </row>
    <row r="79" spans="1:37" x14ac:dyDescent="0.2">
      <c r="A79">
        <v>78</v>
      </c>
      <c r="B79">
        <v>754</v>
      </c>
      <c r="C79">
        <v>175</v>
      </c>
      <c r="D79">
        <v>0.40749695760112897</v>
      </c>
      <c r="E79">
        <v>142.79802792786612</v>
      </c>
      <c r="F79">
        <v>49.551521949363561</v>
      </c>
      <c r="G79">
        <v>70.606369265930283</v>
      </c>
      <c r="H79">
        <v>65.994721860248148</v>
      </c>
      <c r="J79">
        <v>18.505761219360195</v>
      </c>
      <c r="L79">
        <v>1.4824340948314347</v>
      </c>
      <c r="M79">
        <v>14.171526749561846</v>
      </c>
      <c r="N79">
        <v>2.2162515734093806</v>
      </c>
      <c r="O79">
        <v>7.2834854358187942</v>
      </c>
      <c r="P79">
        <v>8.6116575338083514</v>
      </c>
      <c r="R79">
        <v>9.4185283130084425</v>
      </c>
      <c r="S79">
        <v>26.749879176818386</v>
      </c>
      <c r="U79">
        <v>2.8436229885354449</v>
      </c>
      <c r="V79">
        <v>42.695182913977</v>
      </c>
      <c r="W79">
        <v>23.616250742226605</v>
      </c>
      <c r="X79">
        <v>46.379049060610896</v>
      </c>
      <c r="Y79">
        <v>3.5083171536525026</v>
      </c>
      <c r="Z79">
        <v>17.758673348459464</v>
      </c>
      <c r="AB79">
        <v>25.523007108487501</v>
      </c>
      <c r="AD79">
        <v>0.53034621036077778</v>
      </c>
      <c r="AE79">
        <v>6.6597153436439234</v>
      </c>
      <c r="AF79">
        <v>13.783548358000976</v>
      </c>
      <c r="AG79">
        <v>11.009231739168147</v>
      </c>
      <c r="AI79">
        <v>2.1508919423573727</v>
      </c>
      <c r="AK79">
        <v>25.119393470899396</v>
      </c>
    </row>
    <row r="80" spans="1:37" x14ac:dyDescent="0.2">
      <c r="A80">
        <v>79</v>
      </c>
      <c r="B80">
        <v>775</v>
      </c>
      <c r="C80">
        <v>150</v>
      </c>
      <c r="D80">
        <v>0.44700710776129698</v>
      </c>
      <c r="E80">
        <v>130.3151242365424</v>
      </c>
      <c r="F80">
        <v>65.896131371892935</v>
      </c>
      <c r="G80">
        <v>72.430294895334939</v>
      </c>
      <c r="H80">
        <v>67.871008409020803</v>
      </c>
      <c r="J80">
        <v>51.871439999077531</v>
      </c>
      <c r="L80">
        <v>7.1988379743249071</v>
      </c>
      <c r="M80">
        <v>15.03676602458731</v>
      </c>
      <c r="N80">
        <v>2.1849081992092336</v>
      </c>
      <c r="O80">
        <v>29.516521759732765</v>
      </c>
      <c r="P80">
        <v>11.637971589304614</v>
      </c>
      <c r="Q80">
        <v>7.8193117752094858E-3</v>
      </c>
      <c r="R80">
        <v>16.353469714174977</v>
      </c>
      <c r="S80">
        <v>40.39872500617156</v>
      </c>
      <c r="U80">
        <v>3.4923195279019863</v>
      </c>
      <c r="V80">
        <v>43.54720987723119</v>
      </c>
      <c r="W80">
        <v>28.249752611008059</v>
      </c>
      <c r="X80">
        <v>45.557597879121786</v>
      </c>
      <c r="Y80">
        <v>7.9641392840771541</v>
      </c>
      <c r="Z80">
        <v>36.474659702890683</v>
      </c>
      <c r="AA80">
        <v>5.3672430266035445</v>
      </c>
      <c r="AB80">
        <v>36.220164292920686</v>
      </c>
      <c r="AC80">
        <v>0.10157343583505418</v>
      </c>
      <c r="AD80">
        <v>10.181552917562129</v>
      </c>
      <c r="AE80">
        <v>16.912413288921702</v>
      </c>
      <c r="AF80">
        <v>14.759895559914844</v>
      </c>
      <c r="AG80">
        <v>22.136329557479421</v>
      </c>
      <c r="AH80">
        <v>6.3870331648789467</v>
      </c>
      <c r="AI80">
        <v>2.1223560426159325</v>
      </c>
      <c r="AK80">
        <v>46.484902397205225</v>
      </c>
    </row>
    <row r="81" spans="1:37" x14ac:dyDescent="0.2">
      <c r="A81">
        <v>80</v>
      </c>
      <c r="B81">
        <v>774</v>
      </c>
      <c r="C81">
        <v>150</v>
      </c>
      <c r="D81">
        <v>0.44641216635630598</v>
      </c>
      <c r="E81">
        <v>130.2102514251969</v>
      </c>
      <c r="F81">
        <v>65.49777695000445</v>
      </c>
      <c r="G81">
        <v>72.360520494859287</v>
      </c>
      <c r="H81">
        <v>67.798557594545741</v>
      </c>
      <c r="J81">
        <v>51.835767518499956</v>
      </c>
      <c r="L81">
        <v>7.14955984503937</v>
      </c>
      <c r="M81">
        <v>15.042944736966032</v>
      </c>
      <c r="N81">
        <v>2.1709127668839381</v>
      </c>
      <c r="O81">
        <v>29.015348802207264</v>
      </c>
      <c r="P81">
        <v>11.505732496316433</v>
      </c>
      <c r="R81">
        <v>16.209129815391613</v>
      </c>
      <c r="S81">
        <v>40.236411486309954</v>
      </c>
      <c r="U81">
        <v>3.4697076803000479</v>
      </c>
      <c r="V81">
        <v>43.560822689459471</v>
      </c>
      <c r="W81">
        <v>28.130383492738641</v>
      </c>
      <c r="X81">
        <v>45.548648487268636</v>
      </c>
      <c r="Y81">
        <v>7.8531670253627883</v>
      </c>
      <c r="Z81">
        <v>36.257572298367464</v>
      </c>
      <c r="AA81">
        <v>5.2573841463188362</v>
      </c>
      <c r="AB81">
        <v>36.171637713174874</v>
      </c>
      <c r="AC81">
        <v>8.559077853846539E-2</v>
      </c>
      <c r="AD81">
        <v>10.066669195944678</v>
      </c>
      <c r="AE81">
        <v>16.817429635412992</v>
      </c>
      <c r="AF81">
        <v>14.748964591732216</v>
      </c>
      <c r="AG81">
        <v>22.056962440796024</v>
      </c>
      <c r="AH81">
        <v>6.2369634883749665</v>
      </c>
      <c r="AI81">
        <v>2.1080937865313345</v>
      </c>
      <c r="AK81">
        <v>46.470834442548558</v>
      </c>
    </row>
    <row r="82" spans="1:37" x14ac:dyDescent="0.2">
      <c r="A82">
        <v>81</v>
      </c>
      <c r="B82">
        <v>773</v>
      </c>
      <c r="C82">
        <v>150</v>
      </c>
      <c r="D82">
        <v>0.44581608755914398</v>
      </c>
      <c r="E82">
        <v>130.10512349624702</v>
      </c>
      <c r="F82">
        <v>65.086668580655186</v>
      </c>
      <c r="G82">
        <v>72.288155188607135</v>
      </c>
      <c r="H82">
        <v>67.723528548866128</v>
      </c>
      <c r="J82">
        <v>51.801489903542972</v>
      </c>
      <c r="L82">
        <v>5.8684391558978879</v>
      </c>
      <c r="M82">
        <v>15.057215573683479</v>
      </c>
      <c r="N82">
        <v>2.1557714177912248</v>
      </c>
      <c r="O82">
        <v>28.491730736002655</v>
      </c>
      <c r="P82">
        <v>11.367173009032753</v>
      </c>
      <c r="R82">
        <v>16.068197272107021</v>
      </c>
      <c r="S82">
        <v>40.097845572902521</v>
      </c>
      <c r="U82">
        <v>3.4533350431824297</v>
      </c>
      <c r="V82">
        <v>43.586802500368279</v>
      </c>
      <c r="W82">
        <v>28.018490351896375</v>
      </c>
      <c r="X82">
        <v>45.560358093190025</v>
      </c>
      <c r="Y82">
        <v>7.7364422457124711</v>
      </c>
      <c r="Z82">
        <v>36.033321453383735</v>
      </c>
      <c r="AA82">
        <v>5.1419988143674056</v>
      </c>
      <c r="AB82">
        <v>36.131827974675296</v>
      </c>
      <c r="AC82">
        <v>6.8462355097374555E-2</v>
      </c>
      <c r="AD82">
        <v>9.9471559685182172</v>
      </c>
      <c r="AE82">
        <v>16.720260475751363</v>
      </c>
      <c r="AF82">
        <v>14.744980059155926</v>
      </c>
      <c r="AG82">
        <v>21.98516866630904</v>
      </c>
      <c r="AH82">
        <v>6.0799433929713436</v>
      </c>
      <c r="AI82">
        <v>2.0926848158160838</v>
      </c>
      <c r="AK82">
        <v>46.454024680278373</v>
      </c>
    </row>
    <row r="83" spans="1:37" x14ac:dyDescent="0.2">
      <c r="A83">
        <v>82</v>
      </c>
      <c r="B83">
        <v>772</v>
      </c>
      <c r="C83">
        <v>150</v>
      </c>
      <c r="D83">
        <v>0.44521886810505501</v>
      </c>
      <c r="E83">
        <v>130.0003851404939</v>
      </c>
      <c r="F83">
        <v>64.676573073198256</v>
      </c>
      <c r="G83">
        <v>72.215803015442432</v>
      </c>
      <c r="H83">
        <v>67.648525330974124</v>
      </c>
      <c r="J83">
        <v>51.767013958785157</v>
      </c>
      <c r="L83">
        <v>5.7612597918091817</v>
      </c>
      <c r="M83">
        <v>15.071649313866025</v>
      </c>
      <c r="N83">
        <v>2.1406213535392511</v>
      </c>
      <c r="O83">
        <v>27.968339481906806</v>
      </c>
      <c r="P83">
        <v>11.22863842841695</v>
      </c>
      <c r="R83">
        <v>15.926534582885155</v>
      </c>
      <c r="S83">
        <v>39.957856373606219</v>
      </c>
      <c r="U83">
        <v>3.4373356030908049</v>
      </c>
      <c r="V83">
        <v>43.611979714286839</v>
      </c>
      <c r="W83">
        <v>27.907075244252912</v>
      </c>
      <c r="X83">
        <v>45.573359610792629</v>
      </c>
      <c r="Y83">
        <v>7.6196846269433633</v>
      </c>
      <c r="Z83">
        <v>35.809392634965363</v>
      </c>
      <c r="AA83">
        <v>5.0265586027691169</v>
      </c>
      <c r="AB83">
        <v>36.091178054252715</v>
      </c>
      <c r="AC83">
        <v>5.1325366680705399E-2</v>
      </c>
      <c r="AD83">
        <v>9.8276944637392027</v>
      </c>
      <c r="AE83">
        <v>16.623296688410917</v>
      </c>
      <c r="AF83">
        <v>14.741149948309605</v>
      </c>
      <c r="AG83">
        <v>21.912528418058823</v>
      </c>
      <c r="AH83">
        <v>5.9228259189085311</v>
      </c>
      <c r="AI83">
        <v>2.0772663302461938</v>
      </c>
      <c r="AK83">
        <v>46.437393630880038</v>
      </c>
    </row>
    <row r="84" spans="1:37" x14ac:dyDescent="0.2">
      <c r="A84">
        <v>83</v>
      </c>
      <c r="B84">
        <v>771</v>
      </c>
      <c r="C84">
        <v>150</v>
      </c>
      <c r="D84">
        <v>0.44462050471675502</v>
      </c>
      <c r="E84">
        <v>129.89603894130482</v>
      </c>
      <c r="F84">
        <v>64.267504137510613</v>
      </c>
      <c r="G84">
        <v>72.143467847099629</v>
      </c>
      <c r="H84">
        <v>67.573551832770562</v>
      </c>
      <c r="J84">
        <v>51.73233132215173</v>
      </c>
      <c r="L84">
        <v>5.6538373149432628</v>
      </c>
      <c r="M84">
        <v>15.086241319645525</v>
      </c>
      <c r="N84">
        <v>2.1254626970714452</v>
      </c>
      <c r="O84">
        <v>27.445194445307099</v>
      </c>
      <c r="P84">
        <v>11.090136642572402</v>
      </c>
      <c r="R84">
        <v>15.784153311417171</v>
      </c>
      <c r="S84">
        <v>39.816405252654086</v>
      </c>
      <c r="U84">
        <v>3.4217059578711133</v>
      </c>
      <c r="V84">
        <v>43.636338667718938</v>
      </c>
      <c r="W84">
        <v>27.796139445735658</v>
      </c>
      <c r="X84">
        <v>45.587643440435095</v>
      </c>
      <c r="Y84">
        <v>7.5029008409899989</v>
      </c>
      <c r="Z84">
        <v>35.585786917326111</v>
      </c>
      <c r="AA84">
        <v>4.9110705821317753</v>
      </c>
      <c r="AB84">
        <v>36.049664248520578</v>
      </c>
      <c r="AC84">
        <v>3.4179935792883143E-2</v>
      </c>
      <c r="AD84">
        <v>9.7082892026964842</v>
      </c>
      <c r="AE84">
        <v>16.526534925877002</v>
      </c>
      <c r="AF84">
        <v>14.737469749666714</v>
      </c>
      <c r="AG84">
        <v>21.839018121226289</v>
      </c>
      <c r="AH84">
        <v>5.7656229204345593</v>
      </c>
      <c r="AI84">
        <v>2.0618384509328318</v>
      </c>
      <c r="AK84">
        <v>46.420942562762754</v>
      </c>
    </row>
    <row r="85" spans="1:37" x14ac:dyDescent="0.2">
      <c r="A85">
        <v>84</v>
      </c>
      <c r="B85">
        <v>770</v>
      </c>
      <c r="C85">
        <v>150</v>
      </c>
      <c r="D85">
        <v>0.44402099410439499</v>
      </c>
      <c r="E85">
        <v>129.79208742359168</v>
      </c>
      <c r="F85">
        <v>63.859475215037065</v>
      </c>
      <c r="G85">
        <v>72.071153579919013</v>
      </c>
      <c r="H85">
        <v>67.49861197080125</v>
      </c>
      <c r="J85">
        <v>51.697433846836994</v>
      </c>
      <c r="L85">
        <v>5.5461019803679337</v>
      </c>
      <c r="M85">
        <v>15.100986789111145</v>
      </c>
      <c r="N85">
        <v>2.1102955610216099</v>
      </c>
      <c r="O85">
        <v>26.922315042072043</v>
      </c>
      <c r="P85">
        <v>10.951675578562721</v>
      </c>
      <c r="R85">
        <v>15.641065215659724</v>
      </c>
      <c r="S85">
        <v>39.673454719293431</v>
      </c>
      <c r="U85">
        <v>3.4064425401441984</v>
      </c>
      <c r="V85">
        <v>43.659864237538429</v>
      </c>
      <c r="W85">
        <v>27.685684143503423</v>
      </c>
      <c r="X85">
        <v>45.603199495107198</v>
      </c>
      <c r="Y85">
        <v>7.3860976089413723</v>
      </c>
      <c r="Z85">
        <v>35.36250508779468</v>
      </c>
      <c r="AA85">
        <v>4.7955418148077511</v>
      </c>
      <c r="AB85">
        <v>36.007263371184543</v>
      </c>
      <c r="AC85">
        <v>1.7026174628941362E-2</v>
      </c>
      <c r="AD85">
        <v>9.5889446409131747</v>
      </c>
      <c r="AE85">
        <v>16.429971635799856</v>
      </c>
      <c r="AF85">
        <v>14.73393477936318</v>
      </c>
      <c r="AG85">
        <v>21.764614707790614</v>
      </c>
      <c r="AH85">
        <v>5.6083462841024305</v>
      </c>
      <c r="AI85">
        <v>2.0464012886775396</v>
      </c>
      <c r="AK85">
        <v>46.404672646974319</v>
      </c>
    </row>
    <row r="86" spans="1:37" x14ac:dyDescent="0.2">
      <c r="A86">
        <v>85</v>
      </c>
      <c r="B86">
        <v>769</v>
      </c>
      <c r="C86">
        <v>150</v>
      </c>
      <c r="D86">
        <v>0.44342033296550898</v>
      </c>
      <c r="E86">
        <v>129.68853305772939</v>
      </c>
      <c r="F86">
        <v>63.452499454439796</v>
      </c>
      <c r="G86">
        <v>71.998864128603486</v>
      </c>
      <c r="H86">
        <v>67.423709680012308</v>
      </c>
      <c r="J86">
        <v>51.662313583771116</v>
      </c>
      <c r="L86">
        <v>5.4381162836562504</v>
      </c>
      <c r="M86">
        <v>15.115880761160376</v>
      </c>
      <c r="N86">
        <v>2.0951200445354368</v>
      </c>
      <c r="O86">
        <v>26.39972064899057</v>
      </c>
      <c r="P86">
        <v>10.813263186746005</v>
      </c>
      <c r="R86">
        <v>15.49728220446347</v>
      </c>
      <c r="S86">
        <v>39.528968418723395</v>
      </c>
      <c r="U86">
        <v>3.3915416298812286</v>
      </c>
      <c r="V86">
        <v>43.68254183331041</v>
      </c>
      <c r="W86">
        <v>27.57571045140066</v>
      </c>
      <c r="X86">
        <v>45.620017239822261</v>
      </c>
      <c r="Y86">
        <v>7.2692816877674336</v>
      </c>
      <c r="Z86">
        <v>35.139547626827664</v>
      </c>
      <c r="AA86">
        <v>4.6799793383375219</v>
      </c>
      <c r="AB86">
        <v>35.963952746135718</v>
      </c>
      <c r="AD86">
        <v>9.4696651563108105</v>
      </c>
      <c r="AE86">
        <v>16.33360305392824</v>
      </c>
      <c r="AF86">
        <v>14.7305401808668</v>
      </c>
      <c r="AG86">
        <v>21.689295606446287</v>
      </c>
      <c r="AH86">
        <v>5.4510079115360863</v>
      </c>
      <c r="AI86">
        <v>2.0309549407922347</v>
      </c>
      <c r="AK86">
        <v>46.388584945460892</v>
      </c>
    </row>
    <row r="87" spans="1:37" x14ac:dyDescent="0.2">
      <c r="A87">
        <v>86</v>
      </c>
      <c r="B87">
        <v>768</v>
      </c>
      <c r="C87">
        <v>150</v>
      </c>
      <c r="D87">
        <v>0.442818517984921</v>
      </c>
      <c r="E87">
        <v>129.50032789987608</v>
      </c>
      <c r="F87">
        <v>62.625904778526575</v>
      </c>
      <c r="G87">
        <v>71.85558675450531</v>
      </c>
      <c r="H87">
        <v>67.27783224203975</v>
      </c>
      <c r="J87">
        <v>51.496768359428799</v>
      </c>
      <c r="L87">
        <v>5.224690860438284</v>
      </c>
      <c r="M87">
        <v>15.127184264731689</v>
      </c>
      <c r="N87">
        <v>2.0969264612960958</v>
      </c>
      <c r="O87">
        <v>25.490175414367851</v>
      </c>
      <c r="P87">
        <v>10.549864325380627</v>
      </c>
      <c r="R87">
        <v>15.21797603195836</v>
      </c>
      <c r="S87">
        <v>39.158845837274207</v>
      </c>
      <c r="U87">
        <v>3.3601787990891618</v>
      </c>
      <c r="V87">
        <v>43.678674781458419</v>
      </c>
      <c r="W87">
        <v>27.367499859459869</v>
      </c>
      <c r="X87">
        <v>45.572087149014784</v>
      </c>
      <c r="Y87">
        <v>7.0241648882839618</v>
      </c>
      <c r="Z87">
        <v>34.703070902956625</v>
      </c>
      <c r="AA87">
        <v>4.4537207790499158</v>
      </c>
      <c r="AB87">
        <v>35.860759563396527</v>
      </c>
      <c r="AD87">
        <v>9.2113800430399166</v>
      </c>
      <c r="AE87">
        <v>16.165910549449038</v>
      </c>
      <c r="AF87">
        <v>14.740537302234403</v>
      </c>
      <c r="AG87">
        <v>21.571078326573662</v>
      </c>
      <c r="AH87">
        <v>5.0885055503216394</v>
      </c>
      <c r="AI87">
        <v>2.0324897191264295</v>
      </c>
      <c r="AK87">
        <v>46.28169868529227</v>
      </c>
    </row>
    <row r="88" spans="1:37" x14ac:dyDescent="0.2">
      <c r="A88">
        <v>87</v>
      </c>
      <c r="B88">
        <v>767</v>
      </c>
      <c r="C88">
        <v>150</v>
      </c>
      <c r="D88">
        <v>0.44221554583473799</v>
      </c>
      <c r="E88">
        <v>129.31159272088499</v>
      </c>
      <c r="F88">
        <v>61.791444778184342</v>
      </c>
      <c r="G88">
        <v>71.710281988634392</v>
      </c>
      <c r="H88">
        <v>67.129940208214933</v>
      </c>
      <c r="J88">
        <v>51.325251911959143</v>
      </c>
      <c r="L88">
        <v>5.0071000220354032</v>
      </c>
      <c r="M88">
        <v>15.139487321876548</v>
      </c>
      <c r="N88">
        <v>2.0989055271512411</v>
      </c>
      <c r="O88">
        <v>24.56907703077427</v>
      </c>
      <c r="P88">
        <v>10.282590794260841</v>
      </c>
      <c r="R88">
        <v>14.931572039648758</v>
      </c>
      <c r="S88">
        <v>38.774398491970388</v>
      </c>
      <c r="U88">
        <v>3.3307153604437092</v>
      </c>
      <c r="V88">
        <v>43.670020484049033</v>
      </c>
      <c r="W88">
        <v>27.160280643592237</v>
      </c>
      <c r="X88">
        <v>45.529687408966531</v>
      </c>
      <c r="Y88">
        <v>6.7752356480425791</v>
      </c>
      <c r="Z88">
        <v>34.261934581621787</v>
      </c>
      <c r="AA88">
        <v>4.2239904101309298</v>
      </c>
      <c r="AB88">
        <v>35.751246783680358</v>
      </c>
      <c r="AD88">
        <v>8.9494486196982397</v>
      </c>
      <c r="AE88">
        <v>15.997143116850523</v>
      </c>
      <c r="AF88">
        <v>14.751706886815098</v>
      </c>
      <c r="AG88">
        <v>21.44671655042686</v>
      </c>
      <c r="AH88">
        <v>4.7198890214379166</v>
      </c>
      <c r="AI88">
        <v>2.0341963376936549</v>
      </c>
      <c r="AK88">
        <v>46.172542666546185</v>
      </c>
    </row>
    <row r="89" spans="1:37" x14ac:dyDescent="0.2">
      <c r="A89">
        <v>88</v>
      </c>
      <c r="B89">
        <v>766</v>
      </c>
      <c r="C89">
        <v>150</v>
      </c>
      <c r="D89">
        <v>0.44161141317423203</v>
      </c>
      <c r="E89">
        <v>129.12303104233897</v>
      </c>
      <c r="F89">
        <v>60.95175511348404</v>
      </c>
      <c r="G89">
        <v>71.56338590670741</v>
      </c>
      <c r="H89">
        <v>66.98046967461417</v>
      </c>
      <c r="J89">
        <v>51.147976954684971</v>
      </c>
      <c r="L89">
        <v>4.7858557873211209</v>
      </c>
      <c r="M89">
        <v>15.152884182835557</v>
      </c>
      <c r="N89">
        <v>2.1008840946889711</v>
      </c>
      <c r="O89">
        <v>23.63843269186901</v>
      </c>
      <c r="P89">
        <v>10.012141619397573</v>
      </c>
      <c r="R89">
        <v>14.63860870313796</v>
      </c>
      <c r="S89">
        <v>38.375685931949832</v>
      </c>
      <c r="U89">
        <v>3.3034736478836093</v>
      </c>
      <c r="V89">
        <v>43.656200365720053</v>
      </c>
      <c r="W89">
        <v>26.955105289785131</v>
      </c>
      <c r="X89">
        <v>45.493934691211614</v>
      </c>
      <c r="Y89">
        <v>6.5232320488780271</v>
      </c>
      <c r="Z89">
        <v>33.817195394555142</v>
      </c>
      <c r="AA89">
        <v>3.9912865310749113</v>
      </c>
      <c r="AB89">
        <v>35.634895017436314</v>
      </c>
      <c r="AD89">
        <v>8.6846368250734756</v>
      </c>
      <c r="AE89">
        <v>15.827567410632621</v>
      </c>
      <c r="AF89">
        <v>14.763970042896414</v>
      </c>
      <c r="AG89">
        <v>21.315517746754292</v>
      </c>
      <c r="AH89">
        <v>4.3463966615020233</v>
      </c>
      <c r="AI89">
        <v>2.035901647247071</v>
      </c>
      <c r="AK89">
        <v>46.061520755821952</v>
      </c>
    </row>
    <row r="90" spans="1:37" x14ac:dyDescent="0.2">
      <c r="A90">
        <v>89</v>
      </c>
      <c r="B90">
        <v>765</v>
      </c>
      <c r="C90">
        <v>150</v>
      </c>
      <c r="D90">
        <v>0.44100611664981298</v>
      </c>
      <c r="E90">
        <v>128.93441851012855</v>
      </c>
      <c r="F90">
        <v>60.104585846419148</v>
      </c>
      <c r="G90">
        <v>71.414510055470316</v>
      </c>
      <c r="H90">
        <v>66.829032208384973</v>
      </c>
      <c r="J90">
        <v>50.963453104745888</v>
      </c>
      <c r="L90">
        <v>4.5602145485169023</v>
      </c>
      <c r="M90">
        <v>15.167436509618394</v>
      </c>
      <c r="N90">
        <v>2.1028621179934537</v>
      </c>
      <c r="O90">
        <v>22.695621948727133</v>
      </c>
      <c r="P90">
        <v>9.7377398704169611</v>
      </c>
      <c r="R90">
        <v>14.337936895896272</v>
      </c>
      <c r="S90">
        <v>37.959783179658004</v>
      </c>
      <c r="U90">
        <v>3.2786464762487189</v>
      </c>
      <c r="V90">
        <v>43.636384408320019</v>
      </c>
      <c r="W90">
        <v>26.752022400671844</v>
      </c>
      <c r="X90">
        <v>45.465394555392415</v>
      </c>
      <c r="Y90">
        <v>6.267385194532765</v>
      </c>
      <c r="Z90">
        <v>33.3673189955853</v>
      </c>
      <c r="AA90">
        <v>3.7548696112061735</v>
      </c>
      <c r="AB90">
        <v>35.510231691480222</v>
      </c>
      <c r="AD90">
        <v>8.4160589513481234</v>
      </c>
      <c r="AE90">
        <v>15.656547622421991</v>
      </c>
      <c r="AF90">
        <v>14.777388392049078</v>
      </c>
      <c r="AG90">
        <v>21.176009302185683</v>
      </c>
      <c r="AH90">
        <v>3.9668745399671534</v>
      </c>
      <c r="AI90">
        <v>2.0376056000360232</v>
      </c>
      <c r="AK90">
        <v>45.94791835822177</v>
      </c>
    </row>
    <row r="91" spans="1:37" x14ac:dyDescent="0.2">
      <c r="A91">
        <v>90</v>
      </c>
      <c r="B91">
        <v>764</v>
      </c>
      <c r="C91">
        <v>150</v>
      </c>
      <c r="D91">
        <v>0.44039965289495597</v>
      </c>
      <c r="E91">
        <v>128.46932411203747</v>
      </c>
      <c r="F91">
        <v>57.106725951021936</v>
      </c>
      <c r="G91">
        <v>70.949177525825036</v>
      </c>
      <c r="H91">
        <v>66.361150920868099</v>
      </c>
      <c r="J91">
        <v>49.717252672734844</v>
      </c>
      <c r="L91">
        <v>3.7249999798958306</v>
      </c>
      <c r="M91">
        <v>15.165860506700676</v>
      </c>
      <c r="N91">
        <v>2.1048194829598428</v>
      </c>
      <c r="O91">
        <v>19.546011066985539</v>
      </c>
      <c r="P91">
        <v>8.8304116371269998</v>
      </c>
      <c r="R91">
        <v>13.134559337386515</v>
      </c>
      <c r="S91">
        <v>35.984407337725123</v>
      </c>
      <c r="U91">
        <v>3.2857208332639467</v>
      </c>
      <c r="V91">
        <v>43.353218524558024</v>
      </c>
      <c r="W91">
        <v>26.573414298581479</v>
      </c>
      <c r="X91">
        <v>45.527223936527264</v>
      </c>
      <c r="Y91">
        <v>5.3784347804250165</v>
      </c>
      <c r="Z91">
        <v>31.468036886228425</v>
      </c>
      <c r="AA91">
        <v>2.9012349851376493</v>
      </c>
      <c r="AB91">
        <v>34.580772317441955</v>
      </c>
      <c r="AD91">
        <v>7.3579173480795426</v>
      </c>
      <c r="AE91">
        <v>14.837205675906505</v>
      </c>
      <c r="AF91">
        <v>14.774658030126897</v>
      </c>
      <c r="AG91">
        <v>20.231686619993837</v>
      </c>
      <c r="AH91">
        <v>2.6267099448275459</v>
      </c>
      <c r="AI91">
        <v>2.0392880801202624</v>
      </c>
      <c r="AK91">
        <v>45.178659246092785</v>
      </c>
    </row>
    <row r="92" spans="1:37" x14ac:dyDescent="0.2">
      <c r="A92">
        <v>91</v>
      </c>
      <c r="B92">
        <v>763</v>
      </c>
      <c r="C92">
        <v>150</v>
      </c>
      <c r="D92">
        <v>0.43979201853014099</v>
      </c>
      <c r="E92">
        <v>127.69512695784078</v>
      </c>
      <c r="F92">
        <v>51.683786868270886</v>
      </c>
      <c r="G92">
        <v>70.131572152393488</v>
      </c>
      <c r="H92">
        <v>65.541009667163337</v>
      </c>
      <c r="J92">
        <v>47.275695130912673</v>
      </c>
      <c r="L92">
        <v>2.2052348707935452</v>
      </c>
      <c r="M92">
        <v>15.135359488212826</v>
      </c>
      <c r="N92">
        <v>2.1067523607267375</v>
      </c>
      <c r="O92">
        <v>13.926444255873916</v>
      </c>
      <c r="P92">
        <v>7.2185207820808328</v>
      </c>
      <c r="R92">
        <v>10.918435647749279</v>
      </c>
      <c r="S92">
        <v>32.314572224988197</v>
      </c>
      <c r="U92">
        <v>3.3217433284914981</v>
      </c>
      <c r="V92">
        <v>42.793914661365882</v>
      </c>
      <c r="W92">
        <v>26.429400777493019</v>
      </c>
      <c r="X92">
        <v>45.670240111528756</v>
      </c>
      <c r="Y92">
        <v>3.7828480385644343</v>
      </c>
      <c r="Z92">
        <v>27.889098710798088</v>
      </c>
      <c r="AA92">
        <v>1.355733036784659</v>
      </c>
      <c r="AB92">
        <v>32.760220517564179</v>
      </c>
      <c r="AD92">
        <v>5.3638329765317261</v>
      </c>
      <c r="AE92">
        <v>13.267850915990074</v>
      </c>
      <c r="AF92">
        <v>14.742978447898709</v>
      </c>
      <c r="AG92">
        <v>18.396249499323151</v>
      </c>
      <c r="AH92">
        <v>0.19844970730778158</v>
      </c>
      <c r="AI92">
        <v>2.0409452568020514</v>
      </c>
      <c r="AK92">
        <v>43.659492974417418</v>
      </c>
    </row>
    <row r="93" spans="1:37" x14ac:dyDescent="0.2">
      <c r="A93">
        <v>92</v>
      </c>
      <c r="B93">
        <v>762</v>
      </c>
      <c r="C93">
        <v>150</v>
      </c>
      <c r="D93">
        <v>0.439183210162781</v>
      </c>
      <c r="E93">
        <v>128.38374960028941</v>
      </c>
      <c r="F93">
        <v>51.60146517534757</v>
      </c>
      <c r="G93">
        <v>70.640478431819659</v>
      </c>
      <c r="H93">
        <v>66.047392964433143</v>
      </c>
      <c r="J93">
        <v>34.296957183153488</v>
      </c>
      <c r="L93">
        <v>1.4086842244539695</v>
      </c>
      <c r="M93">
        <v>15.084967764005388</v>
      </c>
      <c r="N93">
        <v>2.1087736199789475</v>
      </c>
      <c r="O93">
        <v>8.7690305835323503</v>
      </c>
      <c r="P93">
        <v>8.2597491894858983</v>
      </c>
      <c r="R93">
        <v>10.3585384933958</v>
      </c>
      <c r="S93">
        <v>28.44390106423246</v>
      </c>
      <c r="U93">
        <v>3.482275072483854</v>
      </c>
      <c r="V93">
        <v>42.179081495898807</v>
      </c>
      <c r="W93">
        <v>26.201955209791073</v>
      </c>
      <c r="X93">
        <v>46.170382146419939</v>
      </c>
      <c r="Y93">
        <v>3.5675887799191015</v>
      </c>
      <c r="Z93">
        <v>23.401351286925792</v>
      </c>
      <c r="AB93">
        <v>28.909644984902425</v>
      </c>
      <c r="AD93">
        <v>3.3221285943251808</v>
      </c>
      <c r="AE93">
        <v>10.133755556564902</v>
      </c>
      <c r="AF93">
        <v>14.691496829408869</v>
      </c>
      <c r="AG93">
        <v>14.53087950769936</v>
      </c>
      <c r="AI93">
        <v>2.0426899969298651</v>
      </c>
      <c r="AK93">
        <v>35.270567619219577</v>
      </c>
    </row>
    <row r="94" spans="1:37" x14ac:dyDescent="0.2">
      <c r="A94">
        <v>93</v>
      </c>
      <c r="B94">
        <v>761</v>
      </c>
      <c r="C94">
        <v>150</v>
      </c>
      <c r="D94">
        <v>0.43857322438717999</v>
      </c>
      <c r="E94">
        <v>128.66923517173788</v>
      </c>
      <c r="F94">
        <v>50.740400304601927</v>
      </c>
      <c r="G94">
        <v>70.798812125268</v>
      </c>
      <c r="H94">
        <v>66.203216594400416</v>
      </c>
      <c r="J94">
        <v>24.72311211296654</v>
      </c>
      <c r="L94">
        <v>1.4295955627980219</v>
      </c>
      <c r="M94">
        <v>14.902528726413003</v>
      </c>
      <c r="N94">
        <v>2.1107757244050944</v>
      </c>
      <c r="O94">
        <v>8.4639018940466038</v>
      </c>
      <c r="P94">
        <v>8.5998208676496137</v>
      </c>
      <c r="R94">
        <v>10.321478736809812</v>
      </c>
      <c r="S94">
        <v>28.011384159907397</v>
      </c>
      <c r="U94">
        <v>3.5258907586317427</v>
      </c>
      <c r="V94">
        <v>42.240750822384122</v>
      </c>
      <c r="W94">
        <v>25.904713171539299</v>
      </c>
      <c r="X94">
        <v>46.335177672046804</v>
      </c>
      <c r="Y94">
        <v>3.5555423010288054</v>
      </c>
      <c r="Z94">
        <v>20.010571859211005</v>
      </c>
      <c r="AB94">
        <v>26.76057207788465</v>
      </c>
      <c r="AD94">
        <v>1.6926996237945473</v>
      </c>
      <c r="AE94">
        <v>8.0789405238037091</v>
      </c>
      <c r="AF94">
        <v>14.507949036205369</v>
      </c>
      <c r="AG94">
        <v>12.366995473039882</v>
      </c>
      <c r="AI94">
        <v>2.0444147623561064</v>
      </c>
      <c r="AK94">
        <v>28.944132793424817</v>
      </c>
    </row>
    <row r="95" spans="1:37" x14ac:dyDescent="0.2">
      <c r="A95">
        <v>94</v>
      </c>
      <c r="B95">
        <v>760</v>
      </c>
      <c r="C95">
        <v>150</v>
      </c>
      <c r="D95">
        <v>0.43796205778444602</v>
      </c>
      <c r="E95">
        <v>128.85412253061429</v>
      </c>
      <c r="F95">
        <v>50.540488009565209</v>
      </c>
      <c r="G95">
        <v>70.872614977070782</v>
      </c>
      <c r="H95">
        <v>66.27452232199461</v>
      </c>
      <c r="J95">
        <v>18.637065174026649</v>
      </c>
      <c r="L95">
        <v>1.4483796152606556</v>
      </c>
      <c r="M95">
        <v>14.664547620644178</v>
      </c>
      <c r="N95">
        <v>2.1127732350158199</v>
      </c>
      <c r="O95">
        <v>8.2617983739012413</v>
      </c>
      <c r="P95">
        <v>8.7708338886051109</v>
      </c>
      <c r="R95">
        <v>10.221818339307184</v>
      </c>
      <c r="S95">
        <v>27.962475319536303</v>
      </c>
      <c r="U95">
        <v>3.5262300572812966</v>
      </c>
      <c r="V95">
        <v>42.506387209201627</v>
      </c>
      <c r="W95">
        <v>25.573653388044445</v>
      </c>
      <c r="X95">
        <v>46.376102517681808</v>
      </c>
      <c r="Y95">
        <v>3.4554423704069746</v>
      </c>
      <c r="Z95">
        <v>18.44066157021846</v>
      </c>
      <c r="AB95">
        <v>25.946626617670368</v>
      </c>
      <c r="AD95">
        <v>0.89572665086760084</v>
      </c>
      <c r="AE95">
        <v>7.1400694686714656</v>
      </c>
      <c r="AF95">
        <v>14.268854880041621</v>
      </c>
      <c r="AG95">
        <v>11.538236783335996</v>
      </c>
      <c r="AI95">
        <v>2.0461341122535681</v>
      </c>
      <c r="AK95">
        <v>24.86980014455802</v>
      </c>
    </row>
    <row r="96" spans="1:37" x14ac:dyDescent="0.2">
      <c r="A96">
        <v>95</v>
      </c>
      <c r="B96">
        <v>788</v>
      </c>
      <c r="C96">
        <v>125</v>
      </c>
      <c r="D96">
        <v>0.48055458700466802</v>
      </c>
      <c r="E96">
        <v>116.85440967583857</v>
      </c>
      <c r="F96">
        <v>68.910180169178588</v>
      </c>
      <c r="G96">
        <v>73.087167212610112</v>
      </c>
      <c r="H96">
        <v>68.563020741118564</v>
      </c>
      <c r="J96">
        <v>52.012229117112696</v>
      </c>
      <c r="L96">
        <v>6.7659974283323994</v>
      </c>
      <c r="M96">
        <v>15.5310698250382</v>
      </c>
      <c r="N96">
        <v>2.1341534644090143</v>
      </c>
      <c r="O96">
        <v>34.319763590808293</v>
      </c>
      <c r="P96">
        <v>12.483757707401329</v>
      </c>
      <c r="Q96">
        <v>1.8989501269773654E-2</v>
      </c>
      <c r="R96">
        <v>18.312587701935744</v>
      </c>
      <c r="S96">
        <v>44.134038560805571</v>
      </c>
      <c r="U96">
        <v>4.34803451480078</v>
      </c>
      <c r="V96">
        <v>43.70660800981711</v>
      </c>
      <c r="W96">
        <v>31.305575219851676</v>
      </c>
      <c r="X96">
        <v>45.284878957672866</v>
      </c>
      <c r="Y96">
        <v>8.6291037061922236</v>
      </c>
      <c r="Z96">
        <v>38.553228831198247</v>
      </c>
      <c r="AA96">
        <v>6.1227217680972386</v>
      </c>
      <c r="AB96">
        <v>37.69123366511969</v>
      </c>
      <c r="AC96">
        <v>0.16830987085036841</v>
      </c>
      <c r="AD96">
        <v>11.087953714056351</v>
      </c>
      <c r="AE96">
        <v>18.175217304117158</v>
      </c>
      <c r="AF96">
        <v>15.321189322672778</v>
      </c>
      <c r="AG96">
        <v>23.882761765419545</v>
      </c>
      <c r="AH96">
        <v>7.155286457358299</v>
      </c>
      <c r="AI96">
        <v>2.0720542704917762</v>
      </c>
      <c r="AK96">
        <v>45.883470295516851</v>
      </c>
    </row>
    <row r="97" spans="1:37" x14ac:dyDescent="0.2">
      <c r="A97">
        <v>96</v>
      </c>
      <c r="B97">
        <v>787</v>
      </c>
      <c r="C97">
        <v>125</v>
      </c>
      <c r="D97">
        <v>0.479998585105882</v>
      </c>
      <c r="E97">
        <v>116.75167211118192</v>
      </c>
      <c r="F97">
        <v>68.538447339860909</v>
      </c>
      <c r="G97">
        <v>73.022171598058293</v>
      </c>
      <c r="H97">
        <v>68.495175518513292</v>
      </c>
      <c r="J97">
        <v>51.970466070247078</v>
      </c>
      <c r="L97">
        <v>6.6736122379685643</v>
      </c>
      <c r="M97">
        <v>15.522710786139712</v>
      </c>
      <c r="N97">
        <v>2.1225602781500879</v>
      </c>
      <c r="O97">
        <v>33.858813674673158</v>
      </c>
      <c r="P97">
        <v>12.363375591538778</v>
      </c>
      <c r="R97">
        <v>18.161646864243963</v>
      </c>
      <c r="S97">
        <v>43.924184117133464</v>
      </c>
      <c r="U97">
        <v>4.3159335508634333</v>
      </c>
      <c r="V97">
        <v>43.696903703250833</v>
      </c>
      <c r="W97">
        <v>31.171369269936044</v>
      </c>
      <c r="X97">
        <v>45.243252544184102</v>
      </c>
      <c r="Y97">
        <v>8.5291766694984918</v>
      </c>
      <c r="Z97">
        <v>38.348688722852827</v>
      </c>
      <c r="AA97">
        <v>6.0237807956507092</v>
      </c>
      <c r="AB97">
        <v>37.623723359678706</v>
      </c>
      <c r="AC97">
        <v>0.15472528522666351</v>
      </c>
      <c r="AD97">
        <v>10.981358267739944</v>
      </c>
      <c r="AE97">
        <v>18.083610913095992</v>
      </c>
      <c r="AF97">
        <v>15.298116675379211</v>
      </c>
      <c r="AG97">
        <v>23.786815123938062</v>
      </c>
      <c r="AH97">
        <v>7.0183959569706369</v>
      </c>
      <c r="AI97">
        <v>2.0602055940270172</v>
      </c>
      <c r="AK97">
        <v>45.874101883844553</v>
      </c>
    </row>
    <row r="98" spans="1:37" x14ac:dyDescent="0.2">
      <c r="A98">
        <v>97</v>
      </c>
      <c r="B98">
        <v>786</v>
      </c>
      <c r="C98">
        <v>125</v>
      </c>
      <c r="D98">
        <v>0.47944153330501299</v>
      </c>
      <c r="E98">
        <v>116.64788250347881</v>
      </c>
      <c r="F98">
        <v>68.131867411618074</v>
      </c>
      <c r="G98">
        <v>72.950418552289946</v>
      </c>
      <c r="H98">
        <v>68.420585283423534</v>
      </c>
      <c r="J98">
        <v>51.933420821913458</v>
      </c>
      <c r="L98">
        <v>6.5687444324931441</v>
      </c>
      <c r="M98">
        <v>15.535554515306023</v>
      </c>
      <c r="N98">
        <v>2.1079242134889977</v>
      </c>
      <c r="O98">
        <v>33.338463191655336</v>
      </c>
      <c r="P98">
        <v>12.226442789676312</v>
      </c>
      <c r="R98">
        <v>18.021260416370264</v>
      </c>
      <c r="S98">
        <v>43.780070978063165</v>
      </c>
      <c r="U98">
        <v>4.2998517505283305</v>
      </c>
      <c r="V98">
        <v>43.721402030392916</v>
      </c>
      <c r="W98">
        <v>31.056149372436678</v>
      </c>
      <c r="X98">
        <v>45.254740081882765</v>
      </c>
      <c r="Y98">
        <v>8.414319048153823</v>
      </c>
      <c r="Z98">
        <v>38.124426554522273</v>
      </c>
      <c r="AA98">
        <v>5.9103129982634277</v>
      </c>
      <c r="AB98">
        <v>37.580409507706591</v>
      </c>
      <c r="AC98">
        <v>0.13809797750233363</v>
      </c>
      <c r="AD98">
        <v>10.862496305062491</v>
      </c>
      <c r="AE98">
        <v>17.985613580619681</v>
      </c>
      <c r="AF98">
        <v>15.293204082877832</v>
      </c>
      <c r="AG98">
        <v>23.712024403950707</v>
      </c>
      <c r="AH98">
        <v>6.8637479572026843</v>
      </c>
      <c r="AI98">
        <v>2.045313265054665</v>
      </c>
      <c r="AK98">
        <v>45.857645043470043</v>
      </c>
    </row>
    <row r="99" spans="1:37" x14ac:dyDescent="0.2">
      <c r="A99">
        <v>98</v>
      </c>
      <c r="B99">
        <v>785</v>
      </c>
      <c r="C99">
        <v>125</v>
      </c>
      <c r="D99">
        <v>0.47888342862543298</v>
      </c>
      <c r="E99">
        <v>116.54446350853416</v>
      </c>
      <c r="F99">
        <v>67.726294379519487</v>
      </c>
      <c r="G99">
        <v>72.878689165033975</v>
      </c>
      <c r="H99">
        <v>68.346031145213757</v>
      </c>
      <c r="J99">
        <v>51.89623814460635</v>
      </c>
      <c r="L99">
        <v>6.4635719101786817</v>
      </c>
      <c r="M99">
        <v>15.548535266111488</v>
      </c>
      <c r="N99">
        <v>2.0932842012425517</v>
      </c>
      <c r="O99">
        <v>32.818419015337973</v>
      </c>
      <c r="P99">
        <v>12.089560432967923</v>
      </c>
      <c r="R99">
        <v>17.880219185091537</v>
      </c>
      <c r="S99">
        <v>43.634663166079633</v>
      </c>
      <c r="U99">
        <v>4.2840929452496139</v>
      </c>
      <c r="V99">
        <v>43.745165782972535</v>
      </c>
      <c r="W99">
        <v>30.941358498821781</v>
      </c>
      <c r="X99">
        <v>45.267391674591757</v>
      </c>
      <c r="Y99">
        <v>8.2994543592396273</v>
      </c>
      <c r="Z99">
        <v>37.900483229630169</v>
      </c>
      <c r="AA99">
        <v>5.7968136852065291</v>
      </c>
      <c r="AB99">
        <v>37.536318497338634</v>
      </c>
      <c r="AC99">
        <v>0.12146687805902721</v>
      </c>
      <c r="AD99">
        <v>10.743694363172063</v>
      </c>
      <c r="AE99">
        <v>17.887812831115905</v>
      </c>
      <c r="AF99">
        <v>15.2884247347901</v>
      </c>
      <c r="AG99">
        <v>23.636454929790503</v>
      </c>
      <c r="AH99">
        <v>6.7090214530879706</v>
      </c>
      <c r="AI99">
        <v>2.0304162125683489</v>
      </c>
      <c r="AK99">
        <v>45.841383279608642</v>
      </c>
    </row>
    <row r="100" spans="1:37" x14ac:dyDescent="0.2">
      <c r="A100">
        <v>99</v>
      </c>
      <c r="B100">
        <v>784</v>
      </c>
      <c r="C100">
        <v>125</v>
      </c>
      <c r="D100">
        <v>0.47832426807926898</v>
      </c>
      <c r="E100">
        <v>116.44141684829597</v>
      </c>
      <c r="F100">
        <v>67.321739140339844</v>
      </c>
      <c r="G100">
        <v>72.806986743686252</v>
      </c>
      <c r="H100">
        <v>68.271516430955387</v>
      </c>
      <c r="J100">
        <v>51.858911182343817</v>
      </c>
      <c r="L100">
        <v>6.3581650064580186</v>
      </c>
      <c r="M100">
        <v>15.561648970536769</v>
      </c>
      <c r="N100">
        <v>2.0786403935518387</v>
      </c>
      <c r="O100">
        <v>32.298697860138816</v>
      </c>
      <c r="P100">
        <v>11.95273530928532</v>
      </c>
      <c r="R100">
        <v>17.73853414603791</v>
      </c>
      <c r="S100">
        <v>43.487928979862836</v>
      </c>
      <c r="U100">
        <v>4.2686537086732521</v>
      </c>
      <c r="V100">
        <v>43.768182239917877</v>
      </c>
      <c r="W100">
        <v>30.826997315699689</v>
      </c>
      <c r="X100">
        <v>45.281197591956598</v>
      </c>
      <c r="Y100">
        <v>8.1845882986773812</v>
      </c>
      <c r="Z100">
        <v>37.676859984126985</v>
      </c>
      <c r="AA100">
        <v>5.6832891400659502</v>
      </c>
      <c r="AB100">
        <v>37.491431095155022</v>
      </c>
      <c r="AC100">
        <v>0.10483213860278877</v>
      </c>
      <c r="AD100">
        <v>10.624956551176332</v>
      </c>
      <c r="AE100">
        <v>17.790205862690343</v>
      </c>
      <c r="AF100">
        <v>15.283774720482748</v>
      </c>
      <c r="AG100">
        <v>23.560087625579254</v>
      </c>
      <c r="AH100">
        <v>6.5542270124758106</v>
      </c>
      <c r="AI100">
        <v>2.0155145868842297</v>
      </c>
      <c r="AK100">
        <v>45.825317557756875</v>
      </c>
    </row>
    <row r="101" spans="1:37" x14ac:dyDescent="0.2">
      <c r="A101">
        <v>100</v>
      </c>
      <c r="B101">
        <v>783</v>
      </c>
      <c r="C101">
        <v>125</v>
      </c>
      <c r="D101">
        <v>0.47776404866733202</v>
      </c>
      <c r="E101">
        <v>116.3387441840306</v>
      </c>
      <c r="F101">
        <v>66.918212344567706</v>
      </c>
      <c r="G101">
        <v>72.735314608233651</v>
      </c>
      <c r="H101">
        <v>68.197044480346733</v>
      </c>
      <c r="J101">
        <v>51.821433292895961</v>
      </c>
      <c r="L101">
        <v>6.2525109005299253</v>
      </c>
      <c r="M101">
        <v>15.574891436545526</v>
      </c>
      <c r="N101">
        <v>2.0639929361227414</v>
      </c>
      <c r="O101">
        <v>31.779316421998036</v>
      </c>
      <c r="P101">
        <v>11.815974225301282</v>
      </c>
      <c r="R101">
        <v>17.596216428415843</v>
      </c>
      <c r="S101">
        <v>43.339837777159325</v>
      </c>
      <c r="U101">
        <v>4.2535304784498393</v>
      </c>
      <c r="V101">
        <v>43.790439165275352</v>
      </c>
      <c r="W101">
        <v>30.713066400505767</v>
      </c>
      <c r="X101">
        <v>45.296147700750112</v>
      </c>
      <c r="Y101">
        <v>8.0697265911503617</v>
      </c>
      <c r="Z101">
        <v>37.453557841358844</v>
      </c>
      <c r="AA101">
        <v>5.5697456303622532</v>
      </c>
      <c r="AB101">
        <v>37.445728573655778</v>
      </c>
      <c r="AC101">
        <v>8.8193904403525411E-2</v>
      </c>
      <c r="AD101">
        <v>10.506286921769071</v>
      </c>
      <c r="AE101">
        <v>17.692789723524239</v>
      </c>
      <c r="AF101">
        <v>15.279249998879374</v>
      </c>
      <c r="AG101">
        <v>23.482903914936163</v>
      </c>
      <c r="AH101">
        <v>6.3993752061808458</v>
      </c>
      <c r="AI101">
        <v>2.0006085318837297</v>
      </c>
      <c r="AK101">
        <v>45.809448767020456</v>
      </c>
    </row>
    <row r="102" spans="1:37" x14ac:dyDescent="0.2">
      <c r="A102">
        <v>101</v>
      </c>
      <c r="B102">
        <v>782</v>
      </c>
      <c r="C102">
        <v>125</v>
      </c>
      <c r="D102">
        <v>0.47720276737904699</v>
      </c>
      <c r="E102">
        <v>116.23644711915662</v>
      </c>
      <c r="F102">
        <v>66.515724379301034</v>
      </c>
      <c r="G102">
        <v>72.663676086425326</v>
      </c>
      <c r="H102">
        <v>68.122618640884767</v>
      </c>
      <c r="J102">
        <v>51.783798036606022</v>
      </c>
      <c r="L102">
        <v>6.1466581230662705</v>
      </c>
      <c r="M102">
        <v>15.588258352414119</v>
      </c>
      <c r="N102">
        <v>2.0493419660239405</v>
      </c>
      <c r="O102">
        <v>31.260291341778512</v>
      </c>
      <c r="P102">
        <v>11.67928399463394</v>
      </c>
      <c r="R102">
        <v>17.453277282137869</v>
      </c>
      <c r="S102">
        <v>43.190359969857056</v>
      </c>
      <c r="U102">
        <v>4.2387195660760391</v>
      </c>
      <c r="V102">
        <v>43.811924802818872</v>
      </c>
      <c r="W102">
        <v>30.599566252067905</v>
      </c>
      <c r="X102">
        <v>45.312231495345692</v>
      </c>
      <c r="Y102">
        <v>7.9548749800867045</v>
      </c>
      <c r="Z102">
        <v>37.23057759896944</v>
      </c>
      <c r="AA102">
        <v>5.4561044897916435</v>
      </c>
      <c r="AB102">
        <v>37.399192707738216</v>
      </c>
      <c r="AC102">
        <v>7.1552312094058629E-2</v>
      </c>
      <c r="AD102">
        <v>10.387689462736882</v>
      </c>
      <c r="AE102">
        <v>17.595561307993133</v>
      </c>
      <c r="AF102">
        <v>15.274846400592928</v>
      </c>
      <c r="AG102">
        <v>23.404885715261614</v>
      </c>
      <c r="AH102">
        <v>6.2444765950435812</v>
      </c>
      <c r="AI102">
        <v>1.9856981828093219</v>
      </c>
      <c r="AK102">
        <v>45.793777712535203</v>
      </c>
    </row>
    <row r="103" spans="1:37" x14ac:dyDescent="0.2">
      <c r="A103">
        <v>102</v>
      </c>
      <c r="B103">
        <v>781</v>
      </c>
      <c r="C103">
        <v>125</v>
      </c>
      <c r="D103">
        <v>0.476640421192431</v>
      </c>
      <c r="E103">
        <v>116.13452720257922</v>
      </c>
      <c r="F103">
        <v>66.11428535035364</v>
      </c>
      <c r="G103">
        <v>72.592074508764924</v>
      </c>
      <c r="H103">
        <v>68.04824226286091</v>
      </c>
      <c r="J103">
        <v>51.745999163127443</v>
      </c>
      <c r="L103">
        <v>6.040616160358546</v>
      </c>
      <c r="M103">
        <v>15.6017452918702</v>
      </c>
      <c r="N103">
        <v>2.0346876092237984</v>
      </c>
      <c r="O103">
        <v>30.741639166060597</v>
      </c>
      <c r="P103">
        <v>11.542671425368885</v>
      </c>
      <c r="R103">
        <v>17.309728044529539</v>
      </c>
      <c r="S103">
        <v>43.039467015028123</v>
      </c>
      <c r="U103">
        <v>4.2242171678269802</v>
      </c>
      <c r="V103">
        <v>43.83262786937464</v>
      </c>
      <c r="W103">
        <v>30.486497303136382</v>
      </c>
      <c r="X103">
        <v>45.329438131413873</v>
      </c>
      <c r="Y103">
        <v>7.8400392170727713</v>
      </c>
      <c r="Z103">
        <v>37.007919814485497</v>
      </c>
      <c r="AA103">
        <v>5.342539082375108</v>
      </c>
      <c r="AB103">
        <v>37.35180576822728</v>
      </c>
      <c r="AC103">
        <v>5.4907487206892633E-2</v>
      </c>
      <c r="AD103">
        <v>10.269168087830435</v>
      </c>
      <c r="AE103">
        <v>17.498517352065416</v>
      </c>
      <c r="AF103">
        <v>15.270559630597226</v>
      </c>
      <c r="AG103">
        <v>23.326015428798087</v>
      </c>
      <c r="AH103">
        <v>6.0895417179658295</v>
      </c>
      <c r="AI103">
        <v>1.9707836638036282</v>
      </c>
      <c r="AK103">
        <v>45.778305107214578</v>
      </c>
    </row>
    <row r="104" spans="1:37" x14ac:dyDescent="0.2">
      <c r="A104">
        <v>103</v>
      </c>
      <c r="B104">
        <v>780</v>
      </c>
      <c r="C104">
        <v>125</v>
      </c>
      <c r="D104">
        <v>0.47607700707401701</v>
      </c>
      <c r="E104">
        <v>116.03298593274751</v>
      </c>
      <c r="F104">
        <v>65.713905066456363</v>
      </c>
      <c r="G104">
        <v>72.520513203795559</v>
      </c>
      <c r="H104">
        <v>67.973918694641469</v>
      </c>
      <c r="J104">
        <v>51.708030595750081</v>
      </c>
      <c r="L104">
        <v>5.9343294479681896</v>
      </c>
      <c r="M104">
        <v>15.61534771868388</v>
      </c>
      <c r="N104">
        <v>2.0200299781066406</v>
      </c>
      <c r="O104">
        <v>30.223376309532906</v>
      </c>
      <c r="P104">
        <v>11.406143308141299</v>
      </c>
      <c r="R104">
        <v>17.165580106008292</v>
      </c>
      <c r="S104">
        <v>42.887131397057502</v>
      </c>
      <c r="U104">
        <v>4.2100193758053583</v>
      </c>
      <c r="V104">
        <v>43.85253754437624</v>
      </c>
      <c r="W104">
        <v>30.373859933454415</v>
      </c>
      <c r="X104">
        <v>45.347756460734921</v>
      </c>
      <c r="Y104">
        <v>7.7252250517547436</v>
      </c>
      <c r="Z104">
        <v>36.78558479101946</v>
      </c>
      <c r="AA104">
        <v>5.2289734255588991</v>
      </c>
      <c r="AB104">
        <v>37.30355051048317</v>
      </c>
      <c r="AC104">
        <v>3.8259541689329171E-2</v>
      </c>
      <c r="AD104">
        <v>10.150726627876203</v>
      </c>
      <c r="AE104">
        <v>17.401654428482523</v>
      </c>
      <c r="AF104">
        <v>15.266385270338722</v>
      </c>
      <c r="AG104">
        <v>23.246275928753477</v>
      </c>
      <c r="AH104">
        <v>5.9345810711445148</v>
      </c>
      <c r="AI104">
        <v>1.9558650854238349</v>
      </c>
      <c r="AK104">
        <v>45.763031563526113</v>
      </c>
    </row>
    <row r="105" spans="1:37" x14ac:dyDescent="0.2">
      <c r="A105">
        <v>104</v>
      </c>
      <c r="B105">
        <v>779</v>
      </c>
      <c r="C105">
        <v>125</v>
      </c>
      <c r="D105">
        <v>0.475512521978807</v>
      </c>
      <c r="E105">
        <v>115.93182476228782</v>
      </c>
      <c r="F105">
        <v>65.314593024752284</v>
      </c>
      <c r="G105">
        <v>72.448995493624281</v>
      </c>
      <c r="H105">
        <v>67.899651278193971</v>
      </c>
      <c r="J105">
        <v>51.669886413576165</v>
      </c>
      <c r="L105">
        <v>5.8278661740806932</v>
      </c>
      <c r="M105">
        <v>15.629060990872205</v>
      </c>
      <c r="N105">
        <v>2.005369168903933</v>
      </c>
      <c r="O105">
        <v>29.70551901830175</v>
      </c>
      <c r="P105">
        <v>11.269706404619429</v>
      </c>
      <c r="R105">
        <v>17.020844875101957</v>
      </c>
      <c r="S105">
        <v>42.733326602405441</v>
      </c>
      <c r="U105">
        <v>4.1961221891144724</v>
      </c>
      <c r="V105">
        <v>43.871643456388469</v>
      </c>
      <c r="W105">
        <v>30.261654483659704</v>
      </c>
      <c r="X105">
        <v>45.367175065790967</v>
      </c>
      <c r="Y105">
        <v>7.6104382220752607</v>
      </c>
      <c r="Z105">
        <v>36.563572562806932</v>
      </c>
      <c r="AA105">
        <v>5.1154136125766305</v>
      </c>
      <c r="AB105">
        <v>37.254410158832165</v>
      </c>
      <c r="AC105">
        <v>2.1608571335927706E-2</v>
      </c>
      <c r="AD105">
        <v>10.032368821945319</v>
      </c>
      <c r="AE105">
        <v>17.304968941572238</v>
      </c>
      <c r="AF105">
        <v>15.262318779368634</v>
      </c>
      <c r="AG105">
        <v>23.165650541171715</v>
      </c>
      <c r="AH105">
        <v>5.7796051114253286</v>
      </c>
      <c r="AI105">
        <v>1.940942542073222</v>
      </c>
      <c r="AK105">
        <v>45.747957585067581</v>
      </c>
    </row>
    <row r="106" spans="1:37" x14ac:dyDescent="0.2">
      <c r="A106">
        <v>105</v>
      </c>
      <c r="B106">
        <v>778</v>
      </c>
      <c r="C106">
        <v>125</v>
      </c>
      <c r="D106">
        <v>0.47494696285021398</v>
      </c>
      <c r="E106">
        <v>115.83104510311901</v>
      </c>
      <c r="F106">
        <v>64.916358396151054</v>
      </c>
      <c r="G106">
        <v>72.377524689422145</v>
      </c>
      <c r="H106">
        <v>67.825443344589942</v>
      </c>
      <c r="J106">
        <v>51.631560831115436</v>
      </c>
      <c r="L106">
        <v>5.7212328604002325</v>
      </c>
      <c r="M106">
        <v>15.642880365122219</v>
      </c>
      <c r="N106">
        <v>1.9907052589125389</v>
      </c>
      <c r="O106">
        <v>29.188083331955191</v>
      </c>
      <c r="P106">
        <v>11.133367435726395</v>
      </c>
      <c r="R106">
        <v>16.875533742708924</v>
      </c>
      <c r="S106">
        <v>42.578027088016768</v>
      </c>
      <c r="U106">
        <v>4.1825215258002597</v>
      </c>
      <c r="V106">
        <v>43.88993566728341</v>
      </c>
      <c r="W106">
        <v>30.149881270790985</v>
      </c>
      <c r="X106">
        <v>45.387682297129615</v>
      </c>
      <c r="Y106">
        <v>7.4956844442657564</v>
      </c>
      <c r="Z106">
        <v>36.341882879749548</v>
      </c>
      <c r="AA106">
        <v>5.0018656556580465</v>
      </c>
      <c r="AB106">
        <v>37.20436838705659</v>
      </c>
      <c r="AC106">
        <v>4.9546530068776753E-3</v>
      </c>
      <c r="AD106">
        <v>9.9140983084374898</v>
      </c>
      <c r="AE106">
        <v>17.208457121411687</v>
      </c>
      <c r="AF106">
        <v>15.25835549698605</v>
      </c>
      <c r="AG106">
        <v>23.084123022632024</v>
      </c>
      <c r="AH106">
        <v>5.6246242279801466</v>
      </c>
      <c r="AI106">
        <v>1.9260161092208157</v>
      </c>
      <c r="AK106">
        <v>45.733083557491284</v>
      </c>
    </row>
    <row r="107" spans="1:37" x14ac:dyDescent="0.2">
      <c r="A107">
        <v>106</v>
      </c>
      <c r="B107">
        <v>777</v>
      </c>
      <c r="C107">
        <v>125</v>
      </c>
      <c r="D107">
        <v>0.47438032662001101</v>
      </c>
      <c r="E107">
        <v>115.67302011155689</v>
      </c>
      <c r="F107">
        <v>64.230910365961208</v>
      </c>
      <c r="G107">
        <v>72.257146691105035</v>
      </c>
      <c r="H107">
        <v>67.702340813682127</v>
      </c>
      <c r="J107">
        <v>51.5020550292409</v>
      </c>
      <c r="L107">
        <v>5.5411111841200578</v>
      </c>
      <c r="M107">
        <v>15.655036914183402</v>
      </c>
      <c r="N107">
        <v>1.9874213435958477</v>
      </c>
      <c r="O107">
        <v>28.402672275544411</v>
      </c>
      <c r="P107">
        <v>10.910601318095885</v>
      </c>
      <c r="R107">
        <v>16.634713526799679</v>
      </c>
      <c r="S107">
        <v>42.262351910496299</v>
      </c>
      <c r="U107">
        <v>4.1588970492412258</v>
      </c>
      <c r="V107">
        <v>43.887558937770393</v>
      </c>
      <c r="W107">
        <v>29.972304698212938</v>
      </c>
      <c r="X107">
        <v>45.368246621892375</v>
      </c>
      <c r="Y107">
        <v>7.2922919460497919</v>
      </c>
      <c r="Z107">
        <v>35.973643934500103</v>
      </c>
      <c r="AA107">
        <v>4.8117015281310156</v>
      </c>
      <c r="AB107">
        <v>37.110202531941539</v>
      </c>
      <c r="AD107">
        <v>9.700215202779189</v>
      </c>
      <c r="AE107">
        <v>17.063177921024266</v>
      </c>
      <c r="AF107">
        <v>15.264109596729725</v>
      </c>
      <c r="AG107">
        <v>22.969853810900407</v>
      </c>
      <c r="AH107">
        <v>5.3284955505685572</v>
      </c>
      <c r="AI107">
        <v>1.9224688805012369</v>
      </c>
      <c r="AK107">
        <v>45.655839328154087</v>
      </c>
    </row>
    <row r="108" spans="1:37" x14ac:dyDescent="0.2">
      <c r="A108">
        <v>107</v>
      </c>
      <c r="B108">
        <v>776</v>
      </c>
      <c r="C108">
        <v>125</v>
      </c>
      <c r="D108">
        <v>0.47381261020826598</v>
      </c>
      <c r="E108">
        <v>115.48866326785591</v>
      </c>
      <c r="F108">
        <v>63.409060035552777</v>
      </c>
      <c r="G108">
        <v>72.113040340479074</v>
      </c>
      <c r="H108">
        <v>67.555522547250689</v>
      </c>
      <c r="J108">
        <v>51.326315495055113</v>
      </c>
      <c r="L108">
        <v>5.3244979191750099</v>
      </c>
      <c r="M108">
        <v>15.667178735813234</v>
      </c>
      <c r="N108">
        <v>1.9894039007818847</v>
      </c>
      <c r="O108">
        <v>27.486699383089952</v>
      </c>
      <c r="P108">
        <v>10.64565223456556</v>
      </c>
      <c r="R108">
        <v>16.345126438359109</v>
      </c>
      <c r="S108">
        <v>41.862229976179464</v>
      </c>
      <c r="U108">
        <v>4.1322141348748804</v>
      </c>
      <c r="V108">
        <v>43.871921287050561</v>
      </c>
      <c r="W108">
        <v>29.765764540596685</v>
      </c>
      <c r="X108">
        <v>45.335024163698037</v>
      </c>
      <c r="Y108">
        <v>7.0457805582458723</v>
      </c>
      <c r="Z108">
        <v>35.535132888136552</v>
      </c>
      <c r="AA108">
        <v>4.5839510516751547</v>
      </c>
      <c r="AB108">
        <v>36.990699580990317</v>
      </c>
      <c r="AD108">
        <v>9.4401091055926116</v>
      </c>
      <c r="AE108">
        <v>16.894805971127354</v>
      </c>
      <c r="AF108">
        <v>15.275115659525131</v>
      </c>
      <c r="AG108">
        <v>22.835516376842097</v>
      </c>
      <c r="AH108">
        <v>4.9636756009491263</v>
      </c>
      <c r="AI108">
        <v>1.9241873319126952</v>
      </c>
      <c r="AK108">
        <v>45.548484283004051</v>
      </c>
    </row>
    <row r="109" spans="1:37" x14ac:dyDescent="0.2">
      <c r="A109">
        <v>108</v>
      </c>
      <c r="B109">
        <v>775</v>
      </c>
      <c r="C109">
        <v>125</v>
      </c>
      <c r="D109">
        <v>0.473243810523307</v>
      </c>
      <c r="E109">
        <v>115.30448369235805</v>
      </c>
      <c r="F109">
        <v>62.581941016536156</v>
      </c>
      <c r="G109">
        <v>71.967390402069739</v>
      </c>
      <c r="H109">
        <v>67.407173329835715</v>
      </c>
      <c r="J109">
        <v>51.144697715097081</v>
      </c>
      <c r="L109">
        <v>5.1043832522706873</v>
      </c>
      <c r="M109">
        <v>15.680290562000932</v>
      </c>
      <c r="N109">
        <v>1.9913859640123557</v>
      </c>
      <c r="O109">
        <v>26.561342269433563</v>
      </c>
      <c r="P109">
        <v>10.377622769186848</v>
      </c>
      <c r="R109">
        <v>16.049143774496599</v>
      </c>
      <c r="S109">
        <v>41.447403718187893</v>
      </c>
      <c r="U109">
        <v>4.1076404130199569</v>
      </c>
      <c r="V109">
        <v>43.85102781954938</v>
      </c>
      <c r="W109">
        <v>29.561175897144125</v>
      </c>
      <c r="X109">
        <v>45.308142207023494</v>
      </c>
      <c r="Y109">
        <v>6.7962733407565308</v>
      </c>
      <c r="Z109">
        <v>35.092787556030615</v>
      </c>
      <c r="AA109">
        <v>4.3533696152724737</v>
      </c>
      <c r="AB109">
        <v>36.864009782041265</v>
      </c>
      <c r="AD109">
        <v>9.1770918118659601</v>
      </c>
      <c r="AE109">
        <v>16.725436252803192</v>
      </c>
      <c r="AF109">
        <v>15.287091456254688</v>
      </c>
      <c r="AG109">
        <v>22.693994007389577</v>
      </c>
      <c r="AH109">
        <v>4.5940806264174956</v>
      </c>
      <c r="AI109">
        <v>1.9259044951669642</v>
      </c>
      <c r="AK109">
        <v>45.439236242637143</v>
      </c>
    </row>
    <row r="110" spans="1:37" x14ac:dyDescent="0.2">
      <c r="A110">
        <v>109</v>
      </c>
      <c r="B110">
        <v>774</v>
      </c>
      <c r="C110">
        <v>125</v>
      </c>
      <c r="D110">
        <v>0.47267392446163797</v>
      </c>
      <c r="E110">
        <v>115.12025905329224</v>
      </c>
      <c r="F110">
        <v>61.747290600207585</v>
      </c>
      <c r="G110">
        <v>71.819808420438051</v>
      </c>
      <c r="H110">
        <v>67.256904726048674</v>
      </c>
      <c r="J110">
        <v>50.955696342831999</v>
      </c>
      <c r="L110">
        <v>4.8800305267928596</v>
      </c>
      <c r="M110">
        <v>15.694419340359152</v>
      </c>
      <c r="N110">
        <v>1.9933674885582831</v>
      </c>
      <c r="O110">
        <v>25.623974790389102</v>
      </c>
      <c r="P110">
        <v>10.105735987865494</v>
      </c>
      <c r="R110">
        <v>15.745595165946048</v>
      </c>
      <c r="S110">
        <v>41.014922741483176</v>
      </c>
      <c r="U110">
        <v>4.0853630926769675</v>
      </c>
      <c r="V110">
        <v>43.824045620305682</v>
      </c>
      <c r="W110">
        <v>29.358580382750013</v>
      </c>
      <c r="X110">
        <v>45.288149122309065</v>
      </c>
      <c r="Y110">
        <v>6.5430008828032253</v>
      </c>
      <c r="Z110">
        <v>34.645057872619446</v>
      </c>
      <c r="AA110">
        <v>4.1191299844478122</v>
      </c>
      <c r="AB110">
        <v>36.728642226942192</v>
      </c>
      <c r="AD110">
        <v>8.9102716680981686</v>
      </c>
      <c r="AE110">
        <v>16.554416147397948</v>
      </c>
      <c r="AF110">
        <v>15.30008389516545</v>
      </c>
      <c r="AG110">
        <v>22.543795755231809</v>
      </c>
      <c r="AH110">
        <v>4.2185568145384895</v>
      </c>
      <c r="AI110">
        <v>1.9276203237044345</v>
      </c>
      <c r="AK110">
        <v>45.327371143811483</v>
      </c>
    </row>
    <row r="111" spans="1:37" x14ac:dyDescent="0.2">
      <c r="A111">
        <v>110</v>
      </c>
      <c r="B111">
        <v>773</v>
      </c>
      <c r="C111">
        <v>125</v>
      </c>
      <c r="D111">
        <v>0.472102948907902</v>
      </c>
      <c r="E111">
        <v>114.93567006874274</v>
      </c>
      <c r="F111">
        <v>60.901856066441582</v>
      </c>
      <c r="G111">
        <v>71.669736000277311</v>
      </c>
      <c r="H111">
        <v>67.104158360672855</v>
      </c>
      <c r="J111">
        <v>50.757162663777592</v>
      </c>
      <c r="L111">
        <v>4.6503135188673372</v>
      </c>
      <c r="M111">
        <v>15.709619877102192</v>
      </c>
      <c r="N111">
        <v>1.9953484126725136</v>
      </c>
      <c r="O111">
        <v>24.670828625183518</v>
      </c>
      <c r="P111">
        <v>9.8288750598166654</v>
      </c>
      <c r="R111">
        <v>15.432760944181062</v>
      </c>
      <c r="S111">
        <v>40.560606338814125</v>
      </c>
      <c r="U111">
        <v>4.0656454243472355</v>
      </c>
      <c r="V111">
        <v>43.78979978982057</v>
      </c>
      <c r="W111">
        <v>29.158032730060565</v>
      </c>
      <c r="X111">
        <v>45.275812895980941</v>
      </c>
      <c r="Y111">
        <v>6.2848581924536537</v>
      </c>
      <c r="Z111">
        <v>34.189713849426376</v>
      </c>
      <c r="AA111">
        <v>3.8801629390326999</v>
      </c>
      <c r="AB111">
        <v>36.58249037291629</v>
      </c>
      <c r="AD111">
        <v>8.6383656104728441</v>
      </c>
      <c r="AE111">
        <v>16.380806778652826</v>
      </c>
      <c r="AF111">
        <v>15.314147726098282</v>
      </c>
      <c r="AG111">
        <v>22.382815021433224</v>
      </c>
      <c r="AH111">
        <v>3.8354415755224647</v>
      </c>
      <c r="AI111">
        <v>1.9293347539467407</v>
      </c>
      <c r="AK111">
        <v>45.211845809053735</v>
      </c>
    </row>
    <row r="112" spans="1:37" x14ac:dyDescent="0.2">
      <c r="A112">
        <v>111</v>
      </c>
      <c r="B112">
        <v>772</v>
      </c>
      <c r="C112">
        <v>125</v>
      </c>
      <c r="D112">
        <v>0.47153088073482102</v>
      </c>
      <c r="E112">
        <v>114.34781642746626</v>
      </c>
      <c r="F112">
        <v>56.882501196982979</v>
      </c>
      <c r="G112">
        <v>71.050634188750649</v>
      </c>
      <c r="H112">
        <v>66.482395300998704</v>
      </c>
      <c r="J112">
        <v>48.961931224018571</v>
      </c>
      <c r="L112">
        <v>3.5139633566013253</v>
      </c>
      <c r="M112">
        <v>15.696496768843254</v>
      </c>
      <c r="N112">
        <v>1.9972982307216005</v>
      </c>
      <c r="O112">
        <v>20.450405233987283</v>
      </c>
      <c r="P112">
        <v>8.6139315953659406</v>
      </c>
      <c r="R112">
        <v>13.760625260771491</v>
      </c>
      <c r="S112">
        <v>37.717758543930131</v>
      </c>
      <c r="U112">
        <v>4.0975615007686903</v>
      </c>
      <c r="V112">
        <v>43.332471502303058</v>
      </c>
      <c r="W112">
        <v>28.992554232506947</v>
      </c>
      <c r="X112">
        <v>45.409076836228195</v>
      </c>
      <c r="Y112">
        <v>5.0885398283259642</v>
      </c>
      <c r="Z112">
        <v>31.603093953772518</v>
      </c>
      <c r="AA112">
        <v>2.7259940704493566</v>
      </c>
      <c r="AB112">
        <v>35.204764045404808</v>
      </c>
      <c r="AD112">
        <v>7.2002846307456982</v>
      </c>
      <c r="AE112">
        <v>15.2469503911105</v>
      </c>
      <c r="AF112">
        <v>15.299857045422746</v>
      </c>
      <c r="AG112">
        <v>20.990231131402137</v>
      </c>
      <c r="AH112">
        <v>2.030587118899295</v>
      </c>
      <c r="AI112">
        <v>1.9310172784287567</v>
      </c>
      <c r="AK112">
        <v>44.122270966442414</v>
      </c>
    </row>
    <row r="113" spans="1:37" x14ac:dyDescent="0.2">
      <c r="A113">
        <v>112</v>
      </c>
      <c r="B113">
        <v>771</v>
      </c>
      <c r="C113">
        <v>125</v>
      </c>
      <c r="D113">
        <v>0.47095771680314102</v>
      </c>
      <c r="E113">
        <v>114.14009849866517</v>
      </c>
      <c r="F113">
        <v>54.122235301497568</v>
      </c>
      <c r="G113">
        <v>70.749821789245246</v>
      </c>
      <c r="H113">
        <v>66.17893437058072</v>
      </c>
      <c r="J113">
        <v>44.329119482159001</v>
      </c>
      <c r="L113">
        <v>2.0995803185766779</v>
      </c>
      <c r="M113">
        <v>15.680757018432125</v>
      </c>
      <c r="N113">
        <v>1.9992671085683196</v>
      </c>
      <c r="O113">
        <v>14.041314895255988</v>
      </c>
      <c r="P113">
        <v>8.0355933888433331</v>
      </c>
      <c r="R113">
        <v>12.00193481153139</v>
      </c>
      <c r="S113">
        <v>33.363332836353997</v>
      </c>
      <c r="U113">
        <v>4.1892721863420244</v>
      </c>
      <c r="V113">
        <v>42.642237353199768</v>
      </c>
      <c r="W113">
        <v>28.827160252560564</v>
      </c>
      <c r="X113">
        <v>45.713150780781689</v>
      </c>
      <c r="Y113">
        <v>3.9440791832833551</v>
      </c>
      <c r="Z113">
        <v>28.752659750082834</v>
      </c>
      <c r="AA113">
        <v>1.1860546079820342</v>
      </c>
      <c r="AB113">
        <v>33.099854340346369</v>
      </c>
      <c r="AD113">
        <v>5.8754204157510888</v>
      </c>
      <c r="AE113">
        <v>13.6569987845748</v>
      </c>
      <c r="AF113">
        <v>15.282969027249345</v>
      </c>
      <c r="AG113">
        <v>18.870485352565129</v>
      </c>
      <c r="AI113">
        <v>1.9327180611806489</v>
      </c>
      <c r="AK113">
        <v>41.231295156534877</v>
      </c>
    </row>
    <row r="114" spans="1:37" x14ac:dyDescent="0.2">
      <c r="A114">
        <v>113</v>
      </c>
      <c r="B114">
        <v>770</v>
      </c>
      <c r="C114">
        <v>125</v>
      </c>
      <c r="D114">
        <v>0.47038345396155901</v>
      </c>
      <c r="E114">
        <v>114.43642197664073</v>
      </c>
      <c r="F114">
        <v>52.954720237811273</v>
      </c>
      <c r="G114">
        <v>70.906381092925685</v>
      </c>
      <c r="H114">
        <v>66.332857880788055</v>
      </c>
      <c r="J114">
        <v>35.752728425512991</v>
      </c>
      <c r="L114">
        <v>1.3718122161953579</v>
      </c>
      <c r="M114">
        <v>15.635597684333202</v>
      </c>
      <c r="N114">
        <v>2.0012673072872897</v>
      </c>
      <c r="O114">
        <v>10.197941659345318</v>
      </c>
      <c r="P114">
        <v>8.3720373054046497</v>
      </c>
      <c r="R114">
        <v>11.247631795570301</v>
      </c>
      <c r="S114">
        <v>30.27947672832989</v>
      </c>
      <c r="U114">
        <v>4.31233347351459</v>
      </c>
      <c r="V114">
        <v>42.090291413430656</v>
      </c>
      <c r="W114">
        <v>28.618398569413863</v>
      </c>
      <c r="X114">
        <v>46.107263464664335</v>
      </c>
      <c r="Y114">
        <v>3.5116487254855198</v>
      </c>
      <c r="Z114">
        <v>25.107217453182514</v>
      </c>
      <c r="AB114">
        <v>30.149257461606364</v>
      </c>
      <c r="AD114">
        <v>4.1530619446870318</v>
      </c>
      <c r="AE114">
        <v>11.279531002949929</v>
      </c>
      <c r="AF114">
        <v>15.236692996528902</v>
      </c>
      <c r="AG114">
        <v>15.90508615550219</v>
      </c>
      <c r="AI114">
        <v>1.9344493614448917</v>
      </c>
      <c r="AK114">
        <v>35.730609285725414</v>
      </c>
    </row>
    <row r="115" spans="1:37" x14ac:dyDescent="0.2">
      <c r="A115">
        <v>114</v>
      </c>
      <c r="B115">
        <v>769</v>
      </c>
      <c r="C115">
        <v>125</v>
      </c>
      <c r="D115">
        <v>0.46980808904668597</v>
      </c>
      <c r="E115">
        <v>114.72985087851275</v>
      </c>
      <c r="F115">
        <v>51.959929337165264</v>
      </c>
      <c r="G115">
        <v>71.065593289929922</v>
      </c>
      <c r="H115">
        <v>66.489447042002354</v>
      </c>
      <c r="J115">
        <v>26.61852922835515</v>
      </c>
      <c r="L115">
        <v>1.3887517797129767</v>
      </c>
      <c r="M115">
        <v>15.488169345411107</v>
      </c>
      <c r="N115">
        <v>2.0032712929424297</v>
      </c>
      <c r="O115">
        <v>9.9083260475971535</v>
      </c>
      <c r="P115">
        <v>8.7137982132015601</v>
      </c>
      <c r="R115">
        <v>11.199577032591126</v>
      </c>
      <c r="S115">
        <v>29.656142233704028</v>
      </c>
      <c r="U115">
        <v>4.3796818392344097</v>
      </c>
      <c r="V115">
        <v>42.02107823157543</v>
      </c>
      <c r="W115">
        <v>28.339550621656404</v>
      </c>
      <c r="X115">
        <v>46.341296728702105</v>
      </c>
      <c r="Y115">
        <v>3.5177174376398188</v>
      </c>
      <c r="Z115">
        <v>21.523637688205444</v>
      </c>
      <c r="AB115">
        <v>27.720834446605835</v>
      </c>
      <c r="AD115">
        <v>2.4535016730507615</v>
      </c>
      <c r="AE115">
        <v>9.0726038109297011</v>
      </c>
      <c r="AF115">
        <v>15.088152003616994</v>
      </c>
      <c r="AG115">
        <v>13.461867049354893</v>
      </c>
      <c r="AI115">
        <v>1.9361836434517454</v>
      </c>
      <c r="AK115">
        <v>29.740801945433166</v>
      </c>
    </row>
    <row r="116" spans="1:37" x14ac:dyDescent="0.2">
      <c r="A116">
        <v>115</v>
      </c>
      <c r="B116">
        <v>768</v>
      </c>
      <c r="C116">
        <v>125</v>
      </c>
      <c r="D116">
        <v>0.46923161888296799</v>
      </c>
      <c r="E116">
        <v>114.9314944659849</v>
      </c>
      <c r="F116">
        <v>51.627718941422586</v>
      </c>
      <c r="G116">
        <v>71.15397753088935</v>
      </c>
      <c r="H116">
        <v>66.575221025139228</v>
      </c>
      <c r="J116">
        <v>20.209610539980432</v>
      </c>
      <c r="L116">
        <v>1.4060666429342346</v>
      </c>
      <c r="M116">
        <v>15.272586945820233</v>
      </c>
      <c r="N116">
        <v>2.0052729691783546</v>
      </c>
      <c r="O116">
        <v>9.6915896899430987</v>
      </c>
      <c r="P116">
        <v>8.9139083390142666</v>
      </c>
      <c r="R116">
        <v>11.109551315204339</v>
      </c>
      <c r="S116">
        <v>29.49228082611025</v>
      </c>
      <c r="U116">
        <v>4.3929079741751726</v>
      </c>
      <c r="V116">
        <v>42.215782859893238</v>
      </c>
      <c r="W116">
        <v>28.021087255978426</v>
      </c>
      <c r="X116">
        <v>46.420080386728863</v>
      </c>
      <c r="Y116">
        <v>3.4355093893610809</v>
      </c>
      <c r="Z116">
        <v>19.618962794606702</v>
      </c>
      <c r="AB116">
        <v>26.627195375392287</v>
      </c>
      <c r="AD116">
        <v>1.5077332790711355</v>
      </c>
      <c r="AE116">
        <v>7.924309737902492</v>
      </c>
      <c r="AF116">
        <v>14.871454901745741</v>
      </c>
      <c r="AG116">
        <v>12.353432023490614</v>
      </c>
      <c r="AI116">
        <v>1.9379148090119356</v>
      </c>
      <c r="AK116">
        <v>25.475761805028814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22D25-5D67-439D-9B3F-5500A282B9EB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3.8867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77.41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7.0000000000000007E-2</v>
      </c>
      <c r="D3" t="s">
        <v>23</v>
      </c>
      <c r="E3">
        <v>1</v>
      </c>
    </row>
    <row r="4" spans="1:8" x14ac:dyDescent="0.2">
      <c r="A4" t="s">
        <v>4</v>
      </c>
      <c r="B4">
        <v>12.76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0.67485000000000006</v>
      </c>
      <c r="D7" t="s">
        <v>26</v>
      </c>
      <c r="E7">
        <v>25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0.97</v>
      </c>
    </row>
    <row r="13" spans="1:8" x14ac:dyDescent="0.2">
      <c r="A13" t="s">
        <v>13</v>
      </c>
      <c r="B13">
        <v>3.37</v>
      </c>
    </row>
    <row r="14" spans="1:8" x14ac:dyDescent="0.2">
      <c r="A14" t="s">
        <v>14</v>
      </c>
      <c r="B14">
        <v>5.0199999999999996</v>
      </c>
    </row>
    <row r="15" spans="1:8" x14ac:dyDescent="0.2">
      <c r="A15" t="s">
        <v>15</v>
      </c>
      <c r="B15">
        <v>0.02</v>
      </c>
    </row>
    <row r="16" spans="1:8" x14ac:dyDescent="0.2">
      <c r="A16" t="s">
        <v>16</v>
      </c>
      <c r="B16">
        <v>11.043433500000001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2025-06-12T06:45:14Z</dcterms:created>
  <dcterms:modified xsi:type="dcterms:W3CDTF">2025-06-12T06:46:20Z</dcterms:modified>
</cp:coreProperties>
</file>