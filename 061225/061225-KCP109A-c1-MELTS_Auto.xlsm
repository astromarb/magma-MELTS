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3B831B83-82DB-48DD-9D0F-1C98C3378318}" xr6:coauthVersionLast="47" xr6:coauthVersionMax="47" xr10:uidLastSave="{00000000-0000-0000-0000-000000000000}"/>
  <bookViews>
    <workbookView xWindow="28680" yWindow="4920" windowWidth="29040" windowHeight="15720" activeTab="1" xr2:uid="{3F4E3469-27B8-46C2-8158-B6D247580E5F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B1" i="17"/>
  <c r="C2" i="13" l="1"/>
  <c r="C4" i="13"/>
  <c r="C6" i="13"/>
  <c r="C8" i="13"/>
  <c r="C10" i="13"/>
  <c r="E6" i="13"/>
  <c r="E8" i="13"/>
  <c r="F4" i="13"/>
  <c r="F8" i="13"/>
  <c r="G4" i="13"/>
  <c r="G8" i="13"/>
  <c r="H2" i="13"/>
  <c r="H10" i="13"/>
  <c r="C5" i="13"/>
  <c r="E3" i="13"/>
  <c r="E9" i="13"/>
  <c r="F9" i="13"/>
  <c r="G9" i="13"/>
  <c r="H9" i="13"/>
  <c r="D2" i="13"/>
  <c r="D4" i="13"/>
  <c r="D6" i="13"/>
  <c r="D8" i="13"/>
  <c r="D10" i="13"/>
  <c r="E4" i="13"/>
  <c r="E10" i="13"/>
  <c r="F6" i="13"/>
  <c r="F10" i="13"/>
  <c r="G6" i="13"/>
  <c r="G10" i="13"/>
  <c r="H4" i="13"/>
  <c r="H6" i="13"/>
  <c r="C3" i="13"/>
  <c r="C7" i="13"/>
  <c r="D9" i="13"/>
  <c r="E5" i="13"/>
  <c r="F7" i="13"/>
  <c r="E2" i="13"/>
  <c r="H8" i="13"/>
  <c r="D7" i="13"/>
  <c r="E7" i="13"/>
  <c r="G3" i="13"/>
  <c r="F2" i="13"/>
  <c r="D5" i="13"/>
  <c r="F5" i="13"/>
  <c r="G5" i="13"/>
  <c r="H7" i="13"/>
  <c r="G2" i="13"/>
  <c r="C9" i="13"/>
  <c r="F3" i="13"/>
  <c r="G7" i="13"/>
  <c r="H5" i="13"/>
  <c r="D3" i="13"/>
  <c r="B10" i="13"/>
  <c r="B9" i="13"/>
  <c r="B8" i="13"/>
  <c r="B7" i="13"/>
  <c r="B6" i="13"/>
  <c r="B5" i="13"/>
  <c r="B4" i="13"/>
  <c r="B3" i="13"/>
  <c r="B2" i="13"/>
  <c r="G4" i="17" l="1"/>
  <c r="H4" i="17"/>
  <c r="E4" i="17"/>
  <c r="D4" i="17"/>
  <c r="H2" i="17"/>
  <c r="F4" i="17"/>
  <c r="C4" i="17"/>
  <c r="H3" i="17"/>
  <c r="G3" i="17"/>
  <c r="F3" i="17"/>
  <c r="D2" i="17"/>
  <c r="D3" i="17"/>
  <c r="G2" i="17"/>
  <c r="F2" i="17"/>
  <c r="E2" i="17"/>
  <c r="E3" i="17"/>
  <c r="C2" i="17"/>
  <c r="C3" i="17"/>
  <c r="B4" i="17"/>
  <c r="B3" i="17"/>
  <c r="B2" i="17"/>
  <c r="H6" i="17" l="1"/>
  <c r="H7" i="17"/>
  <c r="D6" i="17"/>
  <c r="D7" i="17"/>
  <c r="C6" i="17"/>
  <c r="C7" i="17"/>
  <c r="E6" i="17"/>
  <c r="E7" i="17"/>
  <c r="F7" i="17"/>
  <c r="F6" i="17"/>
  <c r="G7" i="17"/>
  <c r="G6" i="17"/>
  <c r="B6" i="17"/>
  <c r="B7" i="17"/>
  <c r="J7" i="17" l="1"/>
  <c r="J6" i="17"/>
  <c r="K7" i="17"/>
  <c r="L7" i="17"/>
  <c r="K6" i="17"/>
  <c r="L6" i="17"/>
  <c r="N6" i="17" a="1"/>
  <c r="N7" i="17" a="1"/>
  <c r="N7" i="17" l="1"/>
  <c r="O7" i="17"/>
  <c r="P7" i="17"/>
  <c r="P6" i="17"/>
  <c r="O6" i="17"/>
  <c r="N6" i="17"/>
  <c r="B9" i="17"/>
  <c r="C9" i="17" l="1"/>
  <c r="D9" i="17"/>
  <c r="H9" i="17"/>
  <c r="E9" i="17"/>
  <c r="G9" i="17"/>
  <c r="F9" i="17"/>
  <c r="C14" i="17"/>
  <c r="D10" i="17"/>
  <c r="C10" i="17"/>
  <c r="E10" i="17"/>
  <c r="H10" i="17"/>
  <c r="F10" i="17"/>
  <c r="G10" i="17"/>
  <c r="B14" i="17"/>
  <c r="B13" i="17"/>
  <c r="C13" i="17" s="1"/>
  <c r="B10" i="17"/>
</calcChain>
</file>

<file path=xl/sharedStrings.xml><?xml version="1.0" encoding="utf-8"?>
<sst xmlns="http://schemas.openxmlformats.org/spreadsheetml/2006/main" count="618" uniqueCount="150">
  <si>
    <t xml:space="preserve"> </t>
  </si>
  <si>
    <t>061225-KCP109A-c1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</si>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</sst>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764</c:v>
                </c:pt>
                <c:pt idx="4">
                  <c:v>765</c:v>
                </c:pt>
                <c:pt idx="5">
                  <c:v>775</c:v>
                </c:pt>
                <c:pt idx="6">
                  <c:v>788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62-428B-B224-5A4FBCE2E152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750</c:v>
                </c:pt>
                <c:pt idx="4">
                  <c:v>755</c:v>
                </c:pt>
                <c:pt idx="5">
                  <c:v>761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62-428B-B224-5A4FBCE2E152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747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62-428B-B224-5A4FBCE2E152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763</c:v>
                </c:pt>
                <c:pt idx="6">
                  <c:v>771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662-428B-B224-5A4FBCE2E152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740</c:v>
                </c:pt>
                <c:pt idx="1">
                  <c:v>743</c:v>
                </c:pt>
                <c:pt idx="2">
                  <c:v>751</c:v>
                </c:pt>
                <c:pt idx="3">
                  <c:v>757</c:v>
                </c:pt>
                <c:pt idx="4">
                  <c:v>764</c:v>
                </c:pt>
                <c:pt idx="5">
                  <c:v>774</c:v>
                </c:pt>
                <c:pt idx="6">
                  <c:v>787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662-428B-B224-5A4FBCE2E152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740</c:v>
                </c:pt>
                <c:pt idx="1">
                  <c:v>743</c:v>
                </c:pt>
                <c:pt idx="2">
                  <c:v>748</c:v>
                </c:pt>
                <c:pt idx="3">
                  <c:v>753</c:v>
                </c:pt>
                <c:pt idx="4">
                  <c:v>759</c:v>
                </c:pt>
                <c:pt idx="5">
                  <c:v>765</c:v>
                </c:pt>
                <c:pt idx="6">
                  <c:v>774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662-428B-B224-5A4FBCE2E152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763</c:v>
                </c:pt>
                <c:pt idx="4">
                  <c:v>764</c:v>
                </c:pt>
                <c:pt idx="5">
                  <c:v>771</c:v>
                </c:pt>
                <c:pt idx="6">
                  <c:v>780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662-428B-B224-5A4FBCE2E152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764</c:v>
                </c:pt>
                <c:pt idx="4">
                  <c:v>765</c:v>
                </c:pt>
                <c:pt idx="5">
                  <c:v>775</c:v>
                </c:pt>
                <c:pt idx="6">
                  <c:v>788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662-428B-B224-5A4FBCE2E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8476688"/>
        <c:axId val="1195156448"/>
      </c:scatterChart>
      <c:valAx>
        <c:axId val="119847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195156448"/>
        <c:crosses val="autoZero"/>
        <c:crossBetween val="midCat"/>
      </c:valAx>
      <c:valAx>
        <c:axId val="1195156448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198476688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763</c:v>
                </c:pt>
                <c:pt idx="4">
                  <c:v>764</c:v>
                </c:pt>
                <c:pt idx="5">
                  <c:v>771</c:v>
                </c:pt>
                <c:pt idx="6">
                  <c:v>780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61-4713-808E-7316749D7F56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740</c:v>
                </c:pt>
                <c:pt idx="1">
                  <c:v>743</c:v>
                </c:pt>
                <c:pt idx="2">
                  <c:v>751</c:v>
                </c:pt>
                <c:pt idx="3">
                  <c:v>757</c:v>
                </c:pt>
                <c:pt idx="4">
                  <c:v>764</c:v>
                </c:pt>
                <c:pt idx="5">
                  <c:v>774</c:v>
                </c:pt>
                <c:pt idx="6">
                  <c:v>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61-4713-808E-7316749D7F56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740</c:v>
                </c:pt>
                <c:pt idx="1">
                  <c:v>743</c:v>
                </c:pt>
                <c:pt idx="2">
                  <c:v>748</c:v>
                </c:pt>
                <c:pt idx="3">
                  <c:v>753</c:v>
                </c:pt>
                <c:pt idx="4">
                  <c:v>759</c:v>
                </c:pt>
                <c:pt idx="5">
                  <c:v>765</c:v>
                </c:pt>
                <c:pt idx="6">
                  <c:v>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61-4713-808E-7316749D7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9980592"/>
        <c:axId val="1739981552"/>
      </c:scatterChart>
      <c:valAx>
        <c:axId val="17399805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39981552"/>
        <c:crosses val="autoZero"/>
        <c:crossBetween val="midCat"/>
      </c:valAx>
      <c:valAx>
        <c:axId val="173998155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3998059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763</c:v>
                </c:pt>
                <c:pt idx="4">
                  <c:v>764</c:v>
                </c:pt>
                <c:pt idx="5">
                  <c:v>771</c:v>
                </c:pt>
                <c:pt idx="6">
                  <c:v>780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1-42F4-8F7C-6A97BB1AEDC1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740</c:v>
                </c:pt>
                <c:pt idx="1">
                  <c:v>743</c:v>
                </c:pt>
                <c:pt idx="2">
                  <c:v>751</c:v>
                </c:pt>
                <c:pt idx="3">
                  <c:v>757</c:v>
                </c:pt>
                <c:pt idx="4">
                  <c:v>764</c:v>
                </c:pt>
                <c:pt idx="5">
                  <c:v>774</c:v>
                </c:pt>
                <c:pt idx="6">
                  <c:v>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21-42F4-8F7C-6A97BB1AE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5267536"/>
        <c:axId val="1211818448"/>
      </c:scatterChart>
      <c:valAx>
        <c:axId val="14452675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1818448"/>
        <c:crosses val="autoZero"/>
        <c:crossBetween val="midCat"/>
      </c:valAx>
      <c:valAx>
        <c:axId val="121181844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4526753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22</c:v>
                </c:pt>
                <c:pt idx="1">
                  <c:v>19</c:v>
                </c:pt>
                <c:pt idx="2">
                  <c:v>14</c:v>
                </c:pt>
                <c:pt idx="3">
                  <c:v>10</c:v>
                </c:pt>
                <c:pt idx="4">
                  <c:v>5</c:v>
                </c:pt>
                <c:pt idx="5">
                  <c:v>9</c:v>
                </c:pt>
                <c:pt idx="6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AB-4348-89C0-74875E75FA41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36.400000000013137</c:v>
                </c:pt>
                <c:pt idx="1">
                  <c:v>23.600000000008123</c:v>
                </c:pt>
                <c:pt idx="2">
                  <c:v>14.371428571432887</c:v>
                </c:pt>
                <c:pt idx="3">
                  <c:v>8.7142857142874419</c:v>
                </c:pt>
                <c:pt idx="4">
                  <c:v>6.6285714285718029</c:v>
                </c:pt>
                <c:pt idx="5">
                  <c:v>8.1142857142859413</c:v>
                </c:pt>
                <c:pt idx="6">
                  <c:v>13.171428571429885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AB-4348-89C0-74875E75FA41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172.89999999999546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6.6159714285717399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AB-4348-89C0-74875E75F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9234352"/>
        <c:axId val="1919232912"/>
      </c:scatterChart>
      <c:valAx>
        <c:axId val="19192343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19232912"/>
        <c:crosses val="autoZero"/>
        <c:crossBetween val="midCat"/>
      </c:valAx>
      <c:valAx>
        <c:axId val="191923291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1923435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22</c:v>
                </c:pt>
                <c:pt idx="1">
                  <c:v>19</c:v>
                </c:pt>
                <c:pt idx="2">
                  <c:v>11</c:v>
                </c:pt>
                <c:pt idx="3">
                  <c:v>6</c:v>
                </c:pt>
                <c:pt idx="4">
                  <c:v>0</c:v>
                </c:pt>
                <c:pt idx="5">
                  <c:v>3</c:v>
                </c:pt>
                <c:pt idx="6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A-4178-AC23-A63ED7B4D57D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36.800000000007259</c:v>
                </c:pt>
                <c:pt idx="1">
                  <c:v>22.20000000000303</c:v>
                </c:pt>
                <c:pt idx="2">
                  <c:v>11.457142857142884</c:v>
                </c:pt>
                <c:pt idx="3">
                  <c:v>4.5714285714267788</c:v>
                </c:pt>
                <c:pt idx="4">
                  <c:v>1.5428571428547286</c:v>
                </c:pt>
                <c:pt idx="5">
                  <c:v>2.3714285714267476</c:v>
                </c:pt>
                <c:pt idx="6">
                  <c:v>7.057142857142793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DA-4178-AC23-A63ED7B4D57D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167.87037037037243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1.3860052910029026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DA-4178-AC23-A63ED7B4D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4811856"/>
        <c:axId val="1964811376"/>
      </c:scatterChart>
      <c:valAx>
        <c:axId val="196481185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64811376"/>
        <c:crosses val="autoZero"/>
        <c:crossBetween val="midCat"/>
      </c:valAx>
      <c:valAx>
        <c:axId val="196481137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6481185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05AFFC3-5732-4141-BC07-F6DF2B452493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75CFCC-32F2-6171-E01D-060BAC2D6E9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BB31AB-0D5A-6535-3028-D68A1C4999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52EB368-21E2-1BBC-429F-81EF2E0238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0C5A0F8-B2B0-5456-6B91-FEDAB48316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BE25D6B-9D05-3FDF-F926-84DF6DDE0B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89C35-7536-4F53-893E-913ECCCBCF1A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762</v>
      </c>
      <c r="C2">
        <f ca="1">IFERROR(VLOOKUP($A2,Phase_Data!$1:$1048576,COLUMN(),0),"-")</f>
        <v>762</v>
      </c>
      <c r="D2">
        <f ca="1">IFERROR(VLOOKUP($A2,Phase_Data!$1:$1048576,COLUMN(),0),"-")</f>
        <v>762</v>
      </c>
      <c r="E2">
        <f ca="1">IFERROR(VLOOKUP($A2,Phase_Data!$1:$1048576,COLUMN(),0),"-")</f>
        <v>763</v>
      </c>
      <c r="F2">
        <f ca="1">IFERROR(VLOOKUP($A2,Phase_Data!$1:$1048576,COLUMN(),0),"-")</f>
        <v>764</v>
      </c>
      <c r="G2">
        <f ca="1">IFERROR(VLOOKUP($A2,Phase_Data!$1:$1048576,COLUMN(),0),"-")</f>
        <v>771</v>
      </c>
      <c r="H2">
        <f ca="1">IFERROR(VLOOKUP($A2,Phase_Data!$1:$1048576,COLUMN(),0),"-")</f>
        <v>780</v>
      </c>
    </row>
    <row r="3" spans="1:16" x14ac:dyDescent="0.2">
      <c r="A3" t="s">
        <v>133</v>
      </c>
      <c r="B3">
        <f ca="1">IFERROR(VLOOKUP($A3,Phase_Data!$1:$1048576,COLUMN(),0),"-")</f>
        <v>740</v>
      </c>
      <c r="C3">
        <f ca="1">IFERROR(VLOOKUP($A3,Phase_Data!$1:$1048576,COLUMN(),0),"-")</f>
        <v>743</v>
      </c>
      <c r="D3">
        <f ca="1">IFERROR(VLOOKUP($A3,Phase_Data!$1:$1048576,COLUMN(),0),"-")</f>
        <v>751</v>
      </c>
      <c r="E3">
        <f ca="1">IFERROR(VLOOKUP($A3,Phase_Data!$1:$1048576,COLUMN(),0),"-")</f>
        <v>757</v>
      </c>
      <c r="F3">
        <f ca="1">IFERROR(VLOOKUP($A3,Phase_Data!$1:$1048576,COLUMN(),0),"-")</f>
        <v>764</v>
      </c>
      <c r="G3">
        <f ca="1">IFERROR(VLOOKUP($A3,Phase_Data!$1:$1048576,COLUMN(),0),"-")</f>
        <v>774</v>
      </c>
      <c r="H3">
        <f ca="1">IFERROR(VLOOKUP($A3,Phase_Data!$1:$1048576,COLUMN(),0),"-")</f>
        <v>787</v>
      </c>
    </row>
    <row r="4" spans="1:16" x14ac:dyDescent="0.2">
      <c r="A4" t="s">
        <v>134</v>
      </c>
      <c r="B4">
        <f ca="1">IFERROR(VLOOKUP($A4,Phase_Data!$1:$1048576,COLUMN(),0),"-")</f>
        <v>740</v>
      </c>
      <c r="C4">
        <f ca="1">IFERROR(VLOOKUP($A4,Phase_Data!$1:$1048576,COLUMN(),0),"-")</f>
        <v>743</v>
      </c>
      <c r="D4">
        <f ca="1">IFERROR(VLOOKUP($A4,Phase_Data!$1:$1048576,COLUMN(),0),"-")</f>
        <v>748</v>
      </c>
      <c r="E4">
        <f ca="1">IFERROR(VLOOKUP($A4,Phase_Data!$1:$1048576,COLUMN(),0),"-")</f>
        <v>753</v>
      </c>
      <c r="F4">
        <f ca="1">IFERROR(VLOOKUP($A4,Phase_Data!$1:$1048576,COLUMN(),0),"-")</f>
        <v>759</v>
      </c>
      <c r="G4">
        <f ca="1">IFERROR(VLOOKUP($A4,Phase_Data!$1:$1048576,COLUMN(),0),"-")</f>
        <v>765</v>
      </c>
      <c r="H4">
        <f ca="1">IFERROR(VLOOKUP($A4,Phase_Data!$1:$1048576,COLUMN(),0),"-")</f>
        <v>774</v>
      </c>
    </row>
    <row r="6" spans="1:16" x14ac:dyDescent="0.2">
      <c r="A6" t="s">
        <v>136</v>
      </c>
      <c r="B6">
        <f ca="1">IF(AND(B2&lt;&gt;0,B3&lt;&gt;0,B4&lt;&gt;0),MAX(B2:B4)-MIN(B2:B4),"-")</f>
        <v>22</v>
      </c>
      <c r="C6">
        <f t="shared" ref="C6:H6" ca="1" si="0">IF(AND(C2&lt;&gt;0,C3&lt;&gt;0,C4&lt;&gt;0),MAX(C2:C4)-MIN(C2:C4),"-")</f>
        <v>19</v>
      </c>
      <c r="D6">
        <f t="shared" ca="1" si="0"/>
        <v>14</v>
      </c>
      <c r="E6">
        <f t="shared" ca="1" si="0"/>
        <v>10</v>
      </c>
      <c r="F6">
        <f t="shared" ca="1" si="0"/>
        <v>5</v>
      </c>
      <c r="G6">
        <f t="shared" ca="1" si="0"/>
        <v>9</v>
      </c>
      <c r="H6">
        <f t="shared" ca="1" si="0"/>
        <v>13</v>
      </c>
      <c r="J6">
        <f ca="1">MIN(B6:H6)</f>
        <v>5</v>
      </c>
      <c r="K6">
        <f ca="1">IF(J6&lt;=5,INDEX(B$1:H$1,1,MATCH(J6,B6:H6,0)),"-")</f>
        <v>175</v>
      </c>
      <c r="L6">
        <f ca="1">IF(J6&lt;=5,MATCH(J6,B6:H6,0),"-")</f>
        <v>5</v>
      </c>
      <c r="N6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92.028571428596479</v>
      </c>
      <c r="O6">
        <f ca="1"/>
        <v>-0.98800000000031218</v>
      </c>
      <c r="P6">
        <f ca="1"/>
        <v>2.8571428571438351E-3</v>
      </c>
    </row>
    <row r="7" spans="1:16" x14ac:dyDescent="0.2">
      <c r="A7" t="s">
        <v>137</v>
      </c>
      <c r="B7">
        <f ca="1">IF(AND(MAX(B2:B4)&lt;&gt;0,LARGE(B2:B4,2)&lt;&gt;0),MAX(B2:B4)-LARGE(B2:B4,2),"-")</f>
        <v>22</v>
      </c>
      <c r="C7">
        <f t="shared" ref="C7:H7" ca="1" si="1">IF(AND(MAX(C2:C4)&lt;&gt;0,LARGE(C2:C4,2)&lt;&gt;0),MAX(C2:C4)-LARGE(C2:C4,2),"-")</f>
        <v>19</v>
      </c>
      <c r="D7">
        <f t="shared" ca="1" si="1"/>
        <v>11</v>
      </c>
      <c r="E7">
        <f t="shared" ca="1" si="1"/>
        <v>6</v>
      </c>
      <c r="F7">
        <f t="shared" ca="1" si="1"/>
        <v>0</v>
      </c>
      <c r="G7">
        <f t="shared" ca="1" si="1"/>
        <v>3</v>
      </c>
      <c r="H7">
        <f t="shared" ca="1" si="1"/>
        <v>7</v>
      </c>
      <c r="J7">
        <f ca="1">MIN(B7:H7)</f>
        <v>0</v>
      </c>
      <c r="K7">
        <f ca="1">IF(J7&lt;=5,INDEX(B$1:H$1,1,MATCH(J7,B7:H7,0)),"-")</f>
        <v>175</v>
      </c>
      <c r="L7">
        <f ca="1">IF(J7&lt;=5,MATCH(J7,B7:H7,0),"-")</f>
        <v>5</v>
      </c>
      <c r="N7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88.342857142883986</v>
      </c>
      <c r="O7">
        <f ca="1"/>
        <v>-1.0360000000003353</v>
      </c>
      <c r="P7">
        <f ca="1"/>
        <v>3.0857142857152464E-3</v>
      </c>
    </row>
    <row r="9" spans="1:16" x14ac:dyDescent="0.2">
      <c r="A9" t="s">
        <v>138</v>
      </c>
      <c r="B9">
        <f ca="1">IFERROR(IF($P6&gt;0,$P6*B$1^2+$O6*B$1+$N6,"-"),"-")</f>
        <v>36.400000000013137</v>
      </c>
      <c r="C9">
        <f ca="1">IFERROR(IF($P6&gt;0,$P6*C$1^2+$O6*C$1+$N6,"-"),"-")</f>
        <v>23.600000000008123</v>
      </c>
      <c r="D9">
        <f ca="1">IFERROR(IF($P6&gt;0,$P6*D$1^2+$O6*D$1+$N6,"-"),"-")</f>
        <v>14.371428571432887</v>
      </c>
      <c r="E9">
        <f ca="1">IFERROR(IF($P6&gt;0,$P6*E$1^2+$O6*E$1+$N6,"-"),"-")</f>
        <v>8.7142857142874419</v>
      </c>
      <c r="F9">
        <f ca="1">IFERROR(IF($P6&gt;0,$P6*F$1^2+$O6*F$1+$N6,"-"),"-")</f>
        <v>6.6285714285718029</v>
      </c>
      <c r="G9">
        <f ca="1">IFERROR(IF($P6&gt;0,$P6*G$1^2+$O6*G$1+$N6,"-"),"-")</f>
        <v>8.1142857142859413</v>
      </c>
      <c r="H9">
        <f ca="1">IFERROR(IF($P6&gt;0,$P6*H$1^2+$O6*H$1+$N6,"-"),"-")</f>
        <v>13.171428571429885</v>
      </c>
    </row>
    <row r="10" spans="1:16" x14ac:dyDescent="0.2">
      <c r="A10" t="s">
        <v>139</v>
      </c>
      <c r="B10">
        <f ca="1">IFERROR(IF($P7&gt;0,$P7*B$1^2+$O7*B$1+$N7,"-"),"-")</f>
        <v>36.800000000007259</v>
      </c>
      <c r="C10">
        <f ca="1">IFERROR(IF($P7&gt;0,$P7*C$1^2+$O7*C$1+$N7,"-"),"-")</f>
        <v>22.20000000000303</v>
      </c>
      <c r="D10">
        <f ca="1">IFERROR(IF($P7&gt;0,$P7*D$1^2+$O7*D$1+$N7,"-"),"-")</f>
        <v>11.457142857142884</v>
      </c>
      <c r="E10">
        <f ca="1">IFERROR(IF($P7&gt;0,$P7*E$1^2+$O7*E$1+$N7,"-"),"-")</f>
        <v>4.5714285714267788</v>
      </c>
      <c r="F10">
        <f ca="1">IFERROR(IF($P7&gt;0,$P7*F$1^2+$O7*F$1+$N7,"-"),"-")</f>
        <v>1.5428571428547286</v>
      </c>
      <c r="G10">
        <f ca="1">IFERROR(IF($P7&gt;0,$P7*G$1^2+$O7*G$1+$N7,"-"),"-")</f>
        <v>2.3714285714267476</v>
      </c>
      <c r="H10">
        <f ca="1">IFERROR(IF($P7&gt;0,$P7*H$1^2+$O7*H$1+$N7,"-"),"-")</f>
        <v>7.057142857142793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>
        <f ca="1">IFERROR(IF($J6&lt;=5,IF($P6&gt;0,-$O6/(2*$P6),"-"),"-"),"-")</f>
        <v>172.89999999999546</v>
      </c>
      <c r="C13" s="2">
        <f ca="1">IFERROR(IF($P6&gt;0,$P6*B13^2+$O6*B13+$N6,"-"),"-")</f>
        <v>6.6159714285717399</v>
      </c>
    </row>
    <row r="14" spans="1:16" x14ac:dyDescent="0.2">
      <c r="A14" t="s">
        <v>141</v>
      </c>
      <c r="B14" s="2">
        <f ca="1">IFERROR(IF($J7&lt;=5,IF($P7&gt;0,-$O7/(2*$P7),"-"),"-"),"-")</f>
        <v>167.87037037037243</v>
      </c>
      <c r="C14" s="2">
        <f ca="1">IFERROR(IF($P7&gt;0,$P7*B14^2+$O7*B14+$N7,"-"),"-")</f>
        <v>1.3860052910029026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7AF6E-DBF0-44DB-9679-5FE82D3519C7}">
  <sheetPr codeName="Sheet2"/>
  <dimension ref="A1:H10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763</v>
      </c>
      <c r="C2">
        <f t="shared" ref="C2:H10" ca="1" si="0">_xlfn.IFNA(INDEX(INDIRECT("'"&amp;$A2&amp;"'!$B:$B"),MATCH(C$1,INDIRECT("'"&amp;$A2&amp;"'!$c:$c"),0)),"")</f>
        <v>763</v>
      </c>
      <c r="D2">
        <f t="shared" ca="1" si="0"/>
        <v>763</v>
      </c>
      <c r="E2">
        <f t="shared" ca="1" si="0"/>
        <v>764</v>
      </c>
      <c r="F2">
        <f t="shared" ca="1" si="0"/>
        <v>765</v>
      </c>
      <c r="G2">
        <f t="shared" ca="1" si="0"/>
        <v>775</v>
      </c>
      <c r="H2">
        <f t="shared" ca="1" si="0"/>
        <v>788</v>
      </c>
    </row>
    <row r="3" spans="1:8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742</v>
      </c>
      <c r="D3">
        <f t="shared" ca="1" si="0"/>
        <v>746</v>
      </c>
      <c r="E3">
        <f t="shared" ca="1" si="0"/>
        <v>750</v>
      </c>
      <c r="F3">
        <f t="shared" ca="1" si="0"/>
        <v>755</v>
      </c>
      <c r="G3">
        <f t="shared" ca="1" si="0"/>
        <v>761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747</v>
      </c>
      <c r="E4">
        <f t="shared" ca="1" si="0"/>
        <v>752</v>
      </c>
      <c r="F4">
        <f t="shared" ca="1" si="0"/>
        <v>757</v>
      </c>
      <c r="G4">
        <f t="shared" ca="1" si="0"/>
        <v>764</v>
      </c>
      <c r="H4">
        <f t="shared" ca="1" si="0"/>
        <v>772</v>
      </c>
    </row>
    <row r="5" spans="1:8" x14ac:dyDescent="0.2">
      <c r="A5" t="s">
        <v>94</v>
      </c>
      <c r="B5">
        <f ca="1">_xlfn.IFNA(INDEX(INDIRECT("'"&amp;$A5&amp;"'!$B:$B"),MATCH(B$1,INDIRECT("'"&amp;$A5&amp;"'!$c:$c"),0)),"")</f>
        <v>738</v>
      </c>
      <c r="C5">
        <f t="shared" ca="1" si="0"/>
        <v>742</v>
      </c>
      <c r="D5">
        <f t="shared" ca="1" si="0"/>
        <v>746</v>
      </c>
      <c r="E5">
        <f t="shared" ca="1" si="0"/>
        <v>751</v>
      </c>
      <c r="F5">
        <f t="shared" ca="1" si="0"/>
        <v>756</v>
      </c>
      <c r="G5">
        <f t="shared" ca="1" si="0"/>
        <v>763</v>
      </c>
      <c r="H5">
        <f t="shared" ca="1" si="0"/>
        <v>771</v>
      </c>
    </row>
    <row r="6" spans="1:8" x14ac:dyDescent="0.2">
      <c r="A6" t="s">
        <v>133</v>
      </c>
      <c r="B6">
        <f ca="1">_xlfn.IFNA(INDEX(INDIRECT("'"&amp;$A6&amp;"'!$B:$B"),MATCH(B$1,INDIRECT("'"&amp;$A6&amp;"'!$c:$c"),0)),"")</f>
        <v>740</v>
      </c>
      <c r="C6">
        <f t="shared" ca="1" si="0"/>
        <v>743</v>
      </c>
      <c r="D6">
        <f t="shared" ca="1" si="0"/>
        <v>751</v>
      </c>
      <c r="E6">
        <f t="shared" ca="1" si="0"/>
        <v>757</v>
      </c>
      <c r="F6">
        <f t="shared" ca="1" si="0"/>
        <v>764</v>
      </c>
      <c r="G6">
        <f t="shared" ca="1" si="0"/>
        <v>774</v>
      </c>
      <c r="H6">
        <f t="shared" ca="1" si="0"/>
        <v>787</v>
      </c>
    </row>
    <row r="7" spans="1:8" x14ac:dyDescent="0.2">
      <c r="A7" t="s">
        <v>134</v>
      </c>
      <c r="B7">
        <f ca="1">_xlfn.IFNA(INDEX(INDIRECT("'"&amp;$A7&amp;"'!$B:$B"),MATCH(B$1,INDIRECT("'"&amp;$A7&amp;"'!$c:$c"),0)),"")</f>
        <v>740</v>
      </c>
      <c r="C7">
        <f t="shared" ca="1" si="0"/>
        <v>743</v>
      </c>
      <c r="D7">
        <f t="shared" ca="1" si="0"/>
        <v>748</v>
      </c>
      <c r="E7">
        <f t="shared" ca="1" si="0"/>
        <v>753</v>
      </c>
      <c r="F7">
        <f t="shared" ca="1" si="0"/>
        <v>759</v>
      </c>
      <c r="G7">
        <f t="shared" ca="1" si="0"/>
        <v>765</v>
      </c>
      <c r="H7">
        <f t="shared" ca="1" si="0"/>
        <v>774</v>
      </c>
    </row>
    <row r="8" spans="1:8" x14ac:dyDescent="0.2">
      <c r="A8" t="s">
        <v>96</v>
      </c>
      <c r="B8">
        <f ca="1">_xlfn.IFNA(INDEX(INDIRECT("'"&amp;$A8&amp;"'!$B:$B"),MATCH(B$1,INDIRECT("'"&amp;$A8&amp;"'!$c:$c"),0)),"")</f>
        <v>762</v>
      </c>
      <c r="C8">
        <f t="shared" ca="1" si="0"/>
        <v>762</v>
      </c>
      <c r="D8">
        <f t="shared" ca="1" si="0"/>
        <v>762</v>
      </c>
      <c r="E8">
        <f t="shared" ca="1" si="0"/>
        <v>763</v>
      </c>
      <c r="F8">
        <f t="shared" ca="1" si="0"/>
        <v>764</v>
      </c>
      <c r="G8">
        <f t="shared" ca="1" si="0"/>
        <v>771</v>
      </c>
      <c r="H8">
        <f t="shared" ca="1" si="0"/>
        <v>780</v>
      </c>
    </row>
    <row r="9" spans="1:8" x14ac:dyDescent="0.2">
      <c r="A9" t="s">
        <v>71</v>
      </c>
      <c r="B9">
        <f ca="1">_xlfn.IFNA(INDEX(INDIRECT("'"&amp;$A9&amp;"'!$B:$B"),MATCH(B$1,INDIRECT("'"&amp;$A9&amp;"'!$c:$c"),0)),"")</f>
        <v>763</v>
      </c>
      <c r="C9">
        <f t="shared" ca="1" si="0"/>
        <v>763</v>
      </c>
      <c r="D9">
        <f t="shared" ca="1" si="0"/>
        <v>763</v>
      </c>
      <c r="E9">
        <f t="shared" ca="1" si="0"/>
        <v>764</v>
      </c>
      <c r="F9">
        <f t="shared" ca="1" si="0"/>
        <v>765</v>
      </c>
      <c r="G9">
        <f t="shared" ca="1" si="0"/>
        <v>775</v>
      </c>
      <c r="H9">
        <f t="shared" ca="1" si="0"/>
        <v>788</v>
      </c>
    </row>
    <row r="10" spans="1:8" x14ac:dyDescent="0.2">
      <c r="A10" t="s">
        <v>84</v>
      </c>
      <c r="B10">
        <f ca="1">_xlfn.IFNA(INDEX(INDIRECT("'"&amp;$A10&amp;"'!$B:$B"),MATCH(B$1,INDIRECT("'"&amp;$A10&amp;"'!$c:$c"),0)),"")</f>
        <v>740</v>
      </c>
      <c r="C10">
        <f t="shared" ca="1" si="0"/>
        <v>743</v>
      </c>
      <c r="D10">
        <f t="shared" ca="1" si="0"/>
        <v>751</v>
      </c>
      <c r="E10">
        <f t="shared" ca="1" si="0"/>
        <v>757</v>
      </c>
      <c r="F10">
        <f t="shared" ca="1" si="0"/>
        <v>764</v>
      </c>
      <c r="G10">
        <f t="shared" ca="1" si="0"/>
        <v>774</v>
      </c>
      <c r="H10">
        <f t="shared" ca="1" si="0"/>
        <v>787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48C06-56DC-4E08-9C2A-C0E394237C8E}">
  <sheetPr codeName="Sheet3"/>
  <dimension ref="A1:Q135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763</v>
      </c>
      <c r="C2">
        <v>275</v>
      </c>
      <c r="D2">
        <v>0.30708922453313198</v>
      </c>
      <c r="E2">
        <v>109.75146507353099</v>
      </c>
      <c r="F2">
        <v>1.97064968092555</v>
      </c>
      <c r="G2">
        <v>-1819.3743278275738</v>
      </c>
      <c r="H2">
        <v>-1493.5836351115715</v>
      </c>
      <c r="I2">
        <v>314.42651352864698</v>
      </c>
      <c r="J2">
        <v>158.83572254670401</v>
      </c>
      <c r="K2">
        <v>55.693036735978701</v>
      </c>
      <c r="L2">
        <v>0.86669870327442444</v>
      </c>
      <c r="M2">
        <v>-0.86651296263014377</v>
      </c>
      <c r="N2">
        <v>48.260203292860801</v>
      </c>
      <c r="O2">
        <v>48.260198997482597</v>
      </c>
      <c r="P2">
        <v>48.260193467359997</v>
      </c>
      <c r="Q2" t="s">
        <v>51</v>
      </c>
    </row>
    <row r="3" spans="1:17" x14ac:dyDescent="0.2">
      <c r="A3">
        <v>2</v>
      </c>
      <c r="B3">
        <v>762</v>
      </c>
      <c r="C3">
        <v>275</v>
      </c>
      <c r="D3">
        <v>0.306352219485102</v>
      </c>
      <c r="E3">
        <v>109.751495349116</v>
      </c>
      <c r="F3">
        <v>1.9712175676938499</v>
      </c>
      <c r="G3">
        <v>-1819.0604669877712</v>
      </c>
      <c r="H3">
        <v>-1493.7523468102186</v>
      </c>
      <c r="I3">
        <v>314.26407918158401</v>
      </c>
      <c r="J3">
        <v>158.832485889401</v>
      </c>
      <c r="K3">
        <v>55.677007524601102</v>
      </c>
      <c r="L3">
        <v>0.8663057261712086</v>
      </c>
      <c r="M3">
        <v>-0.86611994094809464</v>
      </c>
      <c r="N3">
        <v>48.224428552558201</v>
      </c>
      <c r="O3">
        <v>48.224424205309496</v>
      </c>
      <c r="P3">
        <v>48.224418675994301</v>
      </c>
      <c r="Q3" t="s">
        <v>51</v>
      </c>
    </row>
    <row r="4" spans="1:17" x14ac:dyDescent="0.2">
      <c r="A4">
        <v>3</v>
      </c>
      <c r="B4">
        <v>761</v>
      </c>
      <c r="C4">
        <v>275</v>
      </c>
      <c r="D4">
        <v>0.30561378910216402</v>
      </c>
      <c r="E4">
        <v>109.75153054603</v>
      </c>
      <c r="F4">
        <v>1.97178881163967</v>
      </c>
      <c r="G4">
        <v>-1818.7468650593273</v>
      </c>
      <c r="H4">
        <v>-1493.947912882177</v>
      </c>
      <c r="I4">
        <v>314.07561815274101</v>
      </c>
      <c r="J4">
        <v>158.83738684823399</v>
      </c>
      <c r="K4">
        <v>55.660895273446997</v>
      </c>
      <c r="L4">
        <v>0.8645101109710922</v>
      </c>
      <c r="M4">
        <v>-0.86432389694342848</v>
      </c>
      <c r="N4">
        <v>48.1105041273374</v>
      </c>
      <c r="O4">
        <v>48.110499718985899</v>
      </c>
      <c r="P4">
        <v>48.110494179126398</v>
      </c>
      <c r="Q4" t="s">
        <v>51</v>
      </c>
    </row>
    <row r="5" spans="1:17" x14ac:dyDescent="0.2">
      <c r="A5">
        <v>4</v>
      </c>
      <c r="B5">
        <v>760</v>
      </c>
      <c r="C5">
        <v>275</v>
      </c>
      <c r="D5">
        <v>0.30487392924551299</v>
      </c>
      <c r="E5">
        <v>109.751565879208</v>
      </c>
      <c r="F5">
        <v>1.9723615883568499</v>
      </c>
      <c r="G5">
        <v>-1818.4334537474326</v>
      </c>
      <c r="H5">
        <v>-1494.1433060622721</v>
      </c>
      <c r="I5">
        <v>313.88714409850201</v>
      </c>
      <c r="J5">
        <v>158.84222908530299</v>
      </c>
      <c r="K5">
        <v>55.644749181432402</v>
      </c>
      <c r="L5">
        <v>0.86272422233401425</v>
      </c>
      <c r="M5">
        <v>-0.86253758441869455</v>
      </c>
      <c r="N5">
        <v>47.997149844670098</v>
      </c>
      <c r="O5">
        <v>47.9971453749502</v>
      </c>
      <c r="P5">
        <v>47.997139824734603</v>
      </c>
      <c r="Q5" t="s">
        <v>51</v>
      </c>
    </row>
    <row r="6" spans="1:17" x14ac:dyDescent="0.2">
      <c r="A6">
        <v>5</v>
      </c>
      <c r="B6">
        <v>759</v>
      </c>
      <c r="C6">
        <v>275</v>
      </c>
      <c r="D6">
        <v>0.30413263576031102</v>
      </c>
      <c r="E6">
        <v>109.751601349298</v>
      </c>
      <c r="F6">
        <v>1.97293588533287</v>
      </c>
      <c r="G6">
        <v>-1818.1202330760152</v>
      </c>
      <c r="H6">
        <v>-1494.3385278022295</v>
      </c>
      <c r="I6">
        <v>313.69865559799899</v>
      </c>
      <c r="J6">
        <v>158.847012387115</v>
      </c>
      <c r="K6">
        <v>55.6285696687913</v>
      </c>
      <c r="L6">
        <v>0.86094797421700087</v>
      </c>
      <c r="M6">
        <v>-0.86076091730690596</v>
      </c>
      <c r="N6">
        <v>47.884360988978401</v>
      </c>
      <c r="O6">
        <v>47.884356457628002</v>
      </c>
      <c r="P6">
        <v>47.884350897243898</v>
      </c>
      <c r="Q6" t="s">
        <v>51</v>
      </c>
    </row>
    <row r="7" spans="1:17" x14ac:dyDescent="0.2">
      <c r="A7">
        <v>6</v>
      </c>
      <c r="B7">
        <v>758</v>
      </c>
      <c r="C7">
        <v>275</v>
      </c>
      <c r="D7">
        <v>0.303389904475587</v>
      </c>
      <c r="E7">
        <v>109.751636956965</v>
      </c>
      <c r="F7">
        <v>1.9735116901647101</v>
      </c>
      <c r="G7">
        <v>-1817.8072030707478</v>
      </c>
      <c r="H7">
        <v>-1494.5335795377089</v>
      </c>
      <c r="I7">
        <v>313.51015124212103</v>
      </c>
      <c r="J7">
        <v>158.851736535806</v>
      </c>
      <c r="K7">
        <v>55.612357151938397</v>
      </c>
      <c r="L7">
        <v>0.85918128154237505</v>
      </c>
      <c r="M7">
        <v>-0.85899381050665236</v>
      </c>
      <c r="N7">
        <v>47.772132895732803</v>
      </c>
      <c r="O7">
        <v>47.7721283024933</v>
      </c>
      <c r="P7">
        <v>47.772122732127698</v>
      </c>
      <c r="Q7" t="s">
        <v>51</v>
      </c>
    </row>
    <row r="8" spans="1:17" x14ac:dyDescent="0.2">
      <c r="A8">
        <v>7</v>
      </c>
      <c r="B8">
        <v>757</v>
      </c>
      <c r="C8">
        <v>275</v>
      </c>
      <c r="D8">
        <v>0.30264573120419402</v>
      </c>
      <c r="E8">
        <v>109.751672702908</v>
      </c>
      <c r="F8">
        <v>1.97408899056092</v>
      </c>
      <c r="G8">
        <v>-1817.4943637591939</v>
      </c>
      <c r="H8">
        <v>-1494.7284626882449</v>
      </c>
      <c r="I8">
        <v>313.321629633773</v>
      </c>
      <c r="J8">
        <v>158.85640130887401</v>
      </c>
      <c r="K8">
        <v>55.596112043420902</v>
      </c>
      <c r="L8">
        <v>0.8574240602096227</v>
      </c>
      <c r="M8">
        <v>-0.85723617989397327</v>
      </c>
      <c r="N8">
        <v>47.660460952094802</v>
      </c>
      <c r="O8">
        <v>47.660456296711203</v>
      </c>
      <c r="P8">
        <v>47.660450716550599</v>
      </c>
      <c r="Q8" t="s">
        <v>51</v>
      </c>
    </row>
    <row r="9" spans="1:17" x14ac:dyDescent="0.2">
      <c r="A9">
        <v>8</v>
      </c>
      <c r="B9">
        <v>756</v>
      </c>
      <c r="C9">
        <v>275</v>
      </c>
      <c r="D9">
        <v>0.30190011174270298</v>
      </c>
      <c r="E9">
        <v>109.751708587661</v>
      </c>
      <c r="F9">
        <v>1.97466777433671</v>
      </c>
      <c r="G9">
        <v>-1817.1817151676489</v>
      </c>
      <c r="H9">
        <v>-1494.9231786550092</v>
      </c>
      <c r="I9">
        <v>313.13308938703398</v>
      </c>
      <c r="J9">
        <v>158.86100647924499</v>
      </c>
      <c r="K9">
        <v>55.579834751963197</v>
      </c>
      <c r="L9">
        <v>0.85567622706403312</v>
      </c>
      <c r="M9">
        <v>-0.85548794229098246</v>
      </c>
      <c r="N9">
        <v>47.549340595234</v>
      </c>
      <c r="O9">
        <v>47.549335877454702</v>
      </c>
      <c r="P9">
        <v>47.549330287685102</v>
      </c>
      <c r="Q9" t="s">
        <v>51</v>
      </c>
    </row>
    <row r="10" spans="1:17" x14ac:dyDescent="0.2">
      <c r="A10">
        <v>9</v>
      </c>
      <c r="B10">
        <v>755</v>
      </c>
      <c r="C10">
        <v>275</v>
      </c>
      <c r="D10">
        <v>0.30115304187132302</v>
      </c>
      <c r="E10">
        <v>109.751744611951</v>
      </c>
      <c r="F10">
        <v>1.9752480294141599</v>
      </c>
      <c r="G10">
        <v>-1816.8692573269341</v>
      </c>
      <c r="H10">
        <v>-1495.1177288260856</v>
      </c>
      <c r="I10">
        <v>312.94452912771999</v>
      </c>
      <c r="J10">
        <v>158.8655518157</v>
      </c>
      <c r="K10">
        <v>55.563525682646997</v>
      </c>
      <c r="L10">
        <v>0.85393769988299473</v>
      </c>
      <c r="M10">
        <v>-0.8537490154521632</v>
      </c>
      <c r="N10">
        <v>47.4387673117416</v>
      </c>
      <c r="O10">
        <v>47.438762531318702</v>
      </c>
      <c r="P10">
        <v>47.438756932125401</v>
      </c>
      <c r="Q10" t="s">
        <v>51</v>
      </c>
    </row>
    <row r="11" spans="1:17" x14ac:dyDescent="0.2">
      <c r="A11">
        <v>10</v>
      </c>
      <c r="B11">
        <v>754</v>
      </c>
      <c r="C11">
        <v>275</v>
      </c>
      <c r="D11">
        <v>0.30040451735384299</v>
      </c>
      <c r="E11">
        <v>109.75178077642499</v>
      </c>
      <c r="F11">
        <v>1.97582974382374</v>
      </c>
      <c r="G11">
        <v>-1816.5569902679279</v>
      </c>
      <c r="H11">
        <v>-1495.3121145727966</v>
      </c>
      <c r="I11">
        <v>312.75594749266497</v>
      </c>
      <c r="J11">
        <v>158.87003708241701</v>
      </c>
      <c r="K11">
        <v>55.547185236733903</v>
      </c>
      <c r="L11">
        <v>0.85220839736687415</v>
      </c>
      <c r="M11">
        <v>-0.85201931805524467</v>
      </c>
      <c r="N11">
        <v>47.328736636993803</v>
      </c>
      <c r="O11">
        <v>47.328731793682699</v>
      </c>
      <c r="P11">
        <v>47.328726185250702</v>
      </c>
      <c r="Q11" t="s">
        <v>51</v>
      </c>
    </row>
    <row r="12" spans="1:17" x14ac:dyDescent="0.2">
      <c r="A12">
        <v>11</v>
      </c>
      <c r="B12">
        <v>753</v>
      </c>
      <c r="C12">
        <v>275</v>
      </c>
      <c r="D12">
        <v>0.29965453393753799</v>
      </c>
      <c r="E12">
        <v>109.751817081795</v>
      </c>
      <c r="F12">
        <v>1.97641290569741</v>
      </c>
      <c r="G12">
        <v>-1816.2449140239148</v>
      </c>
      <c r="H12">
        <v>-1495.5063372516804</v>
      </c>
      <c r="I12">
        <v>312.56734313013999</v>
      </c>
      <c r="J12">
        <v>158.874462039382</v>
      </c>
      <c r="K12">
        <v>55.530813811938202</v>
      </c>
      <c r="L12">
        <v>0.85048823913516614</v>
      </c>
      <c r="M12">
        <v>-0.8502987696973433</v>
      </c>
      <c r="N12">
        <v>47.219244155189301</v>
      </c>
      <c r="O12">
        <v>47.219239248749297</v>
      </c>
      <c r="P12">
        <v>47.219233631263002</v>
      </c>
      <c r="Q12" t="s">
        <v>51</v>
      </c>
    </row>
    <row r="13" spans="1:17" x14ac:dyDescent="0.2">
      <c r="A13">
        <v>12</v>
      </c>
      <c r="B13">
        <v>752</v>
      </c>
      <c r="C13">
        <v>275</v>
      </c>
      <c r="D13">
        <v>0.29890308735307097</v>
      </c>
      <c r="E13">
        <v>109.751853528654</v>
      </c>
      <c r="F13">
        <v>1.9769975032707501</v>
      </c>
      <c r="G13">
        <v>-1815.9330286276243</v>
      </c>
      <c r="H13">
        <v>-1495.7003982027297</v>
      </c>
      <c r="I13">
        <v>312.37871469873301</v>
      </c>
      <c r="J13">
        <v>158.87882644222</v>
      </c>
      <c r="K13">
        <v>55.514411802281401</v>
      </c>
      <c r="L13">
        <v>0.84877714568590468</v>
      </c>
      <c r="M13">
        <v>-0.8485872908543679</v>
      </c>
      <c r="N13">
        <v>47.110285496990002</v>
      </c>
      <c r="O13">
        <v>47.110280527183903</v>
      </c>
      <c r="P13">
        <v>47.1102749008272</v>
      </c>
      <c r="Q13" t="s">
        <v>51</v>
      </c>
    </row>
    <row r="14" spans="1:17" x14ac:dyDescent="0.2">
      <c r="A14">
        <v>13</v>
      </c>
      <c r="B14">
        <v>751</v>
      </c>
      <c r="C14">
        <v>275</v>
      </c>
      <c r="D14">
        <v>0.29815017331445698</v>
      </c>
      <c r="E14">
        <v>109.751890117724</v>
      </c>
      <c r="F14">
        <v>1.9775835248817799</v>
      </c>
      <c r="G14">
        <v>-1815.6213341151624</v>
      </c>
      <c r="H14">
        <v>-1495.8942987522132</v>
      </c>
      <c r="I14">
        <v>312.19006086848998</v>
      </c>
      <c r="J14">
        <v>158.88313004228499</v>
      </c>
      <c r="K14">
        <v>55.497979598249998</v>
      </c>
      <c r="L14">
        <v>0.84707503842511156</v>
      </c>
      <c r="M14">
        <v>-0.8468848029104723</v>
      </c>
      <c r="N14">
        <v>47.001856341309697</v>
      </c>
      <c r="O14">
        <v>47.001851307903998</v>
      </c>
      <c r="P14">
        <v>47.001845672860199</v>
      </c>
      <c r="Q14" t="s">
        <v>51</v>
      </c>
    </row>
    <row r="15" spans="1:17" x14ac:dyDescent="0.2">
      <c r="A15">
        <v>14</v>
      </c>
      <c r="B15">
        <v>750</v>
      </c>
      <c r="C15">
        <v>275</v>
      </c>
      <c r="D15">
        <v>0.29739578751893703</v>
      </c>
      <c r="E15">
        <v>109.751926849676</v>
      </c>
      <c r="F15">
        <v>1.9781709589690599</v>
      </c>
      <c r="G15">
        <v>-1815.3098305231738</v>
      </c>
      <c r="H15">
        <v>-1496.0880402111752</v>
      </c>
      <c r="I15">
        <v>312.00138031965702</v>
      </c>
      <c r="J15">
        <v>158.88737258675201</v>
      </c>
      <c r="K15">
        <v>55.481517586768398</v>
      </c>
      <c r="L15">
        <v>0.84538183961414903</v>
      </c>
      <c r="M15">
        <v>-0.84519122810539327</v>
      </c>
      <c r="N15">
        <v>46.893952412383797</v>
      </c>
      <c r="O15">
        <v>46.893947315148601</v>
      </c>
      <c r="P15">
        <v>46.893941671600601</v>
      </c>
      <c r="Q15" t="s">
        <v>51</v>
      </c>
    </row>
    <row r="16" spans="1:17" x14ac:dyDescent="0.2">
      <c r="A16">
        <v>15</v>
      </c>
      <c r="B16">
        <v>749</v>
      </c>
      <c r="C16">
        <v>275</v>
      </c>
      <c r="D16">
        <v>0.29663992564692099</v>
      </c>
      <c r="E16">
        <v>109.75196372514201</v>
      </c>
      <c r="F16">
        <v>1.97875979406907</v>
      </c>
      <c r="G16">
        <v>-1814.9985178889431</v>
      </c>
      <c r="H16">
        <v>-1496.2816238751584</v>
      </c>
      <c r="I16">
        <v>311.81267174310699</v>
      </c>
      <c r="J16">
        <v>158.891553818549</v>
      </c>
      <c r="K16">
        <v>55.465026151279901</v>
      </c>
      <c r="L16">
        <v>0.84369747238635895</v>
      </c>
      <c r="M16">
        <v>-0.84350648955109131</v>
      </c>
      <c r="N16">
        <v>46.786569480779001</v>
      </c>
      <c r="O16">
        <v>46.7865643194881</v>
      </c>
      <c r="P16">
        <v>46.786558667618202</v>
      </c>
      <c r="Q16" t="s">
        <v>51</v>
      </c>
    </row>
    <row r="17" spans="1:17" x14ac:dyDescent="0.2">
      <c r="A17">
        <v>16</v>
      </c>
      <c r="B17">
        <v>748</v>
      </c>
      <c r="C17">
        <v>275</v>
      </c>
      <c r="D17">
        <v>0.29588258336189799</v>
      </c>
      <c r="E17">
        <v>109.752000744832</v>
      </c>
      <c r="F17">
        <v>1.9793500188192199</v>
      </c>
      <c r="G17">
        <v>-1814.6873962523732</v>
      </c>
      <c r="H17">
        <v>-1496.4750510266774</v>
      </c>
      <c r="I17">
        <v>311.62393383990297</v>
      </c>
      <c r="J17">
        <v>158.89567347653201</v>
      </c>
      <c r="K17">
        <v>55.4485056717281</v>
      </c>
      <c r="L17">
        <v>0.8420218607095753</v>
      </c>
      <c r="M17">
        <v>-0.84183051119425634</v>
      </c>
      <c r="N17">
        <v>46.679703361313301</v>
      </c>
      <c r="O17">
        <v>46.679698135744196</v>
      </c>
      <c r="P17">
        <v>46.679692475734399</v>
      </c>
      <c r="Q17" t="s">
        <v>51</v>
      </c>
    </row>
    <row r="18" spans="1:17" x14ac:dyDescent="0.2">
      <c r="A18">
        <v>17</v>
      </c>
      <c r="B18">
        <v>747</v>
      </c>
      <c r="C18">
        <v>275</v>
      </c>
      <c r="D18">
        <v>0.29512375631034898</v>
      </c>
      <c r="E18">
        <v>109.752037909465</v>
      </c>
      <c r="F18">
        <v>1.9799416219517101</v>
      </c>
      <c r="G18">
        <v>-1814.3764656547542</v>
      </c>
      <c r="H18">
        <v>-1496.6683229337418</v>
      </c>
      <c r="I18">
        <v>311.43516532158702</v>
      </c>
      <c r="J18">
        <v>158.89973129546399</v>
      </c>
      <c r="K18">
        <v>55.431956524696702</v>
      </c>
      <c r="L18">
        <v>0.84035492940164447</v>
      </c>
      <c r="M18">
        <v>-0.84016321783182546</v>
      </c>
      <c r="N18">
        <v>46.573349914049601</v>
      </c>
      <c r="O18">
        <v>46.573344623983601</v>
      </c>
      <c r="P18">
        <v>46.5733389560151</v>
      </c>
      <c r="Q18" t="s">
        <v>51</v>
      </c>
    </row>
    <row r="19" spans="1:17" x14ac:dyDescent="0.2">
      <c r="A19">
        <v>18</v>
      </c>
      <c r="B19">
        <v>746</v>
      </c>
      <c r="C19">
        <v>275</v>
      </c>
      <c r="D19">
        <v>0.29436344012167098</v>
      </c>
      <c r="E19">
        <v>109.752075219619</v>
      </c>
      <c r="F19">
        <v>1.98053459229384</v>
      </c>
      <c r="G19">
        <v>-1814.0657261364026</v>
      </c>
      <c r="H19">
        <v>-1496.8614408485171</v>
      </c>
      <c r="I19">
        <v>311.24636490923598</v>
      </c>
      <c r="J19">
        <v>158.90372700597899</v>
      </c>
      <c r="K19">
        <v>55.415379083333598</v>
      </c>
      <c r="L19">
        <v>0.83869660409321667</v>
      </c>
      <c r="M19">
        <v>-0.83850453507376466</v>
      </c>
      <c r="N19">
        <v>46.467505042182403</v>
      </c>
      <c r="O19">
        <v>46.467499687404597</v>
      </c>
      <c r="P19">
        <v>46.467494011658303</v>
      </c>
      <c r="Q19" t="s">
        <v>51</v>
      </c>
    </row>
    <row r="20" spans="1:17" x14ac:dyDescent="0.2">
      <c r="A20">
        <v>19</v>
      </c>
      <c r="B20">
        <v>745</v>
      </c>
      <c r="C20">
        <v>275</v>
      </c>
      <c r="D20">
        <v>0.29360163040809401</v>
      </c>
      <c r="E20">
        <v>109.752112676053</v>
      </c>
      <c r="F20">
        <v>1.98112891877235</v>
      </c>
      <c r="G20">
        <v>-1813.7551777418576</v>
      </c>
      <c r="H20">
        <v>-1497.0544060115446</v>
      </c>
      <c r="I20">
        <v>311.05753133445899</v>
      </c>
      <c r="J20">
        <v>158.907660334588</v>
      </c>
      <c r="K20">
        <v>55.398773717393503</v>
      </c>
      <c r="L20">
        <v>0.83704681124684144</v>
      </c>
      <c r="M20">
        <v>-0.83685438936217582</v>
      </c>
      <c r="N20">
        <v>46.362164693146802</v>
      </c>
      <c r="O20">
        <v>46.362159273445997</v>
      </c>
      <c r="P20">
        <v>46.362153590102203</v>
      </c>
      <c r="Q20" t="s">
        <v>51</v>
      </c>
    </row>
    <row r="21" spans="1:17" x14ac:dyDescent="0.2">
      <c r="A21">
        <v>20</v>
      </c>
      <c r="B21">
        <v>744</v>
      </c>
      <c r="C21">
        <v>275</v>
      </c>
      <c r="D21">
        <v>0.29283832276459099</v>
      </c>
      <c r="E21">
        <v>109.752150279462</v>
      </c>
      <c r="F21">
        <v>1.98172459040258</v>
      </c>
      <c r="G21">
        <v>-1813.4448205158146</v>
      </c>
      <c r="H21">
        <v>-1497.2472196490146</v>
      </c>
      <c r="I21">
        <v>310.86866333813998</v>
      </c>
      <c r="J21">
        <v>158.91153100409599</v>
      </c>
      <c r="K21">
        <v>55.382140793421897</v>
      </c>
      <c r="L21">
        <v>0.83540547810409649</v>
      </c>
      <c r="M21">
        <v>-0.83521270791839664</v>
      </c>
      <c r="N21">
        <v>46.257324855854101</v>
      </c>
      <c r="O21">
        <v>46.257319371022902</v>
      </c>
      <c r="P21">
        <v>46.257313680261497</v>
      </c>
      <c r="Q21" t="s">
        <v>51</v>
      </c>
    </row>
    <row r="22" spans="1:17" x14ac:dyDescent="0.2">
      <c r="A22">
        <v>21</v>
      </c>
      <c r="B22">
        <v>743</v>
      </c>
      <c r="C22">
        <v>275</v>
      </c>
      <c r="D22">
        <v>0.29207351276878402</v>
      </c>
      <c r="E22">
        <v>109.75218803049199</v>
      </c>
      <c r="F22">
        <v>1.9823215962951199</v>
      </c>
      <c r="G22">
        <v>-1813.1346545035071</v>
      </c>
      <c r="H22">
        <v>-1497.4398829726886</v>
      </c>
      <c r="I22">
        <v>310.67975967093099</v>
      </c>
      <c r="J22">
        <v>158.91533873307901</v>
      </c>
      <c r="K22">
        <v>55.365480674586102</v>
      </c>
      <c r="L22">
        <v>0.83377253271332663</v>
      </c>
      <c r="M22">
        <v>-0.83357941877075692</v>
      </c>
      <c r="N22">
        <v>46.152981562100599</v>
      </c>
      <c r="O22">
        <v>46.152976011935401</v>
      </c>
      <c r="P22">
        <v>46.152970313935803</v>
      </c>
      <c r="Q22" t="s">
        <v>51</v>
      </c>
    </row>
    <row r="23" spans="1:17" x14ac:dyDescent="0.2">
      <c r="A23">
        <v>22</v>
      </c>
      <c r="B23">
        <v>742</v>
      </c>
      <c r="C23">
        <v>275</v>
      </c>
      <c r="D23">
        <v>0.291307195980888</v>
      </c>
      <c r="E23">
        <v>109.752225929872</v>
      </c>
      <c r="F23">
        <v>1.98291992565234</v>
      </c>
      <c r="G23">
        <v>-1812.8246797527065</v>
      </c>
      <c r="H23">
        <v>-1497.6323971819902</v>
      </c>
      <c r="I23">
        <v>310.49081909321302</v>
      </c>
      <c r="J23">
        <v>158.919083236261</v>
      </c>
      <c r="K23">
        <v>55.3487937208387</v>
      </c>
      <c r="L23">
        <v>0.83214790390753712</v>
      </c>
      <c r="M23">
        <v>-0.83195445073246199</v>
      </c>
      <c r="N23">
        <v>46.049130885490797</v>
      </c>
      <c r="O23">
        <v>46.049125269791901</v>
      </c>
      <c r="P23">
        <v>46.049119564732898</v>
      </c>
      <c r="Q23" t="s">
        <v>51</v>
      </c>
    </row>
    <row r="24" spans="1:17" x14ac:dyDescent="0.2">
      <c r="A24">
        <v>23</v>
      </c>
      <c r="B24">
        <v>741</v>
      </c>
      <c r="C24">
        <v>275</v>
      </c>
      <c r="D24">
        <v>0.29053936794360102</v>
      </c>
      <c r="E24">
        <v>109.752263978296</v>
      </c>
      <c r="F24">
        <v>1.98351956776962</v>
      </c>
      <c r="G24">
        <v>-1812.5148963118697</v>
      </c>
      <c r="H24">
        <v>-1497.8247634629518</v>
      </c>
      <c r="I24">
        <v>310.30184037434901</v>
      </c>
      <c r="J24">
        <v>158.92276422442001</v>
      </c>
      <c r="K24">
        <v>55.3320802888312</v>
      </c>
      <c r="L24">
        <v>0.83053152127581342</v>
      </c>
      <c r="M24">
        <v>-0.83033773337300476</v>
      </c>
      <c r="N24">
        <v>45.945768939793801</v>
      </c>
      <c r="O24">
        <v>45.945763258365403</v>
      </c>
      <c r="P24">
        <v>45.945757546425398</v>
      </c>
      <c r="Q24" t="s">
        <v>51</v>
      </c>
    </row>
    <row r="25" spans="1:17" x14ac:dyDescent="0.2">
      <c r="A25">
        <v>24</v>
      </c>
      <c r="B25">
        <v>740</v>
      </c>
      <c r="C25">
        <v>275</v>
      </c>
      <c r="D25">
        <v>0.28977002418201098</v>
      </c>
      <c r="E25">
        <v>109.752263688746</v>
      </c>
      <c r="F25">
        <v>1.97073575527728</v>
      </c>
      <c r="G25">
        <v>-1812.205444114815</v>
      </c>
      <c r="H25">
        <v>-1500.4467144592575</v>
      </c>
      <c r="I25">
        <v>307.71530032266401</v>
      </c>
      <c r="J25">
        <v>159.04677604544599</v>
      </c>
      <c r="K25">
        <v>55.691009509950398</v>
      </c>
      <c r="L25">
        <v>0.70142146986287457</v>
      </c>
      <c r="M25">
        <v>-0.70118443056397917</v>
      </c>
      <c r="N25">
        <v>39.051448308429499</v>
      </c>
      <c r="O25">
        <v>39.0514414580093</v>
      </c>
      <c r="P25">
        <v>39.051434491922798</v>
      </c>
      <c r="Q25" t="s">
        <v>51</v>
      </c>
    </row>
    <row r="26" spans="1:17" x14ac:dyDescent="0.2">
      <c r="A26">
        <v>25</v>
      </c>
      <c r="B26">
        <v>739</v>
      </c>
      <c r="C26">
        <v>275</v>
      </c>
      <c r="D26">
        <v>0.28899916020352701</v>
      </c>
      <c r="E26">
        <v>109.75223794057599</v>
      </c>
      <c r="F26">
        <v>1.9552513577094699</v>
      </c>
      <c r="G26">
        <v>-1811.8989317286751</v>
      </c>
      <c r="H26">
        <v>-1503.5229733150975</v>
      </c>
      <c r="I26">
        <v>304.67780804091802</v>
      </c>
      <c r="J26">
        <v>159.23606810196</v>
      </c>
      <c r="K26">
        <v>56.132035151300499</v>
      </c>
      <c r="L26">
        <v>0.55109049324570336</v>
      </c>
      <c r="M26">
        <v>-0.55080239015277677</v>
      </c>
      <c r="N26">
        <v>30.919826910644499</v>
      </c>
      <c r="O26">
        <v>30.919818660339502</v>
      </c>
      <c r="P26">
        <v>30.919810191123599</v>
      </c>
      <c r="Q26" t="s">
        <v>51</v>
      </c>
    </row>
    <row r="27" spans="1:17" x14ac:dyDescent="0.2">
      <c r="A27">
        <v>26</v>
      </c>
      <c r="B27">
        <v>738</v>
      </c>
      <c r="C27">
        <v>275</v>
      </c>
      <c r="D27">
        <v>0.28822677149780002</v>
      </c>
      <c r="E27">
        <v>109.761385174827</v>
      </c>
      <c r="F27">
        <v>1.91379200813218</v>
      </c>
      <c r="G27">
        <v>-1811.7478777794731</v>
      </c>
      <c r="H27">
        <v>-1511.6629623178385</v>
      </c>
      <c r="I27">
        <v>296.78123955547198</v>
      </c>
      <c r="J27">
        <v>159.65166109437899</v>
      </c>
      <c r="K27">
        <v>57.352828681708097</v>
      </c>
      <c r="L27">
        <v>0.16731060624737709</v>
      </c>
      <c r="M27">
        <v>-0.16689069419397121</v>
      </c>
      <c r="N27">
        <v>9.5748577910670392</v>
      </c>
      <c r="O27">
        <v>9.5748458927915596</v>
      </c>
      <c r="P27">
        <v>9.5748334192489306</v>
      </c>
      <c r="Q27" t="s">
        <v>51</v>
      </c>
    </row>
    <row r="28" spans="1:17" x14ac:dyDescent="0.2">
      <c r="A28">
        <v>27</v>
      </c>
      <c r="B28">
        <v>737</v>
      </c>
      <c r="C28">
        <v>275</v>
      </c>
      <c r="D28">
        <v>0.28745285353660599</v>
      </c>
      <c r="E28">
        <v>109.76196473678699</v>
      </c>
      <c r="F28">
        <v>1.90610070145865</v>
      </c>
      <c r="G28">
        <v>-1811.4615641819867</v>
      </c>
      <c r="H28">
        <v>-1513.4563606879115</v>
      </c>
      <c r="I28">
        <v>295.016582142743</v>
      </c>
      <c r="J28">
        <v>159.77605175340301</v>
      </c>
      <c r="K28">
        <v>57.5845571290075</v>
      </c>
      <c r="L28">
        <v>9.006096415103966E-2</v>
      </c>
      <c r="M28">
        <v>-8.9614699294036107E-2</v>
      </c>
      <c r="N28">
        <v>5.1638324883732798</v>
      </c>
      <c r="O28">
        <v>5.1638197632516301</v>
      </c>
      <c r="P28">
        <v>5.1638064765855898</v>
      </c>
      <c r="Q28" t="s">
        <v>51</v>
      </c>
    </row>
    <row r="29" spans="1:17" x14ac:dyDescent="0.2">
      <c r="A29">
        <v>28</v>
      </c>
      <c r="B29">
        <v>736</v>
      </c>
      <c r="C29">
        <v>275</v>
      </c>
      <c r="D29">
        <v>0.28667740177377199</v>
      </c>
      <c r="E29">
        <v>109.76216569354401</v>
      </c>
      <c r="F29">
        <v>1.9039636114113001</v>
      </c>
      <c r="G29">
        <v>-1811.1702056538857</v>
      </c>
      <c r="H29">
        <v>-1514.1856624812308</v>
      </c>
      <c r="I29">
        <v>294.29764252473399</v>
      </c>
      <c r="J29">
        <v>159.85086793682001</v>
      </c>
      <c r="K29">
        <v>57.649298041039799</v>
      </c>
      <c r="L29">
        <v>6.3380419596136245E-2</v>
      </c>
      <c r="M29">
        <v>-6.2925234954300427E-2</v>
      </c>
      <c r="N29">
        <v>3.6310693793483901</v>
      </c>
      <c r="O29">
        <v>3.63105630875623</v>
      </c>
      <c r="P29">
        <v>3.6310427519028901</v>
      </c>
      <c r="Q29" t="s">
        <v>51</v>
      </c>
    </row>
    <row r="30" spans="1:17" x14ac:dyDescent="0.2">
      <c r="A30">
        <v>29</v>
      </c>
      <c r="B30">
        <v>763</v>
      </c>
      <c r="C30">
        <v>250</v>
      </c>
      <c r="D30">
        <v>0.33362978333253301</v>
      </c>
      <c r="E30">
        <v>109.751690921532</v>
      </c>
      <c r="F30">
        <v>1.9364267045685299</v>
      </c>
      <c r="G30">
        <v>-1820.7822763994097</v>
      </c>
      <c r="H30">
        <v>-1494.5535135281991</v>
      </c>
      <c r="I30">
        <v>314.84952678461701</v>
      </c>
      <c r="J30">
        <v>159.64954296110699</v>
      </c>
      <c r="K30">
        <v>56.677430993179101</v>
      </c>
      <c r="L30">
        <v>0.84798146167417554</v>
      </c>
      <c r="M30">
        <v>-0.8477499300640402</v>
      </c>
      <c r="N30">
        <v>48.050291084988103</v>
      </c>
      <c r="O30">
        <v>48.050286542983898</v>
      </c>
      <c r="P30">
        <v>48.050278606849197</v>
      </c>
      <c r="Q30" t="s">
        <v>51</v>
      </c>
    </row>
    <row r="31" spans="1:17" x14ac:dyDescent="0.2">
      <c r="A31">
        <v>30</v>
      </c>
      <c r="B31">
        <v>762</v>
      </c>
      <c r="C31">
        <v>250</v>
      </c>
      <c r="D31">
        <v>0.33291841762063901</v>
      </c>
      <c r="E31">
        <v>109.751721710802</v>
      </c>
      <c r="F31">
        <v>1.9370358169080999</v>
      </c>
      <c r="G31">
        <v>-1820.4680018169331</v>
      </c>
      <c r="H31">
        <v>-1494.7234446209511</v>
      </c>
      <c r="I31">
        <v>314.685923488041</v>
      </c>
      <c r="J31">
        <v>159.64866060266601</v>
      </c>
      <c r="K31">
        <v>56.659624335696599</v>
      </c>
      <c r="L31">
        <v>0.84758947954830155</v>
      </c>
      <c r="M31">
        <v>-0.84735789807382278</v>
      </c>
      <c r="N31">
        <v>48.012978821331203</v>
      </c>
      <c r="O31">
        <v>48.012974205103099</v>
      </c>
      <c r="P31">
        <v>48.0129662691226</v>
      </c>
      <c r="Q31" t="s">
        <v>51</v>
      </c>
    </row>
    <row r="32" spans="1:17" x14ac:dyDescent="0.2">
      <c r="A32">
        <v>31</v>
      </c>
      <c r="B32">
        <v>761</v>
      </c>
      <c r="C32">
        <v>250</v>
      </c>
      <c r="D32">
        <v>0.33220567615916602</v>
      </c>
      <c r="E32">
        <v>109.751757243692</v>
      </c>
      <c r="F32">
        <v>1.9376416640146801</v>
      </c>
      <c r="G32">
        <v>-1820.1539834173636</v>
      </c>
      <c r="H32">
        <v>-1494.9181006695999</v>
      </c>
      <c r="I32">
        <v>314.49834723229998</v>
      </c>
      <c r="J32">
        <v>159.65511495676901</v>
      </c>
      <c r="K32">
        <v>56.641926772101399</v>
      </c>
      <c r="L32">
        <v>0.84590188521440457</v>
      </c>
      <c r="M32">
        <v>-0.84566986431900593</v>
      </c>
      <c r="N32">
        <v>47.902368304038298</v>
      </c>
      <c r="O32">
        <v>47.902363605409697</v>
      </c>
      <c r="P32">
        <v>47.902355656309503</v>
      </c>
      <c r="Q32" t="s">
        <v>51</v>
      </c>
    </row>
    <row r="33" spans="1:17" x14ac:dyDescent="0.2">
      <c r="A33">
        <v>32</v>
      </c>
      <c r="B33">
        <v>760</v>
      </c>
      <c r="C33">
        <v>250</v>
      </c>
      <c r="D33">
        <v>0.33149155495329902</v>
      </c>
      <c r="E33">
        <v>109.751792914153</v>
      </c>
      <c r="F33">
        <v>1.93824914445506</v>
      </c>
      <c r="G33">
        <v>-1819.8401547785379</v>
      </c>
      <c r="H33">
        <v>-1495.1125964923899</v>
      </c>
      <c r="I33">
        <v>314.31074658143302</v>
      </c>
      <c r="J33">
        <v>159.661523119946</v>
      </c>
      <c r="K33">
        <v>56.624192626696399</v>
      </c>
      <c r="L33">
        <v>0.84422329225372394</v>
      </c>
      <c r="M33">
        <v>-0.84399083718047074</v>
      </c>
      <c r="N33">
        <v>47.792296593664297</v>
      </c>
      <c r="O33">
        <v>47.792291812194698</v>
      </c>
      <c r="P33">
        <v>47.792283850209998</v>
      </c>
      <c r="Q33" t="s">
        <v>51</v>
      </c>
    </row>
    <row r="34" spans="1:17" x14ac:dyDescent="0.2">
      <c r="A34">
        <v>33</v>
      </c>
      <c r="B34">
        <v>759</v>
      </c>
      <c r="C34">
        <v>250</v>
      </c>
      <c r="D34">
        <v>0.33077604999273502</v>
      </c>
      <c r="E34">
        <v>109.751828722806</v>
      </c>
      <c r="F34">
        <v>1.93885824424829</v>
      </c>
      <c r="G34">
        <v>-1819.526515935306</v>
      </c>
      <c r="H34">
        <v>-1495.3069334188267</v>
      </c>
      <c r="I34">
        <v>314.12312021049797</v>
      </c>
      <c r="J34">
        <v>159.66788475626601</v>
      </c>
      <c r="K34">
        <v>56.606422387190698</v>
      </c>
      <c r="L34">
        <v>0.84255362183611116</v>
      </c>
      <c r="M34">
        <v>-0.84232073780714112</v>
      </c>
      <c r="N34">
        <v>47.682759343211401</v>
      </c>
      <c r="O34">
        <v>47.682754478464801</v>
      </c>
      <c r="P34">
        <v>47.682746503830799</v>
      </c>
      <c r="Q34" t="s">
        <v>51</v>
      </c>
    </row>
    <row r="35" spans="1:17" x14ac:dyDescent="0.2">
      <c r="A35">
        <v>34</v>
      </c>
      <c r="B35">
        <v>758</v>
      </c>
      <c r="C35">
        <v>250</v>
      </c>
      <c r="D35">
        <v>0.330059157251614</v>
      </c>
      <c r="E35">
        <v>109.75186467031</v>
      </c>
      <c r="F35">
        <v>1.9394689495111901</v>
      </c>
      <c r="G35">
        <v>-1819.2130669244573</v>
      </c>
      <c r="H35">
        <v>-1495.5011127639027</v>
      </c>
      <c r="I35">
        <v>313.93546680536002</v>
      </c>
      <c r="J35">
        <v>159.6741995257</v>
      </c>
      <c r="K35">
        <v>56.588616537517602</v>
      </c>
      <c r="L35">
        <v>0.84089279600671962</v>
      </c>
      <c r="M35">
        <v>-0.84065948822348469</v>
      </c>
      <c r="N35">
        <v>47.573752252448003</v>
      </c>
      <c r="O35">
        <v>47.573747303993201</v>
      </c>
      <c r="P35">
        <v>47.573739316944398</v>
      </c>
      <c r="Q35" t="s">
        <v>51</v>
      </c>
    </row>
    <row r="36" spans="1:17" x14ac:dyDescent="0.2">
      <c r="A36">
        <v>35</v>
      </c>
      <c r="B36">
        <v>757</v>
      </c>
      <c r="C36">
        <v>250</v>
      </c>
      <c r="D36">
        <v>0.32934087268844398</v>
      </c>
      <c r="E36">
        <v>109.75190075735701</v>
      </c>
      <c r="F36">
        <v>1.9400812464539701</v>
      </c>
      <c r="G36">
        <v>-1818.8998077845797</v>
      </c>
      <c r="H36">
        <v>-1495.6951358281922</v>
      </c>
      <c r="I36">
        <v>313.74778506252397</v>
      </c>
      <c r="J36">
        <v>159.68046708428</v>
      </c>
      <c r="K36">
        <v>56.570775557960999</v>
      </c>
      <c r="L36">
        <v>0.83924073767086582</v>
      </c>
      <c r="M36">
        <v>-0.83900701131436306</v>
      </c>
      <c r="N36">
        <v>47.465271067182599</v>
      </c>
      <c r="O36">
        <v>47.465266034593</v>
      </c>
      <c r="P36">
        <v>47.465258035364101</v>
      </c>
      <c r="Q36" t="s">
        <v>51</v>
      </c>
    </row>
    <row r="37" spans="1:17" x14ac:dyDescent="0.2">
      <c r="A37">
        <v>36</v>
      </c>
      <c r="B37">
        <v>756</v>
      </c>
      <c r="C37">
        <v>250</v>
      </c>
      <c r="D37">
        <v>0.32862119224602798</v>
      </c>
      <c r="E37">
        <v>109.751936984541</v>
      </c>
      <c r="F37">
        <v>1.94069512138233</v>
      </c>
      <c r="G37">
        <v>-1818.5867385540262</v>
      </c>
      <c r="H37">
        <v>-1495.8890038962834</v>
      </c>
      <c r="I37">
        <v>313.56007368872901</v>
      </c>
      <c r="J37">
        <v>159.68668708384601</v>
      </c>
      <c r="K37">
        <v>56.5528999250363</v>
      </c>
      <c r="L37">
        <v>0.83759737058541228</v>
      </c>
      <c r="M37">
        <v>-0.83736323081641639</v>
      </c>
      <c r="N37">
        <v>47.357311578699999</v>
      </c>
      <c r="O37">
        <v>47.357306461553897</v>
      </c>
      <c r="P37">
        <v>47.357298450379098</v>
      </c>
      <c r="Q37" t="s">
        <v>51</v>
      </c>
    </row>
    <row r="38" spans="1:17" x14ac:dyDescent="0.2">
      <c r="A38">
        <v>37</v>
      </c>
      <c r="B38">
        <v>755</v>
      </c>
      <c r="C38">
        <v>250</v>
      </c>
      <c r="D38">
        <v>0.32790011185138401</v>
      </c>
      <c r="E38">
        <v>109.751973352554</v>
      </c>
      <c r="F38">
        <v>1.9413105606903001</v>
      </c>
      <c r="G38">
        <v>-1818.273859274002</v>
      </c>
      <c r="H38">
        <v>-1496.0827182396692</v>
      </c>
      <c r="I38">
        <v>313.37233140119002</v>
      </c>
      <c r="J38">
        <v>159.69285917260001</v>
      </c>
      <c r="K38">
        <v>56.534990111797299</v>
      </c>
      <c r="L38">
        <v>0.83596261934064375</v>
      </c>
      <c r="M38">
        <v>-0.83572807129992399</v>
      </c>
      <c r="N38">
        <v>47.249869623015798</v>
      </c>
      <c r="O38">
        <v>47.249864420896202</v>
      </c>
      <c r="P38">
        <v>47.249856398009698</v>
      </c>
      <c r="Q38" t="s">
        <v>51</v>
      </c>
    </row>
    <row r="39" spans="1:17" x14ac:dyDescent="0.2">
      <c r="A39">
        <v>38</v>
      </c>
      <c r="B39">
        <v>754</v>
      </c>
      <c r="C39">
        <v>250</v>
      </c>
      <c r="D39">
        <v>0.32717762741566497</v>
      </c>
      <c r="E39">
        <v>109.75200986215199</v>
      </c>
      <c r="F39">
        <v>1.9419275508665199</v>
      </c>
      <c r="G39">
        <v>-1817.9611699880404</v>
      </c>
      <c r="H39">
        <v>-1496.2762801164943</v>
      </c>
      <c r="I39">
        <v>313.18455692738598</v>
      </c>
      <c r="J39">
        <v>159.698982994776</v>
      </c>
      <c r="K39">
        <v>56.517046587643797</v>
      </c>
      <c r="L39">
        <v>0.83433640935532927</v>
      </c>
      <c r="M39">
        <v>-0.83410145816387316</v>
      </c>
      <c r="N39">
        <v>47.142941080458101</v>
      </c>
      <c r="O39">
        <v>47.142935792953097</v>
      </c>
      <c r="P39">
        <v>47.142927758588598</v>
      </c>
      <c r="Q39" t="s">
        <v>51</v>
      </c>
    </row>
    <row r="40" spans="1:17" x14ac:dyDescent="0.2">
      <c r="A40">
        <v>39</v>
      </c>
      <c r="B40">
        <v>753</v>
      </c>
      <c r="C40">
        <v>250</v>
      </c>
      <c r="D40">
        <v>0.32645373483409301</v>
      </c>
      <c r="E40">
        <v>109.752046513816</v>
      </c>
      <c r="F40">
        <v>1.9425460784834401</v>
      </c>
      <c r="G40">
        <v>-1817.6486707364438</v>
      </c>
      <c r="H40">
        <v>-1496.4696907669002</v>
      </c>
      <c r="I40">
        <v>312.996749004229</v>
      </c>
      <c r="J40">
        <v>159.70505819066301</v>
      </c>
      <c r="K40">
        <v>56.499069818462601</v>
      </c>
      <c r="L40">
        <v>0.83271866685842733</v>
      </c>
      <c r="M40">
        <v>-0.83248331761764549</v>
      </c>
      <c r="N40">
        <v>47.0365218747718</v>
      </c>
      <c r="O40">
        <v>47.036516501474402</v>
      </c>
      <c r="P40">
        <v>47.036508455865501</v>
      </c>
      <c r="Q40" t="s">
        <v>51</v>
      </c>
    </row>
    <row r="41" spans="1:17" x14ac:dyDescent="0.2">
      <c r="A41">
        <v>40</v>
      </c>
      <c r="B41">
        <v>752</v>
      </c>
      <c r="C41">
        <v>250</v>
      </c>
      <c r="D41">
        <v>0.32572842998585799</v>
      </c>
      <c r="E41">
        <v>109.75208330830201</v>
      </c>
      <c r="F41">
        <v>1.94316613020542</v>
      </c>
      <c r="G41">
        <v>-1817.3363615652509</v>
      </c>
      <c r="H41">
        <v>-1496.6629514210194</v>
      </c>
      <c r="I41">
        <v>312.80890637905799</v>
      </c>
      <c r="J41">
        <v>159.71108439696599</v>
      </c>
      <c r="K41">
        <v>56.481060266679201</v>
      </c>
      <c r="L41">
        <v>0.8311093188842209</v>
      </c>
      <c r="M41">
        <v>-0.83087357667616013</v>
      </c>
      <c r="N41">
        <v>46.930607972907197</v>
      </c>
      <c r="O41">
        <v>46.930602513415202</v>
      </c>
      <c r="P41">
        <v>46.930594456795397</v>
      </c>
      <c r="Q41" t="s">
        <v>51</v>
      </c>
    </row>
    <row r="42" spans="1:17" x14ac:dyDescent="0.2">
      <c r="A42">
        <v>41</v>
      </c>
      <c r="B42">
        <v>751</v>
      </c>
      <c r="C42">
        <v>250</v>
      </c>
      <c r="D42">
        <v>0.32500170873407402</v>
      </c>
      <c r="E42">
        <v>109.75212024628399</v>
      </c>
      <c r="F42">
        <v>1.9437876927811799</v>
      </c>
      <c r="G42">
        <v>-1817.0242425204417</v>
      </c>
      <c r="H42">
        <v>-1496.8560632942281</v>
      </c>
      <c r="I42">
        <v>312.621027808669</v>
      </c>
      <c r="J42">
        <v>159.71706124669601</v>
      </c>
      <c r="K42">
        <v>56.463018391298903</v>
      </c>
      <c r="L42">
        <v>0.82950829325118469</v>
      </c>
      <c r="M42">
        <v>-0.82927216313872587</v>
      </c>
      <c r="N42">
        <v>46.8251953838788</v>
      </c>
      <c r="O42">
        <v>46.8251898377952</v>
      </c>
      <c r="P42">
        <v>46.825181770397599</v>
      </c>
      <c r="Q42" t="s">
        <v>51</v>
      </c>
    </row>
    <row r="43" spans="1:17" x14ac:dyDescent="0.2">
      <c r="A43">
        <v>42</v>
      </c>
      <c r="B43">
        <v>750</v>
      </c>
      <c r="C43">
        <v>250</v>
      </c>
      <c r="D43">
        <v>0.324273566925672</v>
      </c>
      <c r="E43">
        <v>109.75215732845101</v>
      </c>
      <c r="F43">
        <v>1.94441075304369</v>
      </c>
      <c r="G43">
        <v>-1816.712313649444</v>
      </c>
      <c r="H43">
        <v>-1497.049027588163</v>
      </c>
      <c r="I43">
        <v>312.43311205983599</v>
      </c>
      <c r="J43">
        <v>159.72298836915701</v>
      </c>
      <c r="K43">
        <v>56.444944647960902</v>
      </c>
      <c r="L43">
        <v>0.82791551857670242</v>
      </c>
      <c r="M43">
        <v>-0.82767900560376106</v>
      </c>
      <c r="N43">
        <v>46.7202801596599</v>
      </c>
      <c r="O43">
        <v>46.720274526592803</v>
      </c>
      <c r="P43">
        <v>46.720266448650399</v>
      </c>
      <c r="Q43" t="s">
        <v>51</v>
      </c>
    </row>
    <row r="44" spans="1:17" x14ac:dyDescent="0.2">
      <c r="A44">
        <v>43</v>
      </c>
      <c r="B44">
        <v>749</v>
      </c>
      <c r="C44">
        <v>250</v>
      </c>
      <c r="D44">
        <v>0.32354400039133302</v>
      </c>
      <c r="E44">
        <v>109.752194555457</v>
      </c>
      <c r="F44">
        <v>1.9450352979090799</v>
      </c>
      <c r="G44">
        <v>-1816.4005750003519</v>
      </c>
      <c r="H44">
        <v>-1497.24184549096</v>
      </c>
      <c r="I44">
        <v>312.24515790836398</v>
      </c>
      <c r="J44">
        <v>159.728865390148</v>
      </c>
      <c r="K44">
        <v>56.426839488949597</v>
      </c>
      <c r="L44">
        <v>0.8263309242278577</v>
      </c>
      <c r="M44">
        <v>-0.82609403341957</v>
      </c>
      <c r="N44">
        <v>46.615858392429999</v>
      </c>
      <c r="O44">
        <v>46.615852671992599</v>
      </c>
      <c r="P44">
        <v>46.615844583738102</v>
      </c>
      <c r="Q44" t="s">
        <v>51</v>
      </c>
    </row>
    <row r="45" spans="1:17" x14ac:dyDescent="0.2">
      <c r="A45">
        <v>44</v>
      </c>
      <c r="B45">
        <v>748</v>
      </c>
      <c r="C45">
        <v>250</v>
      </c>
      <c r="D45">
        <v>0.32281300494540499</v>
      </c>
      <c r="E45">
        <v>109.752231927998</v>
      </c>
      <c r="F45">
        <v>1.9456613143791099</v>
      </c>
      <c r="G45">
        <v>-1816.0890266231836</v>
      </c>
      <c r="H45">
        <v>-1497.4345181778708</v>
      </c>
      <c r="I45">
        <v>312.057164139767</v>
      </c>
      <c r="J45">
        <v>159.734691931745</v>
      </c>
      <c r="K45">
        <v>56.4087033631655</v>
      </c>
      <c r="L45">
        <v>0.82475444034887102</v>
      </c>
      <c r="M45">
        <v>-0.8245171767117907</v>
      </c>
      <c r="N45">
        <v>46.511926216117502</v>
      </c>
      <c r="O45">
        <v>46.511920407928301</v>
      </c>
      <c r="P45">
        <v>46.511912309594202</v>
      </c>
      <c r="Q45" t="s">
        <v>51</v>
      </c>
    </row>
    <row r="46" spans="1:17" x14ac:dyDescent="0.2">
      <c r="A46">
        <v>45</v>
      </c>
      <c r="B46">
        <v>747</v>
      </c>
      <c r="C46">
        <v>250</v>
      </c>
      <c r="D46">
        <v>0.32208057638582899</v>
      </c>
      <c r="E46">
        <v>109.752269446772</v>
      </c>
      <c r="F46">
        <v>1.9462887895313801</v>
      </c>
      <c r="G46">
        <v>-1815.7776685691572</v>
      </c>
      <c r="H46">
        <v>-1497.6270468114815</v>
      </c>
      <c r="I46">
        <v>311.86912954837902</v>
      </c>
      <c r="J46">
        <v>159.74046761291001</v>
      </c>
      <c r="K46">
        <v>56.390536716392099</v>
      </c>
      <c r="L46">
        <v>0.82318599780689183</v>
      </c>
      <c r="M46">
        <v>-0.8229483663291578</v>
      </c>
      <c r="N46">
        <v>46.4084798035761</v>
      </c>
      <c r="O46">
        <v>46.408473907258802</v>
      </c>
      <c r="P46">
        <v>46.408465799077398</v>
      </c>
      <c r="Q46" t="s">
        <v>51</v>
      </c>
    </row>
    <row r="47" spans="1:17" x14ac:dyDescent="0.2">
      <c r="A47">
        <v>46</v>
      </c>
      <c r="B47">
        <v>746</v>
      </c>
      <c r="C47">
        <v>250</v>
      </c>
      <c r="D47">
        <v>0.32134671049404001</v>
      </c>
      <c r="E47">
        <v>109.752307112447</v>
      </c>
      <c r="F47">
        <v>1.94691771052743</v>
      </c>
      <c r="G47">
        <v>-1815.4665008902405</v>
      </c>
      <c r="H47">
        <v>-1497.8194325404966</v>
      </c>
      <c r="I47">
        <v>311.68105293815898</v>
      </c>
      <c r="J47">
        <v>159.746192048756</v>
      </c>
      <c r="K47">
        <v>56.372339991048797</v>
      </c>
      <c r="L47">
        <v>0.82162552824331669</v>
      </c>
      <c r="M47">
        <v>-0.82138753389484609</v>
      </c>
      <c r="N47">
        <v>46.305515369292202</v>
      </c>
      <c r="O47">
        <v>46.305509384475798</v>
      </c>
      <c r="P47">
        <v>46.305501266679201</v>
      </c>
      <c r="Q47" t="s">
        <v>51</v>
      </c>
    </row>
    <row r="48" spans="1:17" x14ac:dyDescent="0.2">
      <c r="A48">
        <v>47</v>
      </c>
      <c r="B48">
        <v>745</v>
      </c>
      <c r="C48">
        <v>250</v>
      </c>
      <c r="D48">
        <v>0.32061140303491598</v>
      </c>
      <c r="E48">
        <v>109.752344925702</v>
      </c>
      <c r="F48">
        <v>1.9475480646049701</v>
      </c>
      <c r="G48">
        <v>-1815.1555236397458</v>
      </c>
      <c r="H48">
        <v>-1498.011676501447</v>
      </c>
      <c r="I48">
        <v>311.49293312164201</v>
      </c>
      <c r="J48">
        <v>159.75186485128501</v>
      </c>
      <c r="K48">
        <v>56.354113626440103</v>
      </c>
      <c r="L48">
        <v>0.82007296400360385</v>
      </c>
      <c r="M48">
        <v>-0.81983461173625471</v>
      </c>
      <c r="N48">
        <v>46.203029165644701</v>
      </c>
      <c r="O48">
        <v>46.203023091963601</v>
      </c>
      <c r="P48">
        <v>46.203014964783598</v>
      </c>
      <c r="Q48" t="s">
        <v>51</v>
      </c>
    </row>
    <row r="49" spans="1:17" x14ac:dyDescent="0.2">
      <c r="A49">
        <v>48</v>
      </c>
      <c r="B49">
        <v>744</v>
      </c>
      <c r="C49">
        <v>250</v>
      </c>
      <c r="D49">
        <v>0.31987464975667701</v>
      </c>
      <c r="E49">
        <v>109.75238288723899</v>
      </c>
      <c r="F49">
        <v>1.9481798390801199</v>
      </c>
      <c r="G49">
        <v>-1814.8447368725442</v>
      </c>
      <c r="H49">
        <v>-1498.2037798184151</v>
      </c>
      <c r="I49">
        <v>311.30476892046102</v>
      </c>
      <c r="J49">
        <v>159.75748562909899</v>
      </c>
      <c r="K49">
        <v>56.335858058699998</v>
      </c>
      <c r="L49">
        <v>0.81852823816359166</v>
      </c>
      <c r="M49">
        <v>-0.81828953291133577</v>
      </c>
      <c r="N49">
        <v>46.101017484357897</v>
      </c>
      <c r="O49">
        <v>46.1010113214518</v>
      </c>
      <c r="P49">
        <v>46.101003185120099</v>
      </c>
      <c r="Q49" t="s">
        <v>51</v>
      </c>
    </row>
    <row r="50" spans="1:17" x14ac:dyDescent="0.2">
      <c r="A50">
        <v>49</v>
      </c>
      <c r="B50">
        <v>743</v>
      </c>
      <c r="C50">
        <v>250</v>
      </c>
      <c r="D50">
        <v>0.31913644639078897</v>
      </c>
      <c r="E50">
        <v>109.75231501722</v>
      </c>
      <c r="F50">
        <v>1.9171103685281501</v>
      </c>
      <c r="G50">
        <v>-1814.5377198652266</v>
      </c>
      <c r="H50">
        <v>-1503.9352283392102</v>
      </c>
      <c r="I50">
        <v>305.66981222961101</v>
      </c>
      <c r="J50">
        <v>159.94500948914501</v>
      </c>
      <c r="K50">
        <v>57.248824490726697</v>
      </c>
      <c r="L50">
        <v>0.53249529804304629</v>
      </c>
      <c r="M50">
        <v>-0.53215115176651073</v>
      </c>
      <c r="N50">
        <v>30.467893612815999</v>
      </c>
      <c r="O50">
        <v>30.467884917074102</v>
      </c>
      <c r="P50">
        <v>30.467873164723802</v>
      </c>
      <c r="Q50" t="s">
        <v>51</v>
      </c>
    </row>
    <row r="51" spans="1:17" x14ac:dyDescent="0.2">
      <c r="A51">
        <v>50</v>
      </c>
      <c r="B51">
        <v>742</v>
      </c>
      <c r="C51">
        <v>250</v>
      </c>
      <c r="D51">
        <v>0.318396788651924</v>
      </c>
      <c r="E51">
        <v>109.76211594031599</v>
      </c>
      <c r="F51">
        <v>1.87687222817592</v>
      </c>
      <c r="G51">
        <v>-1814.3966851202481</v>
      </c>
      <c r="H51">
        <v>-1511.916785105318</v>
      </c>
      <c r="I51">
        <v>297.97113934814303</v>
      </c>
      <c r="J51">
        <v>160.0597019434</v>
      </c>
      <c r="K51">
        <v>58.481400221362399</v>
      </c>
      <c r="L51">
        <v>0.16128706868703513</v>
      </c>
      <c r="M51">
        <v>-0.16080642761480751</v>
      </c>
      <c r="N51">
        <v>9.4082453787364404</v>
      </c>
      <c r="O51">
        <v>9.4082332367831807</v>
      </c>
      <c r="P51">
        <v>9.4082166256483397</v>
      </c>
      <c r="Q51" t="s">
        <v>51</v>
      </c>
    </row>
    <row r="52" spans="1:17" x14ac:dyDescent="0.2">
      <c r="A52">
        <v>51</v>
      </c>
      <c r="B52">
        <v>741</v>
      </c>
      <c r="C52">
        <v>250</v>
      </c>
      <c r="D52">
        <v>0.31765567223783697</v>
      </c>
      <c r="E52">
        <v>109.762530629442</v>
      </c>
      <c r="F52">
        <v>1.86972663212934</v>
      </c>
      <c r="G52">
        <v>-1814.1064604410424</v>
      </c>
      <c r="H52">
        <v>-1513.6394028125783</v>
      </c>
      <c r="I52">
        <v>296.28051587328298</v>
      </c>
      <c r="J52">
        <v>160.11304665629001</v>
      </c>
      <c r="K52">
        <v>58.705122312153001</v>
      </c>
      <c r="L52">
        <v>8.8185460452603989E-2</v>
      </c>
      <c r="M52">
        <v>-8.767821304212492E-2</v>
      </c>
      <c r="N52">
        <v>5.1514497104794401</v>
      </c>
      <c r="O52">
        <v>5.1514367584776402</v>
      </c>
      <c r="P52">
        <v>5.1514191847381099</v>
      </c>
      <c r="Q52" t="s">
        <v>51</v>
      </c>
    </row>
    <row r="53" spans="1:17" x14ac:dyDescent="0.2">
      <c r="A53">
        <v>52</v>
      </c>
      <c r="B53">
        <v>740</v>
      </c>
      <c r="C53">
        <v>250</v>
      </c>
      <c r="D53">
        <v>0.31691309282929903</v>
      </c>
      <c r="E53">
        <v>109.76267999205101</v>
      </c>
      <c r="F53">
        <v>1.8677841959143</v>
      </c>
      <c r="G53">
        <v>-1813.812991161948</v>
      </c>
      <c r="H53">
        <v>-1514.353067594923</v>
      </c>
      <c r="I53">
        <v>295.57900209543499</v>
      </c>
      <c r="J53">
        <v>160.16113459673099</v>
      </c>
      <c r="K53">
        <v>58.766253741814801</v>
      </c>
      <c r="L53">
        <v>6.2527772910040857E-2</v>
      </c>
      <c r="M53">
        <v>-6.2011384227291071E-2</v>
      </c>
      <c r="N53">
        <v>3.64853779911931</v>
      </c>
      <c r="O53">
        <v>3.6485244701533399</v>
      </c>
      <c r="P53">
        <v>3.6485065704893902</v>
      </c>
      <c r="Q53" t="s">
        <v>51</v>
      </c>
    </row>
    <row r="54" spans="1:17" x14ac:dyDescent="0.2">
      <c r="A54">
        <v>53</v>
      </c>
      <c r="B54">
        <v>763</v>
      </c>
      <c r="C54">
        <v>225</v>
      </c>
      <c r="D54">
        <v>0.360170342131933</v>
      </c>
      <c r="E54">
        <v>109.75191937793601</v>
      </c>
      <c r="F54">
        <v>1.8970152142727601</v>
      </c>
      <c r="G54">
        <v>-1822.2171333846866</v>
      </c>
      <c r="H54">
        <v>-1495.4935749617368</v>
      </c>
      <c r="I54">
        <v>315.32728243406501</v>
      </c>
      <c r="J54">
        <v>160.47589124129499</v>
      </c>
      <c r="K54">
        <v>57.855054905297898</v>
      </c>
      <c r="L54">
        <v>0.82710384252872471</v>
      </c>
      <c r="M54">
        <v>-0.82681337621699291</v>
      </c>
      <c r="N54">
        <v>47.838130133574602</v>
      </c>
      <c r="O54">
        <v>47.838126280515503</v>
      </c>
      <c r="P54">
        <v>47.838114700595497</v>
      </c>
      <c r="Q54" t="s">
        <v>51</v>
      </c>
    </row>
    <row r="55" spans="1:17" x14ac:dyDescent="0.2">
      <c r="A55">
        <v>54</v>
      </c>
      <c r="B55">
        <v>762</v>
      </c>
      <c r="C55">
        <v>225</v>
      </c>
      <c r="D55">
        <v>0.35948461575617302</v>
      </c>
      <c r="E55">
        <v>109.75195233829299</v>
      </c>
      <c r="F55">
        <v>1.8976749747107899</v>
      </c>
      <c r="G55">
        <v>-1821.9024209464169</v>
      </c>
      <c r="H55">
        <v>-1495.6732199369255</v>
      </c>
      <c r="I55">
        <v>315.15433506197701</v>
      </c>
      <c r="J55">
        <v>160.48037927378999</v>
      </c>
      <c r="K55">
        <v>57.834957935838901</v>
      </c>
      <c r="L55">
        <v>0.82627573309065916</v>
      </c>
      <c r="M55">
        <v>-0.8259850539218534</v>
      </c>
      <c r="N55">
        <v>47.7736028847577</v>
      </c>
      <c r="O55">
        <v>47.773598923546601</v>
      </c>
      <c r="P55">
        <v>47.773587335478197</v>
      </c>
      <c r="Q55" t="s">
        <v>51</v>
      </c>
    </row>
    <row r="56" spans="1:17" x14ac:dyDescent="0.2">
      <c r="A56">
        <v>55</v>
      </c>
      <c r="B56">
        <v>761</v>
      </c>
      <c r="C56">
        <v>225</v>
      </c>
      <c r="D56">
        <v>0.35879756321617101</v>
      </c>
      <c r="E56">
        <v>109.751988181372</v>
      </c>
      <c r="F56">
        <v>1.89832799553785</v>
      </c>
      <c r="G56">
        <v>-1821.587939051532</v>
      </c>
      <c r="H56">
        <v>-1495.8668701504371</v>
      </c>
      <c r="I56">
        <v>314.96773570730301</v>
      </c>
      <c r="J56">
        <v>160.488927966457</v>
      </c>
      <c r="K56">
        <v>57.815081713671802</v>
      </c>
      <c r="L56">
        <v>0.82471167452243765</v>
      </c>
      <c r="M56">
        <v>-0.8244205377188536</v>
      </c>
      <c r="N56">
        <v>47.666730357877299</v>
      </c>
      <c r="O56">
        <v>47.6667262844066</v>
      </c>
      <c r="P56">
        <v>47.666714678474499</v>
      </c>
      <c r="Q56" t="s">
        <v>51</v>
      </c>
    </row>
    <row r="57" spans="1:17" x14ac:dyDescent="0.2">
      <c r="A57">
        <v>56</v>
      </c>
      <c r="B57">
        <v>760</v>
      </c>
      <c r="C57">
        <v>225</v>
      </c>
      <c r="D57">
        <v>0.35810918066108399</v>
      </c>
      <c r="E57">
        <v>109.752024163253</v>
      </c>
      <c r="F57">
        <v>1.8989828228361301</v>
      </c>
      <c r="G57">
        <v>-1821.2736459691748</v>
      </c>
      <c r="H57">
        <v>-1496.0603747121581</v>
      </c>
      <c r="I57">
        <v>314.78109882943897</v>
      </c>
      <c r="J57">
        <v>160.49744536129299</v>
      </c>
      <c r="K57">
        <v>57.795164255007897</v>
      </c>
      <c r="L57">
        <v>0.82315584703304545</v>
      </c>
      <c r="M57">
        <v>-0.82286425829934529</v>
      </c>
      <c r="N57">
        <v>47.560362067540403</v>
      </c>
      <c r="O57">
        <v>47.560357881038399</v>
      </c>
      <c r="P57">
        <v>47.560346257537802</v>
      </c>
      <c r="Q57" t="s">
        <v>51</v>
      </c>
    </row>
    <row r="58" spans="1:17" x14ac:dyDescent="0.2">
      <c r="A58">
        <v>57</v>
      </c>
      <c r="B58">
        <v>759</v>
      </c>
      <c r="C58">
        <v>225</v>
      </c>
      <c r="D58">
        <v>0.35741946422516302</v>
      </c>
      <c r="E58">
        <v>109.752060284424</v>
      </c>
      <c r="F58">
        <v>1.8996394414283899</v>
      </c>
      <c r="G58">
        <v>-1820.9595417451012</v>
      </c>
      <c r="H58">
        <v>-1496.2537348279996</v>
      </c>
      <c r="I58">
        <v>314.59442319556399</v>
      </c>
      <c r="J58">
        <v>160.50593094232801</v>
      </c>
      <c r="K58">
        <v>57.775206121167002</v>
      </c>
      <c r="L58">
        <v>0.82160817933735031</v>
      </c>
      <c r="M58">
        <v>-0.82131614436381728</v>
      </c>
      <c r="N58">
        <v>47.4544940564423</v>
      </c>
      <c r="O58">
        <v>47.454489756142898</v>
      </c>
      <c r="P58">
        <v>47.454478115369199</v>
      </c>
      <c r="Q58" t="s">
        <v>51</v>
      </c>
    </row>
    <row r="59" spans="1:17" x14ac:dyDescent="0.2">
      <c r="A59">
        <v>58</v>
      </c>
      <c r="B59">
        <v>758</v>
      </c>
      <c r="C59">
        <v>225</v>
      </c>
      <c r="D59">
        <v>0.356728410027642</v>
      </c>
      <c r="E59">
        <v>109.752096545661</v>
      </c>
      <c r="F59">
        <v>1.9002978362180001</v>
      </c>
      <c r="G59">
        <v>-1820.6456264310075</v>
      </c>
      <c r="H59">
        <v>-1496.4469516946419</v>
      </c>
      <c r="I59">
        <v>314.40770758278001</v>
      </c>
      <c r="J59">
        <v>160.514384188924</v>
      </c>
      <c r="K59">
        <v>57.7552078699891</v>
      </c>
      <c r="L59">
        <v>0.82006860090780054</v>
      </c>
      <c r="M59">
        <v>-0.81977612537053879</v>
      </c>
      <c r="N59">
        <v>47.349122408395701</v>
      </c>
      <c r="O59">
        <v>47.349117993538201</v>
      </c>
      <c r="P59">
        <v>47.349106335787503</v>
      </c>
      <c r="Q59" t="s">
        <v>51</v>
      </c>
    </row>
    <row r="60" spans="1:17" x14ac:dyDescent="0.2">
      <c r="A60">
        <v>59</v>
      </c>
      <c r="B60">
        <v>757</v>
      </c>
      <c r="C60">
        <v>225</v>
      </c>
      <c r="D60">
        <v>0.35603601417269398</v>
      </c>
      <c r="E60">
        <v>109.752132947551</v>
      </c>
      <c r="F60">
        <v>1.9009579921835</v>
      </c>
      <c r="G60">
        <v>-1820.3319000767249</v>
      </c>
      <c r="H60">
        <v>-1496.6400264925715</v>
      </c>
      <c r="I60">
        <v>314.22095077735202</v>
      </c>
      <c r="J60">
        <v>160.52280457525401</v>
      </c>
      <c r="K60">
        <v>57.735170055749897</v>
      </c>
      <c r="L60">
        <v>0.81853704198134503</v>
      </c>
      <c r="M60">
        <v>-0.818244131542475</v>
      </c>
      <c r="N60">
        <v>47.244243248686402</v>
      </c>
      <c r="O60">
        <v>47.244238718516101</v>
      </c>
      <c r="P60">
        <v>47.244227044085001</v>
      </c>
      <c r="Q60" t="s">
        <v>51</v>
      </c>
    </row>
    <row r="61" spans="1:17" x14ac:dyDescent="0.2">
      <c r="A61">
        <v>60</v>
      </c>
      <c r="B61">
        <v>756</v>
      </c>
      <c r="C61">
        <v>225</v>
      </c>
      <c r="D61">
        <v>0.35534227274935698</v>
      </c>
      <c r="E61">
        <v>109.752169490802</v>
      </c>
      <c r="F61">
        <v>1.9016198943791001</v>
      </c>
      <c r="G61">
        <v>-1820.0183627352619</v>
      </c>
      <c r="H61">
        <v>-1496.832960391014</v>
      </c>
      <c r="I61">
        <v>314.03415157485301</v>
      </c>
      <c r="J61">
        <v>160.53119157082199</v>
      </c>
      <c r="K61">
        <v>57.715093229311101</v>
      </c>
      <c r="L61">
        <v>0.81701343352936751</v>
      </c>
      <c r="M61">
        <v>-0.81672009383720989</v>
      </c>
      <c r="N61">
        <v>47.139852742483498</v>
      </c>
      <c r="O61">
        <v>47.139848096251299</v>
      </c>
      <c r="P61">
        <v>47.139836405436903</v>
      </c>
      <c r="Q61" t="s">
        <v>51</v>
      </c>
    </row>
    <row r="62" spans="1:17" x14ac:dyDescent="0.2">
      <c r="A62">
        <v>61</v>
      </c>
      <c r="B62">
        <v>755</v>
      </c>
      <c r="C62">
        <v>225</v>
      </c>
      <c r="D62">
        <v>0.354647181831445</v>
      </c>
      <c r="E62">
        <v>109.75220617607999</v>
      </c>
      <c r="F62">
        <v>1.9022835279302499</v>
      </c>
      <c r="G62">
        <v>-1819.7050144601362</v>
      </c>
      <c r="H62">
        <v>-1497.0257545455772</v>
      </c>
      <c r="I62">
        <v>313.84730877990899</v>
      </c>
      <c r="J62">
        <v>160.539544640363</v>
      </c>
      <c r="K62">
        <v>57.694977938170403</v>
      </c>
      <c r="L62">
        <v>0.81549770725661086</v>
      </c>
      <c r="M62">
        <v>-0.81520394394586426</v>
      </c>
      <c r="N62">
        <v>47.035947094841298</v>
      </c>
      <c r="O62">
        <v>47.0359423318043</v>
      </c>
      <c r="P62">
        <v>47.035930624904303</v>
      </c>
      <c r="Q62" t="s">
        <v>51</v>
      </c>
    </row>
    <row r="63" spans="1:17" x14ac:dyDescent="0.2">
      <c r="A63">
        <v>62</v>
      </c>
      <c r="B63">
        <v>754</v>
      </c>
      <c r="C63">
        <v>225</v>
      </c>
      <c r="D63">
        <v>0.35395073747748601</v>
      </c>
      <c r="E63">
        <v>109.75224300405</v>
      </c>
      <c r="F63">
        <v>1.90294887803653</v>
      </c>
      <c r="G63">
        <v>-1819.391855306041</v>
      </c>
      <c r="H63">
        <v>-1497.2184100988477</v>
      </c>
      <c r="I63">
        <v>313.66042120630601</v>
      </c>
      <c r="J63">
        <v>160.54786324374399</v>
      </c>
      <c r="K63">
        <v>57.6748247263968</v>
      </c>
      <c r="L63">
        <v>0.81398979560241114</v>
      </c>
      <c r="M63">
        <v>-0.81369561429433179</v>
      </c>
      <c r="N63">
        <v>46.932522550740401</v>
      </c>
      <c r="O63">
        <v>46.932517670161701</v>
      </c>
      <c r="P63">
        <v>46.932505947474098</v>
      </c>
      <c r="Q63" t="s">
        <v>51</v>
      </c>
    </row>
    <row r="64" spans="1:17" x14ac:dyDescent="0.2">
      <c r="A64">
        <v>63</v>
      </c>
      <c r="B64">
        <v>753</v>
      </c>
      <c r="C64">
        <v>225</v>
      </c>
      <c r="D64">
        <v>0.35325293573064698</v>
      </c>
      <c r="E64">
        <v>109.75227997532799</v>
      </c>
      <c r="F64">
        <v>1.9036159299659301</v>
      </c>
      <c r="G64">
        <v>-1819.0788853280567</v>
      </c>
      <c r="H64">
        <v>-1497.4109281804019</v>
      </c>
      <c r="I64">
        <v>313.47348767626301</v>
      </c>
      <c r="J64">
        <v>160.5561468363</v>
      </c>
      <c r="K64">
        <v>57.654634134781801</v>
      </c>
      <c r="L64">
        <v>0.812489631699301</v>
      </c>
      <c r="M64">
        <v>-0.81219503800186155</v>
      </c>
      <c r="N64">
        <v>46.8295753928425</v>
      </c>
      <c r="O64">
        <v>46.829570393991403</v>
      </c>
      <c r="P64">
        <v>46.829558655815099</v>
      </c>
      <c r="Q64" t="s">
        <v>51</v>
      </c>
    </row>
    <row r="65" spans="1:17" x14ac:dyDescent="0.2">
      <c r="A65">
        <v>64</v>
      </c>
      <c r="B65">
        <v>752</v>
      </c>
      <c r="C65">
        <v>225</v>
      </c>
      <c r="D65">
        <v>0.35255377261864101</v>
      </c>
      <c r="E65">
        <v>109.75231709062901</v>
      </c>
      <c r="F65">
        <v>1.9042846690578501</v>
      </c>
      <c r="G65">
        <v>-1818.7661045840489</v>
      </c>
      <c r="H65">
        <v>-1497.6033099082854</v>
      </c>
      <c r="I65">
        <v>313.28650702136599</v>
      </c>
      <c r="J65">
        <v>160.564394868694</v>
      </c>
      <c r="K65">
        <v>57.634406700826602</v>
      </c>
      <c r="L65">
        <v>0.81099714940703616</v>
      </c>
      <c r="M65">
        <v>-0.81070214891509684</v>
      </c>
      <c r="N65">
        <v>46.727101943464902</v>
      </c>
      <c r="O65">
        <v>46.727096825616997</v>
      </c>
      <c r="P65">
        <v>46.727085072251199</v>
      </c>
      <c r="Q65" t="s">
        <v>51</v>
      </c>
    </row>
    <row r="66" spans="1:17" x14ac:dyDescent="0.2">
      <c r="A66">
        <v>65</v>
      </c>
      <c r="B66">
        <v>751</v>
      </c>
      <c r="C66">
        <v>225</v>
      </c>
      <c r="D66">
        <v>0.35185324415369101</v>
      </c>
      <c r="E66">
        <v>109.752354364984</v>
      </c>
      <c r="F66">
        <v>1.9048760149439501</v>
      </c>
      <c r="G66">
        <v>-1818.4535135154488</v>
      </c>
      <c r="H66">
        <v>-1497.8061177877576</v>
      </c>
      <c r="I66">
        <v>313.089168415816</v>
      </c>
      <c r="J66">
        <v>160.57325601565501</v>
      </c>
      <c r="K66">
        <v>57.616534359173599</v>
      </c>
      <c r="L66">
        <v>0.80898968814513361</v>
      </c>
      <c r="M66">
        <v>-0.80869404598976535</v>
      </c>
      <c r="N66">
        <v>46.596912064465997</v>
      </c>
      <c r="O66">
        <v>46.596906823241298</v>
      </c>
      <c r="P66">
        <v>46.596895045271403</v>
      </c>
      <c r="Q66" t="s">
        <v>51</v>
      </c>
    </row>
    <row r="67" spans="1:17" x14ac:dyDescent="0.2">
      <c r="A67">
        <v>66</v>
      </c>
      <c r="B67">
        <v>750</v>
      </c>
      <c r="C67">
        <v>225</v>
      </c>
      <c r="D67">
        <v>0.35115134633240402</v>
      </c>
      <c r="E67">
        <v>109.752391819846</v>
      </c>
      <c r="F67">
        <v>1.9027467378379399</v>
      </c>
      <c r="G67">
        <v>-1818.1413041008175</v>
      </c>
      <c r="H67">
        <v>-1498.3744890368507</v>
      </c>
      <c r="I67">
        <v>312.53460530340197</v>
      </c>
      <c r="J67">
        <v>160.60609784469401</v>
      </c>
      <c r="K67">
        <v>57.681030079997001</v>
      </c>
      <c r="L67">
        <v>0.78885274561372143</v>
      </c>
      <c r="M67">
        <v>-0.78854815450392091</v>
      </c>
      <c r="N67">
        <v>45.487112631471398</v>
      </c>
      <c r="O67">
        <v>45.487107136813897</v>
      </c>
      <c r="P67">
        <v>45.4870949983898</v>
      </c>
      <c r="Q67" t="s">
        <v>51</v>
      </c>
    </row>
    <row r="68" spans="1:17" x14ac:dyDescent="0.2">
      <c r="A68">
        <v>67</v>
      </c>
      <c r="B68">
        <v>749</v>
      </c>
      <c r="C68">
        <v>225</v>
      </c>
      <c r="D68">
        <v>0.350448075135744</v>
      </c>
      <c r="E68">
        <v>109.75242829679701</v>
      </c>
      <c r="F68">
        <v>1.9004017307138901</v>
      </c>
      <c r="G68">
        <v>-1817.8296488254894</v>
      </c>
      <c r="H68">
        <v>-1498.9775560681433</v>
      </c>
      <c r="I68">
        <v>311.94556284490602</v>
      </c>
      <c r="J68">
        <v>160.643726349573</v>
      </c>
      <c r="K68">
        <v>57.752224975910003</v>
      </c>
      <c r="L68">
        <v>0.76687548617337509</v>
      </c>
      <c r="M68">
        <v>-0.76656119791365862</v>
      </c>
      <c r="N68">
        <v>44.273543549814796</v>
      </c>
      <c r="O68">
        <v>44.2735377836471</v>
      </c>
      <c r="P68">
        <v>44.2735252539754</v>
      </c>
      <c r="Q68" t="s">
        <v>51</v>
      </c>
    </row>
    <row r="69" spans="1:17" x14ac:dyDescent="0.2">
      <c r="A69">
        <v>68</v>
      </c>
      <c r="B69">
        <v>748</v>
      </c>
      <c r="C69">
        <v>225</v>
      </c>
      <c r="D69">
        <v>0.34974342652891699</v>
      </c>
      <c r="E69">
        <v>109.752406820446</v>
      </c>
      <c r="F69">
        <v>1.88261471840799</v>
      </c>
      <c r="G69">
        <v>-1817.5189244293183</v>
      </c>
      <c r="H69">
        <v>-1502.3171561537799</v>
      </c>
      <c r="I69">
        <v>308.67695988816803</v>
      </c>
      <c r="J69">
        <v>160.63488675170601</v>
      </c>
      <c r="K69">
        <v>58.297858689459702</v>
      </c>
      <c r="L69">
        <v>0.60435053573009878</v>
      </c>
      <c r="M69">
        <v>-0.60397147883561242</v>
      </c>
      <c r="N69">
        <v>35.213788819424003</v>
      </c>
      <c r="O69">
        <v>35.213781838500601</v>
      </c>
      <c r="P69">
        <v>35.213766683574804</v>
      </c>
      <c r="Q69" t="s">
        <v>51</v>
      </c>
    </row>
    <row r="70" spans="1:17" x14ac:dyDescent="0.2">
      <c r="A70">
        <v>69</v>
      </c>
      <c r="B70">
        <v>747</v>
      </c>
      <c r="C70">
        <v>225</v>
      </c>
      <c r="D70">
        <v>0.34903739646130499</v>
      </c>
      <c r="E70">
        <v>109.760383145708</v>
      </c>
      <c r="F70">
        <v>1.8509231515767901</v>
      </c>
      <c r="G70">
        <v>-1817.3423835772142</v>
      </c>
      <c r="H70">
        <v>-1508.3965277610607</v>
      </c>
      <c r="I70">
        <v>302.84832962987701</v>
      </c>
      <c r="J70">
        <v>160.54420834500999</v>
      </c>
      <c r="K70">
        <v>59.300345912365103</v>
      </c>
      <c r="L70">
        <v>0.32077756296254767</v>
      </c>
      <c r="M70">
        <v>-0.32028531204162253</v>
      </c>
      <c r="N70">
        <v>18.997682897469002</v>
      </c>
      <c r="O70">
        <v>18.997673767489101</v>
      </c>
      <c r="P70">
        <v>18.997653896271</v>
      </c>
      <c r="Q70" t="s">
        <v>51</v>
      </c>
    </row>
    <row r="71" spans="1:17" x14ac:dyDescent="0.2">
      <c r="A71">
        <v>70</v>
      </c>
      <c r="B71">
        <v>746</v>
      </c>
      <c r="C71">
        <v>225</v>
      </c>
      <c r="D71">
        <v>0.34832998086640898</v>
      </c>
      <c r="E71">
        <v>109.76287065471099</v>
      </c>
      <c r="F71">
        <v>1.8304821660361299</v>
      </c>
      <c r="G71">
        <v>-1817.0822817749627</v>
      </c>
      <c r="H71">
        <v>-1512.5767410929811</v>
      </c>
      <c r="I71">
        <v>298.78938010887498</v>
      </c>
      <c r="J71">
        <v>160.465829992919</v>
      </c>
      <c r="K71">
        <v>59.9639115263275</v>
      </c>
      <c r="L71">
        <v>0.13308534431810559</v>
      </c>
      <c r="M71">
        <v>-0.13251832937986863</v>
      </c>
      <c r="N71">
        <v>7.9517151978254796</v>
      </c>
      <c r="O71">
        <v>7.9517045008581899</v>
      </c>
      <c r="P71">
        <v>7.9516814299476701</v>
      </c>
      <c r="Q71" t="s">
        <v>51</v>
      </c>
    </row>
    <row r="72" spans="1:17" x14ac:dyDescent="0.2">
      <c r="A72">
        <v>71</v>
      </c>
      <c r="B72">
        <v>745</v>
      </c>
      <c r="C72">
        <v>225</v>
      </c>
      <c r="D72">
        <v>0.347621175661739</v>
      </c>
      <c r="E72">
        <v>109.76308360020001</v>
      </c>
      <c r="F72">
        <v>1.82542264344894</v>
      </c>
      <c r="G72">
        <v>-1816.7877017382712</v>
      </c>
      <c r="H72">
        <v>-1513.8929821337626</v>
      </c>
      <c r="I72">
        <v>297.50095962670099</v>
      </c>
      <c r="J72">
        <v>160.47000495140699</v>
      </c>
      <c r="K72">
        <v>60.130230110882302</v>
      </c>
      <c r="L72">
        <v>7.9816490766469628E-2</v>
      </c>
      <c r="M72">
        <v>-7.9228517775599971E-2</v>
      </c>
      <c r="N72">
        <v>4.7696270182830904</v>
      </c>
      <c r="O72">
        <v>4.7696157179711802</v>
      </c>
      <c r="P72">
        <v>4.76959174322214</v>
      </c>
      <c r="Q72" t="s">
        <v>51</v>
      </c>
    </row>
    <row r="73" spans="1:17" x14ac:dyDescent="0.2">
      <c r="A73">
        <v>72</v>
      </c>
      <c r="B73">
        <v>764</v>
      </c>
      <c r="C73">
        <v>200</v>
      </c>
      <c r="D73">
        <v>0.38736971508460899</v>
      </c>
      <c r="E73">
        <v>109.752121484233</v>
      </c>
      <c r="F73">
        <v>1.84918424908989</v>
      </c>
      <c r="G73">
        <v>-1824.0003828976105</v>
      </c>
      <c r="H73">
        <v>-1496.2257706110215</v>
      </c>
      <c r="I73">
        <v>316.03687776669199</v>
      </c>
      <c r="J73">
        <v>161.297726969694</v>
      </c>
      <c r="K73">
        <v>59.351641967667497</v>
      </c>
      <c r="L73">
        <v>0.80270103632624357</v>
      </c>
      <c r="M73">
        <v>-0.80233229716452248</v>
      </c>
      <c r="N73">
        <v>47.623778699336199</v>
      </c>
      <c r="O73">
        <v>47.623777919810202</v>
      </c>
      <c r="P73">
        <v>47.623760659438197</v>
      </c>
      <c r="Q73" t="s">
        <v>51</v>
      </c>
    </row>
    <row r="74" spans="1:17" x14ac:dyDescent="0.2">
      <c r="A74">
        <v>73</v>
      </c>
      <c r="B74">
        <v>763</v>
      </c>
      <c r="C74">
        <v>200</v>
      </c>
      <c r="D74">
        <v>0.38671090093133698</v>
      </c>
      <c r="E74">
        <v>109.752152853686</v>
      </c>
      <c r="F74">
        <v>1.84992345181256</v>
      </c>
      <c r="G74">
        <v>-1823.6849318077323</v>
      </c>
      <c r="H74">
        <v>-1496.3964940927206</v>
      </c>
      <c r="I74">
        <v>315.87267777152198</v>
      </c>
      <c r="J74">
        <v>161.30310247620901</v>
      </c>
      <c r="K74">
        <v>59.327942864960299</v>
      </c>
      <c r="L74">
        <v>0.80242720080173768</v>
      </c>
      <c r="M74">
        <v>-0.80205839223341169</v>
      </c>
      <c r="N74">
        <v>47.588504274075198</v>
      </c>
      <c r="O74">
        <v>47.588503347707601</v>
      </c>
      <c r="P74">
        <v>47.588486080317999</v>
      </c>
      <c r="Q74" t="s">
        <v>51</v>
      </c>
    </row>
    <row r="75" spans="1:17" x14ac:dyDescent="0.2">
      <c r="A75">
        <v>74</v>
      </c>
      <c r="B75">
        <v>762</v>
      </c>
      <c r="C75">
        <v>200</v>
      </c>
      <c r="D75">
        <v>0.38605081389170998</v>
      </c>
      <c r="E75">
        <v>109.75218883936699</v>
      </c>
      <c r="F75">
        <v>1.8506374554484</v>
      </c>
      <c r="G75">
        <v>-1823.3697337305398</v>
      </c>
      <c r="H75">
        <v>-1496.5891137249469</v>
      </c>
      <c r="I75">
        <v>315.68725583108397</v>
      </c>
      <c r="J75">
        <v>161.31460561223099</v>
      </c>
      <c r="K75">
        <v>59.305072701435698</v>
      </c>
      <c r="L75">
        <v>0.80099948300753632</v>
      </c>
      <c r="M75">
        <v>-0.8006301698547903</v>
      </c>
      <c r="N75">
        <v>47.485455441276599</v>
      </c>
      <c r="O75">
        <v>47.485454365718603</v>
      </c>
      <c r="P75">
        <v>47.485437070792898</v>
      </c>
      <c r="Q75" t="s">
        <v>51</v>
      </c>
    </row>
    <row r="76" spans="1:17" x14ac:dyDescent="0.2">
      <c r="A76">
        <v>75</v>
      </c>
      <c r="B76">
        <v>761</v>
      </c>
      <c r="C76">
        <v>200</v>
      </c>
      <c r="D76">
        <v>0.38538945027317301</v>
      </c>
      <c r="E76">
        <v>109.752224964226</v>
      </c>
      <c r="F76">
        <v>1.85135355133237</v>
      </c>
      <c r="G76">
        <v>-1823.054723303962</v>
      </c>
      <c r="H76">
        <v>-1496.7816033077013</v>
      </c>
      <c r="I76">
        <v>315.50178247469</v>
      </c>
      <c r="J76">
        <v>161.32610045143301</v>
      </c>
      <c r="K76">
        <v>59.282153257674999</v>
      </c>
      <c r="L76">
        <v>0.79957924223755272</v>
      </c>
      <c r="M76">
        <v>-0.79920943076253692</v>
      </c>
      <c r="N76">
        <v>47.382876085333599</v>
      </c>
      <c r="O76">
        <v>47.382874859181598</v>
      </c>
      <c r="P76">
        <v>47.382857537068602</v>
      </c>
      <c r="Q76" t="s">
        <v>51</v>
      </c>
    </row>
    <row r="77" spans="1:17" x14ac:dyDescent="0.2">
      <c r="A77">
        <v>76</v>
      </c>
      <c r="B77">
        <v>760</v>
      </c>
      <c r="C77">
        <v>200</v>
      </c>
      <c r="D77">
        <v>0.38472680636887402</v>
      </c>
      <c r="E77">
        <v>109.752261228859</v>
      </c>
      <c r="F77">
        <v>1.8520717235608299</v>
      </c>
      <c r="G77">
        <v>-1822.7399005894151</v>
      </c>
      <c r="H77">
        <v>-1496.9739639435206</v>
      </c>
      <c r="I77">
        <v>315.31625654555199</v>
      </c>
      <c r="J77">
        <v>161.33758626611501</v>
      </c>
      <c r="K77">
        <v>59.259185177692601</v>
      </c>
      <c r="L77">
        <v>0.79816641446635228</v>
      </c>
      <c r="M77">
        <v>-0.79779611092921998</v>
      </c>
      <c r="N77">
        <v>47.280762622057097</v>
      </c>
      <c r="O77">
        <v>47.280761243911002</v>
      </c>
      <c r="P77">
        <v>47.280743894961297</v>
      </c>
      <c r="Q77" t="s">
        <v>51</v>
      </c>
    </row>
    <row r="78" spans="1:17" x14ac:dyDescent="0.2">
      <c r="A78">
        <v>77</v>
      </c>
      <c r="B78">
        <v>759</v>
      </c>
      <c r="C78">
        <v>200</v>
      </c>
      <c r="D78">
        <v>0.38406287845759102</v>
      </c>
      <c r="E78">
        <v>109.75229763396401</v>
      </c>
      <c r="F78">
        <v>1.85279195628551</v>
      </c>
      <c r="G78">
        <v>-1822.4252656511028</v>
      </c>
      <c r="H78">
        <v>-1497.1661967239866</v>
      </c>
      <c r="I78">
        <v>315.13067689571199</v>
      </c>
      <c r="J78">
        <v>161.34906232000901</v>
      </c>
      <c r="K78">
        <v>59.236169102329299</v>
      </c>
      <c r="L78">
        <v>0.79676093634573408</v>
      </c>
      <c r="M78">
        <v>-0.79639014700487076</v>
      </c>
      <c r="N78">
        <v>47.179111504918502</v>
      </c>
      <c r="O78">
        <v>47.179109973382097</v>
      </c>
      <c r="P78">
        <v>47.179092597948397</v>
      </c>
      <c r="Q78" t="s">
        <v>51</v>
      </c>
    </row>
    <row r="79" spans="1:17" x14ac:dyDescent="0.2">
      <c r="A79">
        <v>78</v>
      </c>
      <c r="B79">
        <v>758</v>
      </c>
      <c r="C79">
        <v>200</v>
      </c>
      <c r="D79">
        <v>0.383397662803666</v>
      </c>
      <c r="E79">
        <v>109.752334180153</v>
      </c>
      <c r="F79">
        <v>1.8535142337041599</v>
      </c>
      <c r="G79">
        <v>-1822.1108185530013</v>
      </c>
      <c r="H79">
        <v>-1497.3583027280101</v>
      </c>
      <c r="I79">
        <v>314.94504238482602</v>
      </c>
      <c r="J79">
        <v>161.360527868585</v>
      </c>
      <c r="K79">
        <v>59.213105669449398</v>
      </c>
      <c r="L79">
        <v>0.79536274515003802</v>
      </c>
      <c r="M79">
        <v>-0.7949914762622573</v>
      </c>
      <c r="N79">
        <v>47.077919221989198</v>
      </c>
      <c r="O79">
        <v>47.077917535669798</v>
      </c>
      <c r="P79">
        <v>47.077900134106798</v>
      </c>
      <c r="Q79" t="s">
        <v>51</v>
      </c>
    </row>
    <row r="80" spans="1:17" x14ac:dyDescent="0.2">
      <c r="A80">
        <v>79</v>
      </c>
      <c r="B80">
        <v>757</v>
      </c>
      <c r="C80">
        <v>200</v>
      </c>
      <c r="D80">
        <v>0.38273115565694399</v>
      </c>
      <c r="E80">
        <v>109.75237092351099</v>
      </c>
      <c r="F80">
        <v>1.85387260411522</v>
      </c>
      <c r="G80">
        <v>-1821.7965632797814</v>
      </c>
      <c r="H80">
        <v>-1497.5968627028194</v>
      </c>
      <c r="I80">
        <v>314.71414879417398</v>
      </c>
      <c r="J80">
        <v>161.37262884846601</v>
      </c>
      <c r="K80">
        <v>59.201679058141799</v>
      </c>
      <c r="L80">
        <v>0.7917014286575853</v>
      </c>
      <c r="M80">
        <v>-0.79132853563530414</v>
      </c>
      <c r="N80">
        <v>46.851990612238701</v>
      </c>
      <c r="O80">
        <v>46.851988766252099</v>
      </c>
      <c r="P80">
        <v>46.851971283287597</v>
      </c>
      <c r="Q80" t="s">
        <v>51</v>
      </c>
    </row>
    <row r="81" spans="1:17" x14ac:dyDescent="0.2">
      <c r="A81">
        <v>80</v>
      </c>
      <c r="B81">
        <v>756</v>
      </c>
      <c r="C81">
        <v>200</v>
      </c>
      <c r="D81">
        <v>0.38206335325268598</v>
      </c>
      <c r="E81">
        <v>109.75240775864501</v>
      </c>
      <c r="F81">
        <v>1.8518005274228899</v>
      </c>
      <c r="G81">
        <v>-1821.4827096582073</v>
      </c>
      <c r="H81">
        <v>-1498.1467670865125</v>
      </c>
      <c r="I81">
        <v>314.18073468562</v>
      </c>
      <c r="J81">
        <v>161.390582333564</v>
      </c>
      <c r="K81">
        <v>59.267942812061399</v>
      </c>
      <c r="L81">
        <v>0.77283259665281567</v>
      </c>
      <c r="M81">
        <v>-0.77245040075036786</v>
      </c>
      <c r="N81">
        <v>45.785652544411903</v>
      </c>
      <c r="O81">
        <v>45.785650510390198</v>
      </c>
      <c r="P81">
        <v>45.785632574296898</v>
      </c>
      <c r="Q81" t="s">
        <v>51</v>
      </c>
    </row>
    <row r="82" spans="1:17" x14ac:dyDescent="0.2">
      <c r="A82">
        <v>81</v>
      </c>
      <c r="B82">
        <v>755</v>
      </c>
      <c r="C82">
        <v>200</v>
      </c>
      <c r="D82">
        <v>0.38139425181150599</v>
      </c>
      <c r="E82">
        <v>109.752443853492</v>
      </c>
      <c r="F82">
        <v>1.84958584135626</v>
      </c>
      <c r="G82">
        <v>-1821.1693876730885</v>
      </c>
      <c r="H82">
        <v>-1498.719200701097</v>
      </c>
      <c r="I82">
        <v>313.62489227427898</v>
      </c>
      <c r="J82">
        <v>161.41139061104701</v>
      </c>
      <c r="K82">
        <v>59.338929504895603</v>
      </c>
      <c r="L82">
        <v>0.75278239457980245</v>
      </c>
      <c r="M82">
        <v>-0.75239036914447954</v>
      </c>
      <c r="N82">
        <v>44.650244794794297</v>
      </c>
      <c r="O82">
        <v>44.650242562815798</v>
      </c>
      <c r="P82">
        <v>44.650224147039602</v>
      </c>
      <c r="Q82" t="s">
        <v>51</v>
      </c>
    </row>
    <row r="83" spans="1:17" x14ac:dyDescent="0.2">
      <c r="A83">
        <v>82</v>
      </c>
      <c r="B83">
        <v>754</v>
      </c>
      <c r="C83">
        <v>200</v>
      </c>
      <c r="D83">
        <v>0.38072384753930699</v>
      </c>
      <c r="E83">
        <v>109.752478789682</v>
      </c>
      <c r="F83">
        <v>1.8471249259190801</v>
      </c>
      <c r="G83">
        <v>-1820.8566195732401</v>
      </c>
      <c r="H83">
        <v>-1499.3299304238803</v>
      </c>
      <c r="I83">
        <v>313.03123068690797</v>
      </c>
      <c r="J83">
        <v>161.43480258508899</v>
      </c>
      <c r="K83">
        <v>59.418005382105903</v>
      </c>
      <c r="L83">
        <v>0.73071621996871383</v>
      </c>
      <c r="M83">
        <v>-0.7303134704110027</v>
      </c>
      <c r="N83">
        <v>43.398084494568202</v>
      </c>
      <c r="O83">
        <v>43.398082052388801</v>
      </c>
      <c r="P83">
        <v>43.398063112396798</v>
      </c>
      <c r="Q83" t="s">
        <v>51</v>
      </c>
    </row>
    <row r="84" spans="1:17" x14ac:dyDescent="0.2">
      <c r="A84">
        <v>83</v>
      </c>
      <c r="B84">
        <v>753</v>
      </c>
      <c r="C84">
        <v>200</v>
      </c>
      <c r="D84">
        <v>0.380052136627202</v>
      </c>
      <c r="E84">
        <v>109.75247267565901</v>
      </c>
      <c r="F84">
        <v>1.83332344332116</v>
      </c>
      <c r="G84">
        <v>-1820.5444004327658</v>
      </c>
      <c r="H84">
        <v>-1501.8147345155878</v>
      </c>
      <c r="I84">
        <v>310.61097691468399</v>
      </c>
      <c r="J84">
        <v>161.35896349463999</v>
      </c>
      <c r="K84">
        <v>59.865308042336999</v>
      </c>
      <c r="L84">
        <v>0.61320589725881869</v>
      </c>
      <c r="M84">
        <v>-0.61275106924766154</v>
      </c>
      <c r="N84">
        <v>36.687418672225</v>
      </c>
      <c r="O84">
        <v>36.687415795540097</v>
      </c>
      <c r="P84">
        <v>36.687394318392499</v>
      </c>
      <c r="Q84" t="s">
        <v>51</v>
      </c>
    </row>
    <row r="85" spans="1:17" x14ac:dyDescent="0.2">
      <c r="A85">
        <v>84</v>
      </c>
      <c r="B85">
        <v>752</v>
      </c>
      <c r="C85">
        <v>200</v>
      </c>
      <c r="D85">
        <v>0.37937911525142798</v>
      </c>
      <c r="E85">
        <v>109.75830860654899</v>
      </c>
      <c r="F85">
        <v>1.8048884133798799</v>
      </c>
      <c r="G85">
        <v>-1820.3305461933544</v>
      </c>
      <c r="H85">
        <v>-1506.951974063325</v>
      </c>
      <c r="I85">
        <v>305.695054259286</v>
      </c>
      <c r="J85">
        <v>161.11139942463799</v>
      </c>
      <c r="K85">
        <v>60.811686635526399</v>
      </c>
      <c r="L85">
        <v>0.37501912045029961</v>
      </c>
      <c r="M85">
        <v>-0.37445933040748841</v>
      </c>
      <c r="N85">
        <v>22.777579300563101</v>
      </c>
      <c r="O85">
        <v>22.777575637729399</v>
      </c>
      <c r="P85">
        <v>22.777548927073699</v>
      </c>
      <c r="Q85" t="s">
        <v>51</v>
      </c>
    </row>
    <row r="86" spans="1:17" x14ac:dyDescent="0.2">
      <c r="A86">
        <v>85</v>
      </c>
      <c r="B86">
        <v>751</v>
      </c>
      <c r="C86">
        <v>200</v>
      </c>
      <c r="D86">
        <v>0.378704779573308</v>
      </c>
      <c r="E86">
        <v>109.763289868021</v>
      </c>
      <c r="F86">
        <v>1.78079857029751</v>
      </c>
      <c r="G86">
        <v>-1820.1082737442732</v>
      </c>
      <c r="H86">
        <v>-1511.5624204154205</v>
      </c>
      <c r="I86">
        <v>301.27557916498102</v>
      </c>
      <c r="J86">
        <v>160.85917783076101</v>
      </c>
      <c r="K86">
        <v>61.637117020867599</v>
      </c>
      <c r="L86">
        <v>0.17021844292925559</v>
      </c>
      <c r="M86">
        <v>-0.16956854976943236</v>
      </c>
      <c r="N86">
        <v>10.4588354743947</v>
      </c>
      <c r="O86">
        <v>10.458831012948799</v>
      </c>
      <c r="P86">
        <v>10.458799675254401</v>
      </c>
      <c r="Q86" t="s">
        <v>51</v>
      </c>
    </row>
    <row r="87" spans="1:17" x14ac:dyDescent="0.2">
      <c r="A87">
        <v>86</v>
      </c>
      <c r="B87">
        <v>750</v>
      </c>
      <c r="C87">
        <v>200</v>
      </c>
      <c r="D87">
        <v>0.37802912573913899</v>
      </c>
      <c r="E87">
        <v>109.763528561483</v>
      </c>
      <c r="F87">
        <v>1.7724253981068301</v>
      </c>
      <c r="G87">
        <v>-1819.8119411510697</v>
      </c>
      <c r="H87">
        <v>-1513.4330625168491</v>
      </c>
      <c r="I87">
        <v>299.45240260329501</v>
      </c>
      <c r="J87">
        <v>160.77599403236101</v>
      </c>
      <c r="K87">
        <v>61.928433590900099</v>
      </c>
      <c r="L87">
        <v>9.2279457679858373E-2</v>
      </c>
      <c r="M87">
        <v>-9.1595522533010038E-2</v>
      </c>
      <c r="N87">
        <v>5.6798726932264296</v>
      </c>
      <c r="O87">
        <v>5.6798677294501001</v>
      </c>
      <c r="P87">
        <v>5.6798346131028099</v>
      </c>
      <c r="Q87" t="s">
        <v>51</v>
      </c>
    </row>
    <row r="88" spans="1:17" x14ac:dyDescent="0.2">
      <c r="A88">
        <v>87</v>
      </c>
      <c r="B88">
        <v>749</v>
      </c>
      <c r="C88">
        <v>200</v>
      </c>
      <c r="D88">
        <v>0.37735214988015597</v>
      </c>
      <c r="E88">
        <v>109.763600589156</v>
      </c>
      <c r="F88">
        <v>1.7701166895036</v>
      </c>
      <c r="G88">
        <v>-1819.5140812789361</v>
      </c>
      <c r="H88">
        <v>-1514.2141431478094</v>
      </c>
      <c r="I88">
        <v>298.68991749176399</v>
      </c>
      <c r="J88">
        <v>160.77417483764199</v>
      </c>
      <c r="K88">
        <v>62.009245627720702</v>
      </c>
      <c r="L88">
        <v>6.4319195145788141E-2</v>
      </c>
      <c r="M88">
        <v>-6.3623210579771827E-2</v>
      </c>
      <c r="N88">
        <v>3.9528560563554</v>
      </c>
      <c r="O88">
        <v>3.9528507197266101</v>
      </c>
      <c r="P88">
        <v>3.9528169704079201</v>
      </c>
      <c r="Q88" t="s">
        <v>51</v>
      </c>
    </row>
    <row r="89" spans="1:17" x14ac:dyDescent="0.2">
      <c r="A89">
        <v>88</v>
      </c>
      <c r="B89">
        <v>765</v>
      </c>
      <c r="C89">
        <v>175</v>
      </c>
      <c r="D89">
        <v>0.41451668833983701</v>
      </c>
      <c r="E89">
        <v>109.752327018335</v>
      </c>
      <c r="F89">
        <v>1.7895586208726</v>
      </c>
      <c r="G89">
        <v>-1825.8273878743269</v>
      </c>
      <c r="H89">
        <v>-1496.8877250875255</v>
      </c>
      <c r="I89">
        <v>316.85491764139198</v>
      </c>
      <c r="J89">
        <v>162.05874110682601</v>
      </c>
      <c r="K89">
        <v>61.329271775863198</v>
      </c>
      <c r="L89">
        <v>0.77307484628674905</v>
      </c>
      <c r="M89">
        <v>-0.77259964771112355</v>
      </c>
      <c r="N89">
        <v>47.3890523627324</v>
      </c>
      <c r="O89">
        <v>47.389059656424799</v>
      </c>
      <c r="P89">
        <v>47.3890333058132</v>
      </c>
      <c r="Q89" t="s">
        <v>51</v>
      </c>
    </row>
    <row r="90" spans="1:17" x14ac:dyDescent="0.2">
      <c r="A90">
        <v>89</v>
      </c>
      <c r="B90">
        <v>764</v>
      </c>
      <c r="C90">
        <v>175</v>
      </c>
      <c r="D90">
        <v>0.41388468398978101</v>
      </c>
      <c r="E90">
        <v>109.75236118568</v>
      </c>
      <c r="F90">
        <v>1.7900979880049901</v>
      </c>
      <c r="G90">
        <v>-1825.511172150769</v>
      </c>
      <c r="H90">
        <v>-1497.1023679372022</v>
      </c>
      <c r="I90">
        <v>316.64858886399298</v>
      </c>
      <c r="J90">
        <v>162.07063096884801</v>
      </c>
      <c r="K90">
        <v>61.310811989680701</v>
      </c>
      <c r="L90">
        <v>0.77073325553857852</v>
      </c>
      <c r="M90">
        <v>-0.77025678211942539</v>
      </c>
      <c r="N90">
        <v>47.231148132316598</v>
      </c>
      <c r="O90">
        <v>47.231155258091299</v>
      </c>
      <c r="P90">
        <v>47.231128822189703</v>
      </c>
      <c r="Q90" t="s">
        <v>51</v>
      </c>
    </row>
    <row r="91" spans="1:17" x14ac:dyDescent="0.2">
      <c r="A91">
        <v>90</v>
      </c>
      <c r="B91">
        <v>763</v>
      </c>
      <c r="C91">
        <v>175</v>
      </c>
      <c r="D91">
        <v>0.41325145973073701</v>
      </c>
      <c r="E91">
        <v>109.75239730812601</v>
      </c>
      <c r="F91">
        <v>1.78802370955303</v>
      </c>
      <c r="G91">
        <v>-1825.1953626777845</v>
      </c>
      <c r="H91">
        <v>-1497.632935439641</v>
      </c>
      <c r="I91">
        <v>316.137411114484</v>
      </c>
      <c r="J91">
        <v>162.073050916395</v>
      </c>
      <c r="K91">
        <v>61.381958595818404</v>
      </c>
      <c r="L91">
        <v>0.75320008333138555</v>
      </c>
      <c r="M91">
        <v>-0.75271383398588065</v>
      </c>
      <c r="N91">
        <v>46.209244741994901</v>
      </c>
      <c r="O91">
        <v>46.209251840541398</v>
      </c>
      <c r="P91">
        <v>46.209224821276202</v>
      </c>
      <c r="Q91" t="s">
        <v>51</v>
      </c>
    </row>
    <row r="92" spans="1:17" x14ac:dyDescent="0.2">
      <c r="A92">
        <v>91</v>
      </c>
      <c r="B92">
        <v>762</v>
      </c>
      <c r="C92">
        <v>175</v>
      </c>
      <c r="D92">
        <v>0.41261701202724399</v>
      </c>
      <c r="E92">
        <v>109.752432864196</v>
      </c>
      <c r="F92">
        <v>1.78585570402643</v>
      </c>
      <c r="G92">
        <v>-1824.8800618203509</v>
      </c>
      <c r="H92">
        <v>-1498.1779092688785</v>
      </c>
      <c r="I92">
        <v>315.611822741879</v>
      </c>
      <c r="J92">
        <v>162.07725279216001</v>
      </c>
      <c r="K92">
        <v>61.456495402594001</v>
      </c>
      <c r="L92">
        <v>0.73492350481268764</v>
      </c>
      <c r="M92">
        <v>-0.73442710957986546</v>
      </c>
      <c r="N92">
        <v>45.141632236631203</v>
      </c>
      <c r="O92">
        <v>45.1416393051516</v>
      </c>
      <c r="P92">
        <v>45.141611678942802</v>
      </c>
      <c r="Q92" t="s">
        <v>51</v>
      </c>
    </row>
    <row r="93" spans="1:17" x14ac:dyDescent="0.2">
      <c r="A93">
        <v>92</v>
      </c>
      <c r="B93">
        <v>761</v>
      </c>
      <c r="C93">
        <v>175</v>
      </c>
      <c r="D93">
        <v>0.411981337330175</v>
      </c>
      <c r="E93">
        <v>109.752467643522</v>
      </c>
      <c r="F93">
        <v>1.7835418591313299</v>
      </c>
      <c r="G93">
        <v>-1824.5652837495513</v>
      </c>
      <c r="H93">
        <v>-1498.7446018625014</v>
      </c>
      <c r="I93">
        <v>315.064726018778</v>
      </c>
      <c r="J93">
        <v>162.08271598096701</v>
      </c>
      <c r="K93">
        <v>61.536244345269601</v>
      </c>
      <c r="L93">
        <v>0.71552115407165129</v>
      </c>
      <c r="M93">
        <v>-0.71501405578441302</v>
      </c>
      <c r="N93">
        <v>44.005723361013203</v>
      </c>
      <c r="O93">
        <v>44.005730399159802</v>
      </c>
      <c r="P93">
        <v>44.005702131267299</v>
      </c>
      <c r="Q93" t="s">
        <v>51</v>
      </c>
    </row>
    <row r="94" spans="1:17" x14ac:dyDescent="0.2">
      <c r="A94">
        <v>93</v>
      </c>
      <c r="B94">
        <v>760</v>
      </c>
      <c r="C94">
        <v>175</v>
      </c>
      <c r="D94">
        <v>0.41134443207665999</v>
      </c>
      <c r="E94">
        <v>109.75250122060901</v>
      </c>
      <c r="F94">
        <v>1.78097663413439</v>
      </c>
      <c r="G94">
        <v>-1824.2510492768004</v>
      </c>
      <c r="H94">
        <v>-1499.3477920815253</v>
      </c>
      <c r="I94">
        <v>314.48177667773399</v>
      </c>
      <c r="J94">
        <v>162.08837677791601</v>
      </c>
      <c r="K94">
        <v>61.624896765673903</v>
      </c>
      <c r="L94">
        <v>0.69422213249190556</v>
      </c>
      <c r="M94">
        <v>-0.69370339553307336</v>
      </c>
      <c r="N94">
        <v>42.755983877421002</v>
      </c>
      <c r="O94">
        <v>42.7559908899715</v>
      </c>
      <c r="P94">
        <v>42.755961923102198</v>
      </c>
      <c r="Q94" t="s">
        <v>51</v>
      </c>
    </row>
    <row r="95" spans="1:17" x14ac:dyDescent="0.2">
      <c r="A95">
        <v>94</v>
      </c>
      <c r="B95">
        <v>759</v>
      </c>
      <c r="C95">
        <v>175</v>
      </c>
      <c r="D95">
        <v>0.41070629269001901</v>
      </c>
      <c r="E95">
        <v>109.75252345912099</v>
      </c>
      <c r="F95">
        <v>1.77503016158331</v>
      </c>
      <c r="G95">
        <v>-1823.9372774793289</v>
      </c>
      <c r="H95">
        <v>-1500.451288323417</v>
      </c>
      <c r="I95">
        <v>313.413511286507</v>
      </c>
      <c r="J95">
        <v>162.04845615929801</v>
      </c>
      <c r="K95">
        <v>61.831356916900198</v>
      </c>
      <c r="L95">
        <v>0.64759998925364182</v>
      </c>
      <c r="M95">
        <v>-0.64705729897187936</v>
      </c>
      <c r="N95">
        <v>40.015320511482997</v>
      </c>
      <c r="O95">
        <v>40.0153276716267</v>
      </c>
      <c r="P95">
        <v>40.0152972771414</v>
      </c>
      <c r="Q95" t="s">
        <v>51</v>
      </c>
    </row>
    <row r="96" spans="1:17" x14ac:dyDescent="0.2">
      <c r="A96">
        <v>95</v>
      </c>
      <c r="B96">
        <v>758</v>
      </c>
      <c r="C96">
        <v>175</v>
      </c>
      <c r="D96">
        <v>0.41006691557969399</v>
      </c>
      <c r="E96">
        <v>109.752495695102</v>
      </c>
      <c r="F96">
        <v>1.7583660963240799</v>
      </c>
      <c r="G96">
        <v>-1823.6248297390798</v>
      </c>
      <c r="H96">
        <v>-1503.216508440639</v>
      </c>
      <c r="I96">
        <v>310.73321861773701</v>
      </c>
      <c r="J96">
        <v>161.83690232605099</v>
      </c>
      <c r="K96">
        <v>62.417317943369802</v>
      </c>
      <c r="L96">
        <v>0.51874275108840862</v>
      </c>
      <c r="M96">
        <v>-0.51813655687871063</v>
      </c>
      <c r="N96">
        <v>32.348430703624601</v>
      </c>
      <c r="O96">
        <v>32.348438571717999</v>
      </c>
      <c r="P96">
        <v>32.348404372971999</v>
      </c>
      <c r="Q96" t="s">
        <v>51</v>
      </c>
    </row>
    <row r="97" spans="1:17" x14ac:dyDescent="0.2">
      <c r="A97">
        <v>96</v>
      </c>
      <c r="B97">
        <v>757</v>
      </c>
      <c r="C97">
        <v>175</v>
      </c>
      <c r="D97">
        <v>0.40942629714119499</v>
      </c>
      <c r="E97">
        <v>109.762242345327</v>
      </c>
      <c r="F97">
        <v>1.7236159275290801</v>
      </c>
      <c r="G97">
        <v>-1823.475839829915</v>
      </c>
      <c r="H97">
        <v>-1509.0903893565253</v>
      </c>
      <c r="I97">
        <v>305.18921656979001</v>
      </c>
      <c r="J97">
        <v>161.27283401989999</v>
      </c>
      <c r="K97">
        <v>63.681380864633198</v>
      </c>
      <c r="L97">
        <v>0.25775711795319806</v>
      </c>
      <c r="M97">
        <v>-0.25702213659815853</v>
      </c>
      <c r="N97">
        <v>16.377045686631298</v>
      </c>
      <c r="O97">
        <v>16.377055195290701</v>
      </c>
      <c r="P97">
        <v>16.377013047043601</v>
      </c>
      <c r="Q97" t="s">
        <v>51</v>
      </c>
    </row>
    <row r="98" spans="1:17" x14ac:dyDescent="0.2">
      <c r="A98">
        <v>97</v>
      </c>
      <c r="B98">
        <v>756</v>
      </c>
      <c r="C98">
        <v>175</v>
      </c>
      <c r="D98">
        <v>0.40878443375601398</v>
      </c>
      <c r="E98">
        <v>109.76396705334901</v>
      </c>
      <c r="F98">
        <v>1.70737617534562</v>
      </c>
      <c r="G98">
        <v>-1823.2003157149366</v>
      </c>
      <c r="H98">
        <v>-1512.1164421474678</v>
      </c>
      <c r="I98">
        <v>302.27818237837801</v>
      </c>
      <c r="J98">
        <v>160.98128357758799</v>
      </c>
      <c r="K98">
        <v>64.288098099488494</v>
      </c>
      <c r="L98">
        <v>0.12932458201585353</v>
      </c>
      <c r="M98">
        <v>-0.12852643649999071</v>
      </c>
      <c r="N98">
        <v>8.2731231170677706</v>
      </c>
      <c r="O98">
        <v>8.2731332390065404</v>
      </c>
      <c r="P98">
        <v>8.2730870708268398</v>
      </c>
      <c r="Q98" t="s">
        <v>51</v>
      </c>
    </row>
    <row r="99" spans="1:17" x14ac:dyDescent="0.2">
      <c r="A99">
        <v>98</v>
      </c>
      <c r="B99">
        <v>755</v>
      </c>
      <c r="C99">
        <v>175</v>
      </c>
      <c r="D99">
        <v>0.40814132179156798</v>
      </c>
      <c r="E99">
        <v>109.764009842522</v>
      </c>
      <c r="F99">
        <v>1.70190334045457</v>
      </c>
      <c r="G99">
        <v>-1822.8994296838623</v>
      </c>
      <c r="H99">
        <v>-1513.3949136691574</v>
      </c>
      <c r="I99">
        <v>301.03625675872502</v>
      </c>
      <c r="J99">
        <v>160.89069883441201</v>
      </c>
      <c r="K99">
        <v>64.4948553971374</v>
      </c>
      <c r="L99">
        <v>7.9751654048179979E-2</v>
      </c>
      <c r="M99">
        <v>-7.8929226393957511E-2</v>
      </c>
      <c r="N99">
        <v>5.1012545025034903</v>
      </c>
      <c r="O99">
        <v>5.1012646288047199</v>
      </c>
      <c r="P99">
        <v>5.1012168888734299</v>
      </c>
      <c r="Q99" t="s">
        <v>51</v>
      </c>
    </row>
    <row r="100" spans="1:17" x14ac:dyDescent="0.2">
      <c r="A100">
        <v>99</v>
      </c>
      <c r="B100">
        <v>754</v>
      </c>
      <c r="C100">
        <v>175</v>
      </c>
      <c r="D100">
        <v>0.40749695760112897</v>
      </c>
      <c r="E100">
        <v>109.764034815315</v>
      </c>
      <c r="F100">
        <v>1.70021735672448</v>
      </c>
      <c r="G100">
        <v>-1822.599142422207</v>
      </c>
      <c r="H100">
        <v>-1514.0437745683878</v>
      </c>
      <c r="I100">
        <v>300.40535766451598</v>
      </c>
      <c r="J100">
        <v>160.87881160074201</v>
      </c>
      <c r="K100">
        <v>64.558825012102702</v>
      </c>
      <c r="L100">
        <v>5.8334710055574779E-2</v>
      </c>
      <c r="M100">
        <v>-5.7501823409786636E-2</v>
      </c>
      <c r="N100">
        <v>3.7230963148231799</v>
      </c>
      <c r="O100">
        <v>3.7231062284649301</v>
      </c>
      <c r="P100">
        <v>3.72305780217371</v>
      </c>
      <c r="Q100" t="s">
        <v>51</v>
      </c>
    </row>
    <row r="101" spans="1:17" x14ac:dyDescent="0.2">
      <c r="A101">
        <v>100</v>
      </c>
      <c r="B101">
        <v>775</v>
      </c>
      <c r="C101">
        <v>150</v>
      </c>
      <c r="D101">
        <v>0.44700710776129698</v>
      </c>
      <c r="E101">
        <v>109.75227310036399</v>
      </c>
      <c r="F101">
        <v>1.7030195006507201</v>
      </c>
      <c r="G101">
        <v>-1830.5764908586843</v>
      </c>
      <c r="H101">
        <v>-1495.9809557720573</v>
      </c>
      <c r="I101">
        <v>319.22821063073599</v>
      </c>
      <c r="J101">
        <v>162.51829830617501</v>
      </c>
      <c r="K101">
        <v>64.445693697827906</v>
      </c>
      <c r="L101">
        <v>0.73254705090464323</v>
      </c>
      <c r="M101">
        <v>-0.73192541702238867</v>
      </c>
      <c r="N101">
        <v>47.179299756776999</v>
      </c>
      <c r="O101">
        <v>47.179326668889203</v>
      </c>
      <c r="P101">
        <v>47.179285479662802</v>
      </c>
      <c r="Q101" t="s">
        <v>51</v>
      </c>
    </row>
    <row r="102" spans="1:17" x14ac:dyDescent="0.2">
      <c r="A102">
        <v>101</v>
      </c>
      <c r="B102">
        <v>774</v>
      </c>
      <c r="C102">
        <v>150</v>
      </c>
      <c r="D102">
        <v>0.44641216635630598</v>
      </c>
      <c r="E102">
        <v>109.752297683983</v>
      </c>
      <c r="F102">
        <v>1.7034388942363601</v>
      </c>
      <c r="G102">
        <v>-1830.2577505423785</v>
      </c>
      <c r="H102">
        <v>-1496.1901468651884</v>
      </c>
      <c r="I102">
        <v>319.02891321471401</v>
      </c>
      <c r="J102">
        <v>162.51932129865199</v>
      </c>
      <c r="K102">
        <v>64.429841337622193</v>
      </c>
      <c r="L102">
        <v>0.73082094245771545</v>
      </c>
      <c r="M102">
        <v>-0.7301977550951505</v>
      </c>
      <c r="N102">
        <v>47.056384426793102</v>
      </c>
      <c r="O102">
        <v>47.056411233816</v>
      </c>
      <c r="P102">
        <v>47.0563699142145</v>
      </c>
      <c r="Q102" t="s">
        <v>51</v>
      </c>
    </row>
    <row r="103" spans="1:17" x14ac:dyDescent="0.2">
      <c r="A103">
        <v>102</v>
      </c>
      <c r="B103">
        <v>773</v>
      </c>
      <c r="C103">
        <v>150</v>
      </c>
      <c r="D103">
        <v>0.44581608755914398</v>
      </c>
      <c r="E103">
        <v>109.752319337275</v>
      </c>
      <c r="F103">
        <v>1.70348205510007</v>
      </c>
      <c r="G103">
        <v>-1829.9391861669644</v>
      </c>
      <c r="H103">
        <v>-1496.4314005428555</v>
      </c>
      <c r="I103">
        <v>318.79876072050001</v>
      </c>
      <c r="J103">
        <v>162.51241888432699</v>
      </c>
      <c r="K103">
        <v>64.428221599803095</v>
      </c>
      <c r="L103">
        <v>0.72767162788501372</v>
      </c>
      <c r="M103">
        <v>-0.72704589907014816</v>
      </c>
      <c r="N103">
        <v>46.852150862182697</v>
      </c>
      <c r="O103">
        <v>46.852177608863599</v>
      </c>
      <c r="P103">
        <v>46.8521360859162</v>
      </c>
      <c r="Q103" t="s">
        <v>51</v>
      </c>
    </row>
    <row r="104" spans="1:17" x14ac:dyDescent="0.2">
      <c r="A104">
        <v>103</v>
      </c>
      <c r="B104">
        <v>772</v>
      </c>
      <c r="C104">
        <v>150</v>
      </c>
      <c r="D104">
        <v>0.44521886810505501</v>
      </c>
      <c r="E104">
        <v>109.752340983016</v>
      </c>
      <c r="F104">
        <v>1.7035309857486001</v>
      </c>
      <c r="G104">
        <v>-1829.6208518379524</v>
      </c>
      <c r="H104">
        <v>-1496.6725322353859</v>
      </c>
      <c r="I104">
        <v>318.56850463391498</v>
      </c>
      <c r="J104">
        <v>162.506262262576</v>
      </c>
      <c r="K104">
        <v>64.426383729548803</v>
      </c>
      <c r="L104">
        <v>0.72452055478105726</v>
      </c>
      <c r="M104">
        <v>-0.72389228641293979</v>
      </c>
      <c r="N104">
        <v>46.647656175762002</v>
      </c>
      <c r="O104">
        <v>46.647682858032397</v>
      </c>
      <c r="P104">
        <v>46.647641131377597</v>
      </c>
      <c r="Q104" t="s">
        <v>51</v>
      </c>
    </row>
    <row r="105" spans="1:17" x14ac:dyDescent="0.2">
      <c r="A105">
        <v>104</v>
      </c>
      <c r="B105">
        <v>771</v>
      </c>
      <c r="C105">
        <v>150</v>
      </c>
      <c r="D105">
        <v>0.44462050471675502</v>
      </c>
      <c r="E105">
        <v>109.75236640502401</v>
      </c>
      <c r="F105">
        <v>1.7029442905952401</v>
      </c>
      <c r="G105">
        <v>-1829.3028202166379</v>
      </c>
      <c r="H105">
        <v>-1496.9930291473656</v>
      </c>
      <c r="I105">
        <v>318.26210146738799</v>
      </c>
      <c r="J105">
        <v>162.497881534621</v>
      </c>
      <c r="K105">
        <v>64.448594713959807</v>
      </c>
      <c r="L105">
        <v>0.71755077001248724</v>
      </c>
      <c r="M105">
        <v>-0.71691767246908877</v>
      </c>
      <c r="N105">
        <v>46.214286894404403</v>
      </c>
      <c r="O105">
        <v>46.214313614896199</v>
      </c>
      <c r="P105">
        <v>46.214271519114703</v>
      </c>
      <c r="Q105" t="s">
        <v>51</v>
      </c>
    </row>
    <row r="106" spans="1:17" x14ac:dyDescent="0.2">
      <c r="A106">
        <v>105</v>
      </c>
      <c r="B106">
        <v>770</v>
      </c>
      <c r="C106">
        <v>150</v>
      </c>
      <c r="D106">
        <v>0.44402099410439499</v>
      </c>
      <c r="E106">
        <v>109.75240092167201</v>
      </c>
      <c r="F106">
        <v>1.70070909288182</v>
      </c>
      <c r="G106">
        <v>-1828.9853678730399</v>
      </c>
      <c r="H106">
        <v>-1497.5190581094425</v>
      </c>
      <c r="I106">
        <v>317.75867088764301</v>
      </c>
      <c r="J106">
        <v>162.48286700964599</v>
      </c>
      <c r="K106">
        <v>64.533318120678203</v>
      </c>
      <c r="L106">
        <v>0.70069089759562853</v>
      </c>
      <c r="M106">
        <v>-0.70004704724864297</v>
      </c>
      <c r="N106">
        <v>45.186466796906501</v>
      </c>
      <c r="O106">
        <v>45.186493825228297</v>
      </c>
      <c r="P106">
        <v>45.18645093141</v>
      </c>
      <c r="Q106" t="s">
        <v>51</v>
      </c>
    </row>
    <row r="107" spans="1:17" x14ac:dyDescent="0.2">
      <c r="A107">
        <v>106</v>
      </c>
      <c r="B107">
        <v>769</v>
      </c>
      <c r="C107">
        <v>150</v>
      </c>
      <c r="D107">
        <v>0.44342033296550898</v>
      </c>
      <c r="E107">
        <v>109.752434802511</v>
      </c>
      <c r="F107">
        <v>1.6983646984629399</v>
      </c>
      <c r="G107">
        <v>-1828.6684155613743</v>
      </c>
      <c r="H107">
        <v>-1498.0603356421404</v>
      </c>
      <c r="I107">
        <v>317.240124872134</v>
      </c>
      <c r="J107">
        <v>162.468095985199</v>
      </c>
      <c r="K107">
        <v>64.622418790168894</v>
      </c>
      <c r="L107">
        <v>0.68305879288713856</v>
      </c>
      <c r="M107">
        <v>-0.68240375738625958</v>
      </c>
      <c r="N107">
        <v>44.108853964991397</v>
      </c>
      <c r="O107">
        <v>44.108881313336603</v>
      </c>
      <c r="P107">
        <v>44.108837586904002</v>
      </c>
      <c r="Q107" t="s">
        <v>51</v>
      </c>
    </row>
    <row r="108" spans="1:17" x14ac:dyDescent="0.2">
      <c r="A108">
        <v>107</v>
      </c>
      <c r="B108">
        <v>768</v>
      </c>
      <c r="C108">
        <v>150</v>
      </c>
      <c r="D108">
        <v>0.442818517984921</v>
      </c>
      <c r="E108">
        <v>109.752467790298</v>
      </c>
      <c r="F108">
        <v>1.6958453547644801</v>
      </c>
      <c r="G108">
        <v>-1828.3519777704994</v>
      </c>
      <c r="H108">
        <v>-1498.6251164614459</v>
      </c>
      <c r="I108">
        <v>316.698506722064</v>
      </c>
      <c r="J108">
        <v>162.452380247777</v>
      </c>
      <c r="K108">
        <v>64.718441149098993</v>
      </c>
      <c r="L108">
        <v>0.66423336184437964</v>
      </c>
      <c r="M108">
        <v>-0.66356647701507621</v>
      </c>
      <c r="N108">
        <v>42.9554360756729</v>
      </c>
      <c r="O108">
        <v>42.955463766479397</v>
      </c>
      <c r="P108">
        <v>42.955419155643298</v>
      </c>
      <c r="Q108" t="s">
        <v>51</v>
      </c>
    </row>
    <row r="109" spans="1:17" x14ac:dyDescent="0.2">
      <c r="A109">
        <v>108</v>
      </c>
      <c r="B109">
        <v>767</v>
      </c>
      <c r="C109">
        <v>150</v>
      </c>
      <c r="D109">
        <v>0.44221554583473799</v>
      </c>
      <c r="E109">
        <v>109.752499357793</v>
      </c>
      <c r="F109">
        <v>1.69301718227585</v>
      </c>
      <c r="G109">
        <v>-1828.0360760151391</v>
      </c>
      <c r="H109">
        <v>-1499.2302163785475</v>
      </c>
      <c r="I109">
        <v>316.11760670812299</v>
      </c>
      <c r="J109">
        <v>162.43329904519999</v>
      </c>
      <c r="K109">
        <v>64.826571464713197</v>
      </c>
      <c r="L109">
        <v>0.64335952512505823</v>
      </c>
      <c r="M109">
        <v>-0.64267965528309545</v>
      </c>
      <c r="N109">
        <v>41.673361259222297</v>
      </c>
      <c r="O109">
        <v>41.673389335988098</v>
      </c>
      <c r="P109">
        <v>41.673343753955997</v>
      </c>
      <c r="Q109" t="s">
        <v>51</v>
      </c>
    </row>
    <row r="110" spans="1:17" x14ac:dyDescent="0.2">
      <c r="A110">
        <v>109</v>
      </c>
      <c r="B110">
        <v>766</v>
      </c>
      <c r="C110">
        <v>150</v>
      </c>
      <c r="D110">
        <v>0.44161141317423203</v>
      </c>
      <c r="E110">
        <v>109.752528098429</v>
      </c>
      <c r="F110">
        <v>1.68952911308127</v>
      </c>
      <c r="G110">
        <v>-1827.7207440324742</v>
      </c>
      <c r="H110">
        <v>-1499.919934933786</v>
      </c>
      <c r="I110">
        <v>315.45472081886101</v>
      </c>
      <c r="J110">
        <v>162.40437920210101</v>
      </c>
      <c r="K110">
        <v>64.960424326911095</v>
      </c>
      <c r="L110">
        <v>0.61819099207961581</v>
      </c>
      <c r="M110">
        <v>-0.61749576444676813</v>
      </c>
      <c r="N110">
        <v>40.1236645117107</v>
      </c>
      <c r="O110">
        <v>40.123693073637398</v>
      </c>
      <c r="P110">
        <v>40.123646341794696</v>
      </c>
      <c r="Q110" t="s">
        <v>51</v>
      </c>
    </row>
    <row r="111" spans="1:17" x14ac:dyDescent="0.2">
      <c r="A111">
        <v>110</v>
      </c>
      <c r="B111">
        <v>765</v>
      </c>
      <c r="C111">
        <v>150</v>
      </c>
      <c r="D111">
        <v>0.44100611664981298</v>
      </c>
      <c r="E111">
        <v>109.75250778679199</v>
      </c>
      <c r="F111">
        <v>1.6733695220912499</v>
      </c>
      <c r="G111">
        <v>-1827.4060842371364</v>
      </c>
      <c r="H111">
        <v>-1502.3244938098806</v>
      </c>
      <c r="I111">
        <v>313.13965715854999</v>
      </c>
      <c r="J111">
        <v>162.093893810325</v>
      </c>
      <c r="K111">
        <v>65.587729630471699</v>
      </c>
      <c r="L111">
        <v>0.50960025697161759</v>
      </c>
      <c r="M111">
        <v>-0.50884430508188061</v>
      </c>
      <c r="N111">
        <v>33.385841656755197</v>
      </c>
      <c r="O111">
        <v>33.385872764169598</v>
      </c>
      <c r="P111">
        <v>33.385821512607002</v>
      </c>
      <c r="Q111" t="s">
        <v>51</v>
      </c>
    </row>
    <row r="112" spans="1:17" x14ac:dyDescent="0.2">
      <c r="A112">
        <v>111</v>
      </c>
      <c r="B112">
        <v>764</v>
      </c>
      <c r="C112">
        <v>150</v>
      </c>
      <c r="D112">
        <v>0.44039965289495597</v>
      </c>
      <c r="E112">
        <v>109.76007515379899</v>
      </c>
      <c r="F112">
        <v>1.64138545069759</v>
      </c>
      <c r="G112">
        <v>-1827.2182306381933</v>
      </c>
      <c r="H112">
        <v>-1507.157183166579</v>
      </c>
      <c r="I112">
        <v>308.60159812069799</v>
      </c>
      <c r="J112">
        <v>161.36746188429399</v>
      </c>
      <c r="K112">
        <v>66.870383862091103</v>
      </c>
      <c r="L112">
        <v>0.30007833193024908</v>
      </c>
      <c r="M112">
        <v>-0.29920555648871727</v>
      </c>
      <c r="N112">
        <v>20.021935939610898</v>
      </c>
      <c r="O112">
        <v>20.021972250384501</v>
      </c>
      <c r="P112">
        <v>20.021912049780401</v>
      </c>
      <c r="Q112" t="s">
        <v>51</v>
      </c>
    </row>
    <row r="113" spans="1:17" x14ac:dyDescent="0.2">
      <c r="A113">
        <v>112</v>
      </c>
      <c r="B113">
        <v>763</v>
      </c>
      <c r="C113">
        <v>150</v>
      </c>
      <c r="D113">
        <v>0.43979201853014099</v>
      </c>
      <c r="E113">
        <v>109.764285148119</v>
      </c>
      <c r="F113">
        <v>1.6221769178908501</v>
      </c>
      <c r="G113">
        <v>-1826.9798026990718</v>
      </c>
      <c r="H113">
        <v>-1510.3330042255898</v>
      </c>
      <c r="I113">
        <v>305.60476986414102</v>
      </c>
      <c r="J113">
        <v>160.893430051991</v>
      </c>
      <c r="K113">
        <v>67.664805199444103</v>
      </c>
      <c r="L113">
        <v>0.16957283313816904</v>
      </c>
      <c r="M113">
        <v>-0.16862737802833003</v>
      </c>
      <c r="N113">
        <v>11.4253748284063</v>
      </c>
      <c r="O113">
        <v>11.4254143108371</v>
      </c>
      <c r="P113">
        <v>11.4253483571778</v>
      </c>
      <c r="Q113" t="s">
        <v>51</v>
      </c>
    </row>
    <row r="114" spans="1:17" x14ac:dyDescent="0.2">
      <c r="A114">
        <v>113</v>
      </c>
      <c r="B114">
        <v>762</v>
      </c>
      <c r="C114">
        <v>150</v>
      </c>
      <c r="D114">
        <v>0.439183210162781</v>
      </c>
      <c r="E114">
        <v>109.764474036233</v>
      </c>
      <c r="F114">
        <v>1.61229183544027</v>
      </c>
      <c r="G114">
        <v>-1826.6782942594805</v>
      </c>
      <c r="H114">
        <v>-1512.164867384445</v>
      </c>
      <c r="I114">
        <v>303.83932926601</v>
      </c>
      <c r="J114">
        <v>160.63451202201301</v>
      </c>
      <c r="K114">
        <v>68.079780362008094</v>
      </c>
      <c r="L114">
        <v>9.7548606330187554E-2</v>
      </c>
      <c r="M114">
        <v>-9.6562953310134564E-2</v>
      </c>
      <c r="N114">
        <v>6.5899220566532097</v>
      </c>
      <c r="O114">
        <v>6.5899631417075399</v>
      </c>
      <c r="P114">
        <v>6.5898939427168397</v>
      </c>
      <c r="Q114" t="s">
        <v>51</v>
      </c>
    </row>
    <row r="115" spans="1:17" x14ac:dyDescent="0.2">
      <c r="A115">
        <v>114</v>
      </c>
      <c r="B115">
        <v>761</v>
      </c>
      <c r="C115">
        <v>150</v>
      </c>
      <c r="D115">
        <v>0.43857322438717999</v>
      </c>
      <c r="E115">
        <v>109.76442963498501</v>
      </c>
      <c r="F115">
        <v>1.60888003731538</v>
      </c>
      <c r="G115">
        <v>-1826.3741910468648</v>
      </c>
      <c r="H115">
        <v>-1513.0415522697865</v>
      </c>
      <c r="I115">
        <v>302.991450895274</v>
      </c>
      <c r="J115">
        <v>160.55231327764801</v>
      </c>
      <c r="K115">
        <v>68.224123047819504</v>
      </c>
      <c r="L115">
        <v>6.70573014884637E-2</v>
      </c>
      <c r="M115">
        <v>-6.6054466846659027E-2</v>
      </c>
      <c r="N115">
        <v>4.5227179817016196</v>
      </c>
      <c r="O115">
        <v>4.5227595383750199</v>
      </c>
      <c r="P115">
        <v>4.5226889305499904</v>
      </c>
      <c r="Q115" t="s">
        <v>51</v>
      </c>
    </row>
    <row r="116" spans="1:17" x14ac:dyDescent="0.2">
      <c r="A116">
        <v>115</v>
      </c>
      <c r="B116">
        <v>788</v>
      </c>
      <c r="C116">
        <v>125</v>
      </c>
      <c r="D116">
        <v>0.48055458700466802</v>
      </c>
      <c r="E116">
        <v>109.752148638854</v>
      </c>
      <c r="F116">
        <v>1.5827674048776801</v>
      </c>
      <c r="G116">
        <v>-1836.4116212377487</v>
      </c>
      <c r="H116">
        <v>-1494.4422685152488</v>
      </c>
      <c r="I116">
        <v>322.26653347103098</v>
      </c>
      <c r="J116">
        <v>162.45283966822601</v>
      </c>
      <c r="K116">
        <v>69.341931291121199</v>
      </c>
      <c r="L116">
        <v>0.67724893227835459</v>
      </c>
      <c r="M116">
        <v>-0.67642850762465234</v>
      </c>
      <c r="N116">
        <v>46.921911769444598</v>
      </c>
      <c r="O116">
        <v>46.921974711547399</v>
      </c>
      <c r="P116">
        <v>46.921907455406803</v>
      </c>
      <c r="Q116" t="s">
        <v>51</v>
      </c>
    </row>
    <row r="117" spans="1:17" x14ac:dyDescent="0.2">
      <c r="A117">
        <v>116</v>
      </c>
      <c r="B117">
        <v>787</v>
      </c>
      <c r="C117">
        <v>125</v>
      </c>
      <c r="D117">
        <v>0.479998585105882</v>
      </c>
      <c r="E117">
        <v>109.752171784433</v>
      </c>
      <c r="F117">
        <v>1.58325252143944</v>
      </c>
      <c r="G117">
        <v>-1836.0898196815078</v>
      </c>
      <c r="H117">
        <v>-1494.6516748123088</v>
      </c>
      <c r="I117">
        <v>322.06945426228702</v>
      </c>
      <c r="J117">
        <v>162.451724794298</v>
      </c>
      <c r="K117">
        <v>69.320699192476496</v>
      </c>
      <c r="L117">
        <v>0.67568747903412452</v>
      </c>
      <c r="M117">
        <v>-0.67486512839416279</v>
      </c>
      <c r="N117">
        <v>46.799176071388203</v>
      </c>
      <c r="O117">
        <v>46.799239084640803</v>
      </c>
      <c r="P117">
        <v>46.7991716486817</v>
      </c>
      <c r="Q117" t="s">
        <v>51</v>
      </c>
    </row>
    <row r="118" spans="1:17" x14ac:dyDescent="0.2">
      <c r="A118">
        <v>117</v>
      </c>
      <c r="B118">
        <v>786</v>
      </c>
      <c r="C118">
        <v>125</v>
      </c>
      <c r="D118">
        <v>0.47944153330501299</v>
      </c>
      <c r="E118">
        <v>109.75219232773701</v>
      </c>
      <c r="F118">
        <v>1.58339675076915</v>
      </c>
      <c r="G118">
        <v>-1835.768193912809</v>
      </c>
      <c r="H118">
        <v>-1494.8885815250344</v>
      </c>
      <c r="I118">
        <v>321.846208768981</v>
      </c>
      <c r="J118">
        <v>162.440604213596</v>
      </c>
      <c r="K118">
        <v>69.314397844017506</v>
      </c>
      <c r="L118">
        <v>0.67297393040887143</v>
      </c>
      <c r="M118">
        <v>-0.67214877020244013</v>
      </c>
      <c r="N118">
        <v>46.6066629194288</v>
      </c>
      <c r="O118">
        <v>46.606726081522702</v>
      </c>
      <c r="P118">
        <v>46.606658380158002</v>
      </c>
      <c r="Q118" t="s">
        <v>51</v>
      </c>
    </row>
    <row r="119" spans="1:17" x14ac:dyDescent="0.2">
      <c r="A119">
        <v>118</v>
      </c>
      <c r="B119">
        <v>785</v>
      </c>
      <c r="C119">
        <v>125</v>
      </c>
      <c r="D119">
        <v>0.47888342862543298</v>
      </c>
      <c r="E119">
        <v>109.752212874156</v>
      </c>
      <c r="F119">
        <v>1.5835470640559799</v>
      </c>
      <c r="G119">
        <v>-1835.4467914265754</v>
      </c>
      <c r="H119">
        <v>-1495.1253080096399</v>
      </c>
      <c r="I119">
        <v>321.62292265474002</v>
      </c>
      <c r="J119">
        <v>162.430178476408</v>
      </c>
      <c r="K119">
        <v>69.307831365014593</v>
      </c>
      <c r="L119">
        <v>0.67026085251541123</v>
      </c>
      <c r="M119">
        <v>-0.66943288140108637</v>
      </c>
      <c r="N119">
        <v>46.414038725496098</v>
      </c>
      <c r="O119">
        <v>46.414102033893499</v>
      </c>
      <c r="P119">
        <v>46.414034066392702</v>
      </c>
      <c r="Q119" t="s">
        <v>51</v>
      </c>
    </row>
    <row r="120" spans="1:17" x14ac:dyDescent="0.2">
      <c r="A120">
        <v>119</v>
      </c>
      <c r="B120">
        <v>784</v>
      </c>
      <c r="C120">
        <v>125</v>
      </c>
      <c r="D120">
        <v>0.47832426807926898</v>
      </c>
      <c r="E120">
        <v>109.75223342616999</v>
      </c>
      <c r="F120">
        <v>1.5837038423673699</v>
      </c>
      <c r="G120">
        <v>-1835.1256122919233</v>
      </c>
      <c r="H120">
        <v>-1495.3618287112142</v>
      </c>
      <c r="I120">
        <v>321.399620038009</v>
      </c>
      <c r="J120">
        <v>162.42045567659301</v>
      </c>
      <c r="K120">
        <v>69.300983233145999</v>
      </c>
      <c r="L120">
        <v>0.66754938428493527</v>
      </c>
      <c r="M120">
        <v>-0.66671860193538557</v>
      </c>
      <c r="N120">
        <v>46.221373598800803</v>
      </c>
      <c r="O120">
        <v>46.221437050812902</v>
      </c>
      <c r="P120">
        <v>46.221368816533001</v>
      </c>
      <c r="Q120" t="s">
        <v>51</v>
      </c>
    </row>
    <row r="121" spans="1:17" x14ac:dyDescent="0.2">
      <c r="A121">
        <v>120</v>
      </c>
      <c r="B121">
        <v>783</v>
      </c>
      <c r="C121">
        <v>125</v>
      </c>
      <c r="D121">
        <v>0.47776404866733202</v>
      </c>
      <c r="E121">
        <v>109.75225398632701</v>
      </c>
      <c r="F121">
        <v>1.5838674528457299</v>
      </c>
      <c r="G121">
        <v>-1834.8046565553093</v>
      </c>
      <c r="H121">
        <v>-1495.5981189170188</v>
      </c>
      <c r="I121">
        <v>321.17632430985702</v>
      </c>
      <c r="J121">
        <v>162.41144363550299</v>
      </c>
      <c r="K121">
        <v>69.293837555115601</v>
      </c>
      <c r="L121">
        <v>0.6648406306482586</v>
      </c>
      <c r="M121">
        <v>-0.66400703772463177</v>
      </c>
      <c r="N121">
        <v>46.028735855362001</v>
      </c>
      <c r="O121">
        <v>46.028799448150302</v>
      </c>
      <c r="P121">
        <v>46.028730946533699</v>
      </c>
      <c r="Q121" t="s">
        <v>51</v>
      </c>
    </row>
    <row r="122" spans="1:17" x14ac:dyDescent="0.2">
      <c r="A122">
        <v>121</v>
      </c>
      <c r="B122">
        <v>782</v>
      </c>
      <c r="C122">
        <v>125</v>
      </c>
      <c r="D122">
        <v>0.47720276737904699</v>
      </c>
      <c r="E122">
        <v>109.75227455716301</v>
      </c>
      <c r="F122">
        <v>1.5840382478077999</v>
      </c>
      <c r="G122">
        <v>-1834.4839242400126</v>
      </c>
      <c r="H122">
        <v>-1495.8341548308997</v>
      </c>
      <c r="I122">
        <v>320.95305805953501</v>
      </c>
      <c r="J122">
        <v>162.40314990923301</v>
      </c>
      <c r="K122">
        <v>69.286379106724894</v>
      </c>
      <c r="L122">
        <v>0.6621356590878037</v>
      </c>
      <c r="M122">
        <v>-0.6612992572113533</v>
      </c>
      <c r="N122">
        <v>45.8361917945657</v>
      </c>
      <c r="O122">
        <v>45.836255525144303</v>
      </c>
      <c r="P122">
        <v>45.8361867557159</v>
      </c>
      <c r="Q122" t="s">
        <v>51</v>
      </c>
    </row>
    <row r="123" spans="1:17" x14ac:dyDescent="0.2">
      <c r="A123">
        <v>122</v>
      </c>
      <c r="B123">
        <v>781</v>
      </c>
      <c r="C123">
        <v>125</v>
      </c>
      <c r="D123">
        <v>0.476640421192431</v>
      </c>
      <c r="E123">
        <v>109.75229514121401</v>
      </c>
      <c r="F123">
        <v>1.58421656402593</v>
      </c>
      <c r="G123">
        <v>-1834.1634153471221</v>
      </c>
      <c r="H123">
        <v>-1496.0699136365929</v>
      </c>
      <c r="I123">
        <v>320.72984301156299</v>
      </c>
      <c r="J123">
        <v>162.39558179941099</v>
      </c>
      <c r="K123">
        <v>69.278593364977695</v>
      </c>
      <c r="L123">
        <v>0.6594354967368824</v>
      </c>
      <c r="M123">
        <v>-0.65859628845827334</v>
      </c>
      <c r="N123">
        <v>45.643805507761101</v>
      </c>
      <c r="O123">
        <v>45.643869372998303</v>
      </c>
      <c r="P123">
        <v>45.643800335362798</v>
      </c>
      <c r="Q123" t="s">
        <v>51</v>
      </c>
    </row>
    <row r="124" spans="1:17" x14ac:dyDescent="0.2">
      <c r="A124">
        <v>123</v>
      </c>
      <c r="B124">
        <v>780</v>
      </c>
      <c r="C124">
        <v>125</v>
      </c>
      <c r="D124">
        <v>0.47607700707401701</v>
      </c>
      <c r="E124">
        <v>109.75232221791499</v>
      </c>
      <c r="F124">
        <v>1.5830728467515001</v>
      </c>
      <c r="G124">
        <v>-1833.8432710440618</v>
      </c>
      <c r="H124">
        <v>-1496.4489096177476</v>
      </c>
      <c r="I124">
        <v>320.37056417505403</v>
      </c>
      <c r="J124">
        <v>162.3704405069</v>
      </c>
      <c r="K124">
        <v>69.328661939423199</v>
      </c>
      <c r="L124">
        <v>0.65010824354094576</v>
      </c>
      <c r="M124">
        <v>-0.64926176430331861</v>
      </c>
      <c r="N124">
        <v>45.029754942486001</v>
      </c>
      <c r="O124">
        <v>45.029819329345699</v>
      </c>
      <c r="P124">
        <v>45.029749603493201</v>
      </c>
      <c r="Q124" t="s">
        <v>51</v>
      </c>
    </row>
    <row r="125" spans="1:17" x14ac:dyDescent="0.2">
      <c r="A125">
        <v>124</v>
      </c>
      <c r="B125">
        <v>779</v>
      </c>
      <c r="C125">
        <v>125</v>
      </c>
      <c r="D125">
        <v>0.475512521978807</v>
      </c>
      <c r="E125">
        <v>109.752354786423</v>
      </c>
      <c r="F125">
        <v>1.58064656025654</v>
      </c>
      <c r="G125">
        <v>-1833.5236737145572</v>
      </c>
      <c r="H125">
        <v>-1496.9679133236004</v>
      </c>
      <c r="I125">
        <v>319.87807589166403</v>
      </c>
      <c r="J125">
        <v>162.32810507196601</v>
      </c>
      <c r="K125">
        <v>69.435101777977593</v>
      </c>
      <c r="L125">
        <v>0.63428801488784259</v>
      </c>
      <c r="M125">
        <v>-0.63342990632921858</v>
      </c>
      <c r="N125">
        <v>43.999801713911502</v>
      </c>
      <c r="O125">
        <v>43.999867000671003</v>
      </c>
      <c r="P125">
        <v>43.999796173756799</v>
      </c>
      <c r="Q125" t="s">
        <v>51</v>
      </c>
    </row>
    <row r="126" spans="1:17" x14ac:dyDescent="0.2">
      <c r="A126">
        <v>125</v>
      </c>
      <c r="B126">
        <v>778</v>
      </c>
      <c r="C126">
        <v>125</v>
      </c>
      <c r="D126">
        <v>0.47494696285021398</v>
      </c>
      <c r="E126">
        <v>109.752386632784</v>
      </c>
      <c r="F126">
        <v>1.5780875028406001</v>
      </c>
      <c r="G126">
        <v>-1833.2045644697976</v>
      </c>
      <c r="H126">
        <v>-1497.5032994243372</v>
      </c>
      <c r="I126">
        <v>319.36953234817798</v>
      </c>
      <c r="J126">
        <v>162.28379818264099</v>
      </c>
      <c r="K126">
        <v>69.547719271096994</v>
      </c>
      <c r="L126">
        <v>0.61767028054644757</v>
      </c>
      <c r="M126">
        <v>-0.61680003879075318</v>
      </c>
      <c r="N126">
        <v>42.914805037308902</v>
      </c>
      <c r="O126">
        <v>42.914871265841803</v>
      </c>
      <c r="P126">
        <v>42.9147992857635</v>
      </c>
      <c r="Q126" t="s">
        <v>51</v>
      </c>
    </row>
    <row r="127" spans="1:17" x14ac:dyDescent="0.2">
      <c r="A127">
        <v>126</v>
      </c>
      <c r="B127">
        <v>777</v>
      </c>
      <c r="C127">
        <v>125</v>
      </c>
      <c r="D127">
        <v>0.47438032662001101</v>
      </c>
      <c r="E127">
        <v>109.752417440532</v>
      </c>
      <c r="F127">
        <v>1.5753124842666699</v>
      </c>
      <c r="G127">
        <v>-1832.8859581828326</v>
      </c>
      <c r="H127">
        <v>-1498.0643609039385</v>
      </c>
      <c r="I127">
        <v>318.83605408155898</v>
      </c>
      <c r="J127">
        <v>162.23528638538801</v>
      </c>
      <c r="K127">
        <v>69.670251798723498</v>
      </c>
      <c r="L127">
        <v>0.59980230905606624</v>
      </c>
      <c r="M127">
        <v>-0.59891915052419709</v>
      </c>
      <c r="N127">
        <v>41.7448723933366</v>
      </c>
      <c r="O127">
        <v>41.744939630184</v>
      </c>
      <c r="P127">
        <v>41.744866417671901</v>
      </c>
      <c r="Q127" t="s">
        <v>51</v>
      </c>
    </row>
    <row r="128" spans="1:17" x14ac:dyDescent="0.2">
      <c r="A128">
        <v>127</v>
      </c>
      <c r="B128">
        <v>776</v>
      </c>
      <c r="C128">
        <v>125</v>
      </c>
      <c r="D128">
        <v>0.47381261020826598</v>
      </c>
      <c r="E128">
        <v>109.752446561716</v>
      </c>
      <c r="F128">
        <v>1.5721538284180701</v>
      </c>
      <c r="G128">
        <v>-1832.5678770334614</v>
      </c>
      <c r="H128">
        <v>-1498.6698944644468</v>
      </c>
      <c r="I128">
        <v>318.25967770972198</v>
      </c>
      <c r="J128">
        <v>162.17805556974</v>
      </c>
      <c r="K128">
        <v>69.810246667879198</v>
      </c>
      <c r="L128">
        <v>0.57977200096180637</v>
      </c>
      <c r="M128">
        <v>-0.57887457844874768</v>
      </c>
      <c r="N128">
        <v>40.429687992051697</v>
      </c>
      <c r="O128">
        <v>40.4297563536784</v>
      </c>
      <c r="P128">
        <v>40.429681774680603</v>
      </c>
      <c r="Q128" t="s">
        <v>51</v>
      </c>
    </row>
    <row r="129" spans="1:17" x14ac:dyDescent="0.2">
      <c r="A129">
        <v>128</v>
      </c>
      <c r="B129">
        <v>775</v>
      </c>
      <c r="C129">
        <v>125</v>
      </c>
      <c r="D129">
        <v>0.473243810523307</v>
      </c>
      <c r="E129">
        <v>109.752472313802</v>
      </c>
      <c r="F129">
        <v>1.5681881613222399</v>
      </c>
      <c r="G129">
        <v>-1832.2503552852806</v>
      </c>
      <c r="H129">
        <v>-1499.3677076457068</v>
      </c>
      <c r="I129">
        <v>317.59470913779398</v>
      </c>
      <c r="J129">
        <v>162.10053982197201</v>
      </c>
      <c r="K129">
        <v>69.986800704618503</v>
      </c>
      <c r="L129">
        <v>0.55526889611972441</v>
      </c>
      <c r="M129">
        <v>-0.55435443788214611</v>
      </c>
      <c r="N129">
        <v>38.816156025829798</v>
      </c>
      <c r="O129">
        <v>38.816225755312701</v>
      </c>
      <c r="P129">
        <v>38.816149537189403</v>
      </c>
      <c r="Q129" t="s">
        <v>51</v>
      </c>
    </row>
    <row r="130" spans="1:17" x14ac:dyDescent="0.2">
      <c r="A130">
        <v>129</v>
      </c>
      <c r="B130">
        <v>774</v>
      </c>
      <c r="C130">
        <v>125</v>
      </c>
      <c r="D130">
        <v>0.47267392446163797</v>
      </c>
      <c r="E130">
        <v>109.75246879042299</v>
      </c>
      <c r="F130">
        <v>1.5563355786412501</v>
      </c>
      <c r="G130">
        <v>-1831.9333220558958</v>
      </c>
      <c r="H130">
        <v>-1501.0044999334061</v>
      </c>
      <c r="I130">
        <v>316.03237576151298</v>
      </c>
      <c r="J130">
        <v>161.788538341855</v>
      </c>
      <c r="K130">
        <v>70.519796820581803</v>
      </c>
      <c r="L130">
        <v>0.48692202059063427</v>
      </c>
      <c r="M130">
        <v>-0.48596372042210911</v>
      </c>
      <c r="N130">
        <v>34.289714356667801</v>
      </c>
      <c r="O130">
        <v>34.289787836418398</v>
      </c>
      <c r="P130">
        <v>34.2897073727435</v>
      </c>
      <c r="Q130" t="s">
        <v>51</v>
      </c>
    </row>
    <row r="131" spans="1:17" x14ac:dyDescent="0.2">
      <c r="A131">
        <v>130</v>
      </c>
      <c r="B131">
        <v>773</v>
      </c>
      <c r="C131">
        <v>125</v>
      </c>
      <c r="D131">
        <v>0.472102948907902</v>
      </c>
      <c r="E131">
        <v>109.752445706971</v>
      </c>
      <c r="F131">
        <v>1.5432843934116001</v>
      </c>
      <c r="G131">
        <v>-1831.6178243864817</v>
      </c>
      <c r="H131">
        <v>-1502.8434058971604</v>
      </c>
      <c r="I131">
        <v>314.27535302481198</v>
      </c>
      <c r="J131">
        <v>161.42082298492201</v>
      </c>
      <c r="K131">
        <v>71.116150837469206</v>
      </c>
      <c r="L131">
        <v>0.41051598350876278</v>
      </c>
      <c r="M131">
        <v>-0.40950923495817931</v>
      </c>
      <c r="N131">
        <v>29.143482129134998</v>
      </c>
      <c r="O131">
        <v>29.143559813987299</v>
      </c>
      <c r="P131">
        <v>29.1434745858474</v>
      </c>
      <c r="Q131" t="s">
        <v>51</v>
      </c>
    </row>
    <row r="132" spans="1:17" x14ac:dyDescent="0.2">
      <c r="A132">
        <v>131</v>
      </c>
      <c r="B132">
        <v>772</v>
      </c>
      <c r="C132">
        <v>125</v>
      </c>
      <c r="D132">
        <v>0.47153088073482102</v>
      </c>
      <c r="E132">
        <v>109.762896763299</v>
      </c>
      <c r="F132">
        <v>1.50729389280244</v>
      </c>
      <c r="G132">
        <v>-1831.4773344732564</v>
      </c>
      <c r="H132">
        <v>-1507.8352706441292</v>
      </c>
      <c r="I132">
        <v>309.66609054229502</v>
      </c>
      <c r="J132">
        <v>160.25757612518899</v>
      </c>
      <c r="K132">
        <v>72.821164662998598</v>
      </c>
      <c r="L132">
        <v>0.21056649136533978</v>
      </c>
      <c r="M132">
        <v>-0.20943395270569595</v>
      </c>
      <c r="N132">
        <v>15.275051756337501</v>
      </c>
      <c r="O132">
        <v>15.275140973793</v>
      </c>
      <c r="P132">
        <v>15.2750429397323</v>
      </c>
      <c r="Q132" t="s">
        <v>51</v>
      </c>
    </row>
    <row r="133" spans="1:17" x14ac:dyDescent="0.2">
      <c r="A133">
        <v>132</v>
      </c>
      <c r="B133">
        <v>771</v>
      </c>
      <c r="C133">
        <v>125</v>
      </c>
      <c r="D133">
        <v>0.47095771680314102</v>
      </c>
      <c r="E133">
        <v>109.764899172274</v>
      </c>
      <c r="F133">
        <v>1.49333445091268</v>
      </c>
      <c r="G133">
        <v>-1831.2013666006212</v>
      </c>
      <c r="H133">
        <v>-1510.039585723576</v>
      </c>
      <c r="I133">
        <v>307.58754408387</v>
      </c>
      <c r="J133">
        <v>159.77034910206399</v>
      </c>
      <c r="K133">
        <v>73.503225687446403</v>
      </c>
      <c r="L133">
        <v>0.12750761670012148</v>
      </c>
      <c r="M133">
        <v>-0.12632248204397611</v>
      </c>
      <c r="N133">
        <v>9.3102110786018706</v>
      </c>
      <c r="O133">
        <v>9.3103051259177594</v>
      </c>
      <c r="P133">
        <v>9.3102015749639904</v>
      </c>
      <c r="Q133" t="s">
        <v>51</v>
      </c>
    </row>
    <row r="134" spans="1:17" x14ac:dyDescent="0.2">
      <c r="A134">
        <v>133</v>
      </c>
      <c r="B134">
        <v>770</v>
      </c>
      <c r="C134">
        <v>125</v>
      </c>
      <c r="D134">
        <v>0.47038345396155901</v>
      </c>
      <c r="E134">
        <v>109.76491336698599</v>
      </c>
      <c r="F134">
        <v>1.4863510678223599</v>
      </c>
      <c r="G134">
        <v>-1830.8947001586268</v>
      </c>
      <c r="H134">
        <v>-1511.3266283239204</v>
      </c>
      <c r="I134">
        <v>306.354784155201</v>
      </c>
      <c r="J134">
        <v>159.51503583649699</v>
      </c>
      <c r="K134">
        <v>73.848578403352505</v>
      </c>
      <c r="L134">
        <v>8.1923518763399997E-2</v>
      </c>
      <c r="M134">
        <v>-8.0709121202043821E-2</v>
      </c>
      <c r="N134">
        <v>5.9860346473521497</v>
      </c>
      <c r="O134">
        <v>5.9861313001662104</v>
      </c>
      <c r="P134">
        <v>5.9860246478935899</v>
      </c>
      <c r="Q134" t="s">
        <v>51</v>
      </c>
    </row>
    <row r="135" spans="1:17" x14ac:dyDescent="0.2">
      <c r="A135">
        <v>134</v>
      </c>
      <c r="B135">
        <v>769</v>
      </c>
      <c r="C135">
        <v>125</v>
      </c>
      <c r="D135">
        <v>0.46980808904668597</v>
      </c>
      <c r="E135">
        <v>109.764785669454</v>
      </c>
      <c r="F135">
        <v>1.48376747020706</v>
      </c>
      <c r="G135">
        <v>-1830.5866249505107</v>
      </c>
      <c r="H135">
        <v>-1512.0232460857555</v>
      </c>
      <c r="I135">
        <v>305.68476706993999</v>
      </c>
      <c r="J135">
        <v>159.421090476931</v>
      </c>
      <c r="K135">
        <v>73.9770805557133</v>
      </c>
      <c r="L135">
        <v>6.0362673897786913E-2</v>
      </c>
      <c r="M135">
        <v>-5.9133940316584303E-2</v>
      </c>
      <c r="N135">
        <v>4.4006291101637496</v>
      </c>
      <c r="O135">
        <v>4.4007269145374304</v>
      </c>
      <c r="P135">
        <v>4.4006187436073496</v>
      </c>
      <c r="Q135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6857B-F9D2-489D-B232-9CD857272C4F}">
  <sheetPr codeName="Sheet4"/>
  <dimension ref="A1:AI135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763</v>
      </c>
      <c r="C2">
        <v>275</v>
      </c>
      <c r="D2">
        <v>0.30708922453313198</v>
      </c>
      <c r="E2">
        <v>105.66368861765299</v>
      </c>
      <c r="F2">
        <v>2.1894582579280502</v>
      </c>
      <c r="G2">
        <v>-1730.5813957989008</v>
      </c>
      <c r="H2">
        <v>-1441.6410091716232</v>
      </c>
      <c r="I2">
        <v>278.859611665567</v>
      </c>
      <c r="J2">
        <v>143.09418404069399</v>
      </c>
      <c r="K2">
        <v>48.260197806943403</v>
      </c>
      <c r="L2">
        <v>1.600326955371466E-4</v>
      </c>
      <c r="M2">
        <v>1.789068113806413E-5</v>
      </c>
      <c r="N2" s="1">
        <v>3.8120872433405901E-6</v>
      </c>
      <c r="O2" s="1">
        <v>1.05983045733313E-7</v>
      </c>
      <c r="P2" s="1">
        <v>-5.3519611689839699E-7</v>
      </c>
      <c r="Q2">
        <v>72.513084676870406</v>
      </c>
      <c r="R2">
        <v>7.4765514088631899E-2</v>
      </c>
      <c r="S2">
        <v>11.811058428179299</v>
      </c>
      <c r="T2">
        <v>0.173951307330313</v>
      </c>
      <c r="V2">
        <v>0.43024402396975298</v>
      </c>
      <c r="W2">
        <v>2.4606371725372299E-2</v>
      </c>
      <c r="X2">
        <v>5.6783934750860403E-2</v>
      </c>
      <c r="AA2">
        <v>0.50159142363259301</v>
      </c>
      <c r="AB2">
        <v>3.7666676718069998</v>
      </c>
      <c r="AC2">
        <v>4.2209391498138498</v>
      </c>
      <c r="AD2">
        <v>3.78559565005722E-3</v>
      </c>
      <c r="AE2">
        <v>6.4225219021817601</v>
      </c>
    </row>
    <row r="3" spans="1:35" x14ac:dyDescent="0.2">
      <c r="A3">
        <v>2</v>
      </c>
      <c r="B3">
        <v>762</v>
      </c>
      <c r="C3">
        <v>275</v>
      </c>
      <c r="D3">
        <v>0.306352219485102</v>
      </c>
      <c r="E3">
        <v>105.604245134793</v>
      </c>
      <c r="F3">
        <v>2.1898498421840098</v>
      </c>
      <c r="G3">
        <v>-1729.3127976683134</v>
      </c>
      <c r="H3">
        <v>-1440.9509048738807</v>
      </c>
      <c r="I3">
        <v>278.57015195327398</v>
      </c>
      <c r="J3">
        <v>143.00528088392201</v>
      </c>
      <c r="K3">
        <v>48.224423017731198</v>
      </c>
      <c r="L3">
        <v>1.5999734980128881E-4</v>
      </c>
      <c r="M3">
        <v>1.7882094794000926E-5</v>
      </c>
      <c r="N3" s="1">
        <v>3.81451182875232E-6</v>
      </c>
      <c r="O3" s="1">
        <v>1.05839250358632E-7</v>
      </c>
      <c r="P3" s="1">
        <v>-5.3486004246194398E-7</v>
      </c>
      <c r="Q3">
        <v>72.501076301092098</v>
      </c>
      <c r="R3">
        <v>7.4807598784655302E-2</v>
      </c>
      <c r="S3">
        <v>11.8177067447161</v>
      </c>
      <c r="T3">
        <v>0.17433537073700101</v>
      </c>
      <c r="V3">
        <v>0.43022872444339899</v>
      </c>
      <c r="W3">
        <v>2.4620222384822799E-2</v>
      </c>
      <c r="X3">
        <v>5.6815897811131999E-2</v>
      </c>
      <c r="AA3">
        <v>0.50187376399831896</v>
      </c>
      <c r="AB3">
        <v>3.7687878881382799</v>
      </c>
      <c r="AC3">
        <v>4.2233150706272804</v>
      </c>
      <c r="AD3">
        <v>3.7877265207418502E-3</v>
      </c>
      <c r="AE3">
        <v>6.4226446907460399</v>
      </c>
    </row>
    <row r="4" spans="1:35" x14ac:dyDescent="0.2">
      <c r="A4">
        <v>3</v>
      </c>
      <c r="B4">
        <v>761</v>
      </c>
      <c r="C4">
        <v>275</v>
      </c>
      <c r="D4">
        <v>0.30561378910216402</v>
      </c>
      <c r="E4">
        <v>105.37674550674301</v>
      </c>
      <c r="F4">
        <v>2.1903066632494199</v>
      </c>
      <c r="G4">
        <v>-1725.2573556236766</v>
      </c>
      <c r="H4">
        <v>-1437.9018470705325</v>
      </c>
      <c r="I4">
        <v>277.86637195101599</v>
      </c>
      <c r="J4">
        <v>142.70688747663499</v>
      </c>
      <c r="K4">
        <v>48.1104985319324</v>
      </c>
      <c r="L4">
        <v>1.6004528615844301E-4</v>
      </c>
      <c r="M4">
        <v>1.7874896067428322E-5</v>
      </c>
      <c r="N4" s="1">
        <v>3.8121716168599498E-6</v>
      </c>
      <c r="O4" s="1">
        <v>1.0556171717743599E-7</v>
      </c>
      <c r="P4" s="1">
        <v>-5.3409814481288295E-7</v>
      </c>
      <c r="Q4">
        <v>72.453197221381203</v>
      </c>
      <c r="R4">
        <v>7.4969102167750504E-2</v>
      </c>
      <c r="S4">
        <v>11.8432201905526</v>
      </c>
      <c r="T4">
        <v>0.175045126210505</v>
      </c>
      <c r="V4">
        <v>0.43085757355812898</v>
      </c>
      <c r="W4">
        <v>2.4673375396980501E-2</v>
      </c>
      <c r="X4">
        <v>5.6938558608420502E-2</v>
      </c>
      <c r="AA4">
        <v>0.502957267707691</v>
      </c>
      <c r="AB4">
        <v>3.7769243876916598</v>
      </c>
      <c r="AC4">
        <v>4.2324328565589102</v>
      </c>
      <c r="AD4">
        <v>3.7959039072275498E-3</v>
      </c>
      <c r="AE4">
        <v>6.4249884362588103</v>
      </c>
    </row>
    <row r="5" spans="1:35" x14ac:dyDescent="0.2">
      <c r="A5">
        <v>4</v>
      </c>
      <c r="B5">
        <v>760</v>
      </c>
      <c r="C5">
        <v>275</v>
      </c>
      <c r="D5">
        <v>0.30487392924551299</v>
      </c>
      <c r="E5">
        <v>105.15038798484601</v>
      </c>
      <c r="F5">
        <v>2.1907634248394898</v>
      </c>
      <c r="G5">
        <v>-1721.2221876926283</v>
      </c>
      <c r="H5">
        <v>-1434.8681993904563</v>
      </c>
      <c r="I5">
        <v>277.165937474879</v>
      </c>
      <c r="J5">
        <v>142.40999668374101</v>
      </c>
      <c r="K5">
        <v>47.997144188469598</v>
      </c>
      <c r="L5">
        <v>1.600932864951984E-4</v>
      </c>
      <c r="M5">
        <v>1.7867695946634333E-5</v>
      </c>
      <c r="N5" s="1">
        <v>3.8098582010005798E-6</v>
      </c>
      <c r="O5" s="1">
        <v>1.05285673728176E-7</v>
      </c>
      <c r="P5" s="1">
        <v>-5.3334130033822104E-7</v>
      </c>
      <c r="Q5">
        <v>72.405338193207896</v>
      </c>
      <c r="R5">
        <v>7.5130488354817795E-2</v>
      </c>
      <c r="S5">
        <v>11.868715122383501</v>
      </c>
      <c r="T5">
        <v>0.17575733742143099</v>
      </c>
      <c r="V5">
        <v>0.43148329320701001</v>
      </c>
      <c r="W5">
        <v>2.4726489838293599E-2</v>
      </c>
      <c r="X5">
        <v>5.7061130396067201E-2</v>
      </c>
      <c r="AA5">
        <v>0.50403998516522996</v>
      </c>
      <c r="AB5">
        <v>3.7850549829388198</v>
      </c>
      <c r="AC5">
        <v>4.2415440261072197</v>
      </c>
      <c r="AD5">
        <v>3.8040753597371698E-3</v>
      </c>
      <c r="AE5">
        <v>6.4273448756198803</v>
      </c>
    </row>
    <row r="6" spans="1:35" x14ac:dyDescent="0.2">
      <c r="A6">
        <v>5</v>
      </c>
      <c r="B6">
        <v>759</v>
      </c>
      <c r="C6">
        <v>275</v>
      </c>
      <c r="D6">
        <v>0.30413263576031102</v>
      </c>
      <c r="E6">
        <v>104.92516305549999</v>
      </c>
      <c r="F6">
        <v>2.1912201273254501</v>
      </c>
      <c r="G6">
        <v>-1717.2071264861495</v>
      </c>
      <c r="H6">
        <v>-1431.8498329770623</v>
      </c>
      <c r="I6">
        <v>276.46882091661701</v>
      </c>
      <c r="J6">
        <v>142.11459612497899</v>
      </c>
      <c r="K6">
        <v>47.884355271767902</v>
      </c>
      <c r="L6">
        <v>1.6014135143366324E-4</v>
      </c>
      <c r="M6">
        <v>1.7860494429983048E-5</v>
      </c>
      <c r="N6" s="1">
        <v>3.80757141116743E-6</v>
      </c>
      <c r="O6" s="1">
        <v>1.05011108220967E-7</v>
      </c>
      <c r="P6" s="1">
        <v>-5.3258947244829698E-7</v>
      </c>
      <c r="Q6">
        <v>72.357498944827299</v>
      </c>
      <c r="R6">
        <v>7.52917581440532E-2</v>
      </c>
      <c r="S6">
        <v>11.8941916663036</v>
      </c>
      <c r="T6">
        <v>0.17647201916048</v>
      </c>
      <c r="V6">
        <v>0.43210587634552899</v>
      </c>
      <c r="W6">
        <v>2.47795659714595E-2</v>
      </c>
      <c r="X6">
        <v>5.7183613780297099E-2</v>
      </c>
      <c r="AA6">
        <v>0.50512192172592296</v>
      </c>
      <c r="AB6">
        <v>3.7931797140926902</v>
      </c>
      <c r="AC6">
        <v>4.2506486243349002</v>
      </c>
      <c r="AD6">
        <v>3.8122409186857301E-3</v>
      </c>
      <c r="AE6">
        <v>6.4297140543949602</v>
      </c>
    </row>
    <row r="7" spans="1:35" x14ac:dyDescent="0.2">
      <c r="A7">
        <v>6</v>
      </c>
      <c r="B7">
        <v>758</v>
      </c>
      <c r="C7">
        <v>275</v>
      </c>
      <c r="D7">
        <v>0.303389904475587</v>
      </c>
      <c r="E7">
        <v>104.701061307491</v>
      </c>
      <c r="F7">
        <v>2.1916767710679101</v>
      </c>
      <c r="G7">
        <v>-1713.2120064211265</v>
      </c>
      <c r="H7">
        <v>-1428.8466203588005</v>
      </c>
      <c r="I7">
        <v>275.77499496903903</v>
      </c>
      <c r="J7">
        <v>141.82067355469701</v>
      </c>
      <c r="K7">
        <v>47.772127117300798</v>
      </c>
      <c r="L7">
        <v>1.6018948160461427E-4</v>
      </c>
      <c r="M7">
        <v>1.7853291516298399E-5</v>
      </c>
      <c r="N7" s="1">
        <v>3.8053110796952199E-6</v>
      </c>
      <c r="O7" s="1">
        <v>1.04738009000498E-7</v>
      </c>
      <c r="P7" s="1">
        <v>-5.3184262500782497E-7</v>
      </c>
      <c r="Q7">
        <v>72.309679204041899</v>
      </c>
      <c r="R7">
        <v>7.5452912332941796E-2</v>
      </c>
      <c r="S7">
        <v>11.919649948295699</v>
      </c>
      <c r="T7">
        <v>0.17718918629837199</v>
      </c>
      <c r="V7">
        <v>0.432725315851546</v>
      </c>
      <c r="W7">
        <v>2.4832604058941599E-2</v>
      </c>
      <c r="X7">
        <v>5.7306009366795703E-2</v>
      </c>
      <c r="AA7">
        <v>0.50620308273998504</v>
      </c>
      <c r="AB7">
        <v>3.8012986213303401</v>
      </c>
      <c r="AC7">
        <v>4.2597466962645001</v>
      </c>
      <c r="AD7">
        <v>3.82040062445213E-3</v>
      </c>
      <c r="AE7">
        <v>6.4320960187943701</v>
      </c>
    </row>
    <row r="8" spans="1:35" x14ac:dyDescent="0.2">
      <c r="A8">
        <v>7</v>
      </c>
      <c r="B8">
        <v>757</v>
      </c>
      <c r="C8">
        <v>275</v>
      </c>
      <c r="D8">
        <v>0.30264573120419402</v>
      </c>
      <c r="E8">
        <v>104.47807343331699</v>
      </c>
      <c r="F8">
        <v>2.19213335641231</v>
      </c>
      <c r="G8">
        <v>-1709.2366637415005</v>
      </c>
      <c r="H8">
        <v>-1425.8584354682632</v>
      </c>
      <c r="I8">
        <v>275.084432629459</v>
      </c>
      <c r="J8">
        <v>141.52821686357299</v>
      </c>
      <c r="K8">
        <v>47.660455112233002</v>
      </c>
      <c r="L8">
        <v>1.6023767764826232E-4</v>
      </c>
      <c r="M8">
        <v>1.7846087205000374E-5</v>
      </c>
      <c r="N8" s="1">
        <v>3.8030770413820001E-6</v>
      </c>
      <c r="O8" s="1">
        <v>1.04466364548242E-7</v>
      </c>
      <c r="P8" s="1">
        <v>-5.3110072234879997E-7</v>
      </c>
      <c r="Q8">
        <v>72.261878698660993</v>
      </c>
      <c r="R8">
        <v>7.56139517163123E-2</v>
      </c>
      <c r="S8">
        <v>11.945090093923699</v>
      </c>
      <c r="T8">
        <v>0.17790885378079499</v>
      </c>
      <c r="V8">
        <v>0.43334160451453302</v>
      </c>
      <c r="W8">
        <v>2.48856043623286E-2</v>
      </c>
      <c r="X8">
        <v>5.7428317759231601E-2</v>
      </c>
      <c r="AA8">
        <v>0.50728347353980996</v>
      </c>
      <c r="AB8">
        <v>3.80941174469501</v>
      </c>
      <c r="AC8">
        <v>4.2688382867685304</v>
      </c>
      <c r="AD8">
        <v>3.8285545172806199E-3</v>
      </c>
      <c r="AE8">
        <v>6.4344908157613396</v>
      </c>
    </row>
    <row r="9" spans="1:35" x14ac:dyDescent="0.2">
      <c r="A9">
        <v>8</v>
      </c>
      <c r="B9">
        <v>756</v>
      </c>
      <c r="C9">
        <v>275</v>
      </c>
      <c r="D9">
        <v>0.30190011174270298</v>
      </c>
      <c r="E9">
        <v>104.256190225778</v>
      </c>
      <c r="F9">
        <v>2.1925898836920998</v>
      </c>
      <c r="G9">
        <v>-1705.2809364597758</v>
      </c>
      <c r="H9">
        <v>-1422.8851535951001</v>
      </c>
      <c r="I9">
        <v>274.397107190084</v>
      </c>
      <c r="J9">
        <v>141.23721407416801</v>
      </c>
      <c r="K9">
        <v>47.549334693737102</v>
      </c>
      <c r="L9">
        <v>1.6028594021387637E-4</v>
      </c>
      <c r="M9">
        <v>1.7838881496013889E-5</v>
      </c>
      <c r="N9" s="1">
        <v>3.80086913335616E-6</v>
      </c>
      <c r="O9" s="1">
        <v>1.0419616347778401E-7</v>
      </c>
      <c r="P9" s="1">
        <v>-5.3036372925155605E-7</v>
      </c>
      <c r="Q9">
        <v>72.214097156144206</v>
      </c>
      <c r="R9">
        <v>7.5774877087796205E-2</v>
      </c>
      <c r="S9">
        <v>11.9705122285585</v>
      </c>
      <c r="T9">
        <v>0.178631036632936</v>
      </c>
      <c r="V9">
        <v>0.43395473504350202</v>
      </c>
      <c r="W9">
        <v>2.4938567142816798E-2</v>
      </c>
      <c r="X9">
        <v>5.7550539560359201E-2</v>
      </c>
      <c r="AA9">
        <v>0.50836309944976499</v>
      </c>
      <c r="AB9">
        <v>3.8175191241697499</v>
      </c>
      <c r="AC9">
        <v>4.2779234406522599</v>
      </c>
      <c r="AD9">
        <v>3.83670263735565E-3</v>
      </c>
      <c r="AE9">
        <v>6.4368984929206103</v>
      </c>
    </row>
    <row r="10" spans="1:35" x14ac:dyDescent="0.2">
      <c r="A10">
        <v>9</v>
      </c>
      <c r="B10">
        <v>755</v>
      </c>
      <c r="C10">
        <v>275</v>
      </c>
      <c r="D10">
        <v>0.30115304187132302</v>
      </c>
      <c r="E10">
        <v>104.035402576796</v>
      </c>
      <c r="F10">
        <v>2.1930463532283802</v>
      </c>
      <c r="G10">
        <v>-1701.3446643361883</v>
      </c>
      <c r="H10">
        <v>-1419.9266513702128</v>
      </c>
      <c r="I10">
        <v>273.71299223457203</v>
      </c>
      <c r="J10">
        <v>140.94765333939199</v>
      </c>
      <c r="K10">
        <v>47.438761348407503</v>
      </c>
      <c r="L10">
        <v>1.6033426995990891E-4</v>
      </c>
      <c r="M10">
        <v>1.7831674389780655E-5</v>
      </c>
      <c r="N10" s="1">
        <v>3.7986871950612798E-6</v>
      </c>
      <c r="O10" s="1">
        <v>1.03927394533367E-7</v>
      </c>
      <c r="P10" s="1">
        <v>-5.2963161094054896E-7</v>
      </c>
      <c r="Q10">
        <v>72.166334303615997</v>
      </c>
      <c r="R10">
        <v>7.5935689239714804E-2</v>
      </c>
      <c r="S10">
        <v>11.9959164773684</v>
      </c>
      <c r="T10">
        <v>0.17935574995919901</v>
      </c>
      <c r="V10">
        <v>0.43456470006536901</v>
      </c>
      <c r="W10">
        <v>2.4991492661169599E-2</v>
      </c>
      <c r="X10">
        <v>5.7672675371943601E-2</v>
      </c>
      <c r="AA10">
        <v>0.509441965785421</v>
      </c>
      <c r="AB10">
        <v>3.8256207996714502</v>
      </c>
      <c r="AC10">
        <v>4.2870022026466099</v>
      </c>
      <c r="AD10">
        <v>3.8448450247944499E-3</v>
      </c>
      <c r="AE10">
        <v>6.4393190985898503</v>
      </c>
    </row>
    <row r="11" spans="1:35" x14ac:dyDescent="0.2">
      <c r="A11">
        <v>10</v>
      </c>
      <c r="B11">
        <v>754</v>
      </c>
      <c r="C11">
        <v>275</v>
      </c>
      <c r="D11">
        <v>0.30040451735384299</v>
      </c>
      <c r="E11">
        <v>103.81570147596599</v>
      </c>
      <c r="F11">
        <v>2.19350276532602</v>
      </c>
      <c r="G11">
        <v>-1697.4276888539391</v>
      </c>
      <c r="H11">
        <v>-1416.9828067457681</v>
      </c>
      <c r="I11">
        <v>273.03206163478598</v>
      </c>
      <c r="J11">
        <v>140.65952294079301</v>
      </c>
      <c r="K11">
        <v>47.328730611623399</v>
      </c>
      <c r="L11">
        <v>1.6038266755649897E-4</v>
      </c>
      <c r="M11">
        <v>1.7824465887441738E-5</v>
      </c>
      <c r="N11" s="1">
        <v>3.79653106830886E-6</v>
      </c>
      <c r="O11" s="1">
        <v>1.0366004659017001E-7</v>
      </c>
      <c r="P11" s="1">
        <v>-5.2890433309198002E-7</v>
      </c>
      <c r="Q11">
        <v>72.118589867697693</v>
      </c>
      <c r="R11">
        <v>7.6096388963177497E-2</v>
      </c>
      <c r="S11">
        <v>12.021302965328299</v>
      </c>
      <c r="T11">
        <v>0.18008300894397</v>
      </c>
      <c r="V11">
        <v>0.43517149212580297</v>
      </c>
      <c r="W11">
        <v>2.5044381177752199E-2</v>
      </c>
      <c r="X11">
        <v>5.7794725794826897E-2</v>
      </c>
      <c r="AA11">
        <v>0.51052007785422004</v>
      </c>
      <c r="AB11">
        <v>3.8337168110560098</v>
      </c>
      <c r="AC11">
        <v>4.2960746174142201</v>
      </c>
      <c r="AD11">
        <v>3.8529817196532598E-3</v>
      </c>
      <c r="AE11">
        <v>6.4417526819242301</v>
      </c>
    </row>
    <row r="12" spans="1:35" x14ac:dyDescent="0.2">
      <c r="A12">
        <v>11</v>
      </c>
      <c r="B12">
        <v>753</v>
      </c>
      <c r="C12">
        <v>275</v>
      </c>
      <c r="D12">
        <v>0.29965453393753799</v>
      </c>
      <c r="E12">
        <v>103.597078010982</v>
      </c>
      <c r="F12">
        <v>2.1939591202784601</v>
      </c>
      <c r="G12">
        <v>-1693.5298532238892</v>
      </c>
      <c r="H12">
        <v>-1414.0534990022486</v>
      </c>
      <c r="I12">
        <v>272.35428954990999</v>
      </c>
      <c r="J12">
        <v>140.372811288744</v>
      </c>
      <c r="K12">
        <v>47.219238067586801</v>
      </c>
      <c r="L12">
        <v>1.6043113368125383E-4</v>
      </c>
      <c r="M12">
        <v>1.7817255990569043E-5</v>
      </c>
      <c r="N12" s="1">
        <v>3.7944005971882598E-6</v>
      </c>
      <c r="O12" s="1">
        <v>1.0339410865103E-7</v>
      </c>
      <c r="P12" s="1">
        <v>-5.2818186181383702E-7</v>
      </c>
      <c r="Q12">
        <v>72.070863575077297</v>
      </c>
      <c r="R12">
        <v>7.6256977046812405E-2</v>
      </c>
      <c r="S12">
        <v>12.046671817022601</v>
      </c>
      <c r="T12">
        <v>0.18081282884844599</v>
      </c>
      <c r="V12">
        <v>0.43577510368170602</v>
      </c>
      <c r="W12">
        <v>2.5097232952112601E-2</v>
      </c>
      <c r="X12">
        <v>5.7916691427969E-2</v>
      </c>
      <c r="AA12">
        <v>0.51159744094696002</v>
      </c>
      <c r="AB12">
        <v>3.8418071980542798</v>
      </c>
      <c r="AC12">
        <v>4.3051407294775599</v>
      </c>
      <c r="AD12">
        <v>3.8611127618623899E-3</v>
      </c>
      <c r="AE12">
        <v>6.4441992927022902</v>
      </c>
    </row>
    <row r="13" spans="1:35" x14ac:dyDescent="0.2">
      <c r="A13">
        <v>12</v>
      </c>
      <c r="B13">
        <v>752</v>
      </c>
      <c r="C13">
        <v>275</v>
      </c>
      <c r="D13">
        <v>0.29890308735307097</v>
      </c>
      <c r="E13">
        <v>103.379523362474</v>
      </c>
      <c r="F13">
        <v>2.1944154183653599</v>
      </c>
      <c r="G13">
        <v>-1689.6510022983698</v>
      </c>
      <c r="H13">
        <v>-1411.1386086763493</v>
      </c>
      <c r="I13">
        <v>271.67965041410503</v>
      </c>
      <c r="J13">
        <v>140.08750691612701</v>
      </c>
      <c r="K13">
        <v>47.110279346962898</v>
      </c>
      <c r="L13">
        <v>1.6047966902366841E-4</v>
      </c>
      <c r="M13">
        <v>1.7810044701378308E-5</v>
      </c>
      <c r="N13" s="1">
        <v>3.7922956280130002E-6</v>
      </c>
      <c r="O13" s="1">
        <v>1.03129569843806E-7</v>
      </c>
      <c r="P13" s="1">
        <v>-5.2746416364419201E-7</v>
      </c>
      <c r="Q13">
        <v>72.023155151513706</v>
      </c>
      <c r="R13">
        <v>7.6417454279615299E-2</v>
      </c>
      <c r="S13">
        <v>12.072023157090999</v>
      </c>
      <c r="T13">
        <v>0.18154522501890799</v>
      </c>
      <c r="V13">
        <v>0.43637552711664901</v>
      </c>
      <c r="W13">
        <v>2.5150048243920999E-2</v>
      </c>
      <c r="X13">
        <v>5.8038572870604502E-2</v>
      </c>
      <c r="AA13">
        <v>0.51267406035690299</v>
      </c>
      <c r="AB13">
        <v>3.8498920004157302</v>
      </c>
      <c r="AC13">
        <v>4.3142005833800701</v>
      </c>
      <c r="AD13">
        <v>3.8692381913713499E-3</v>
      </c>
      <c r="AE13">
        <v>6.4466589815213702</v>
      </c>
    </row>
    <row r="14" spans="1:35" x14ac:dyDescent="0.2">
      <c r="A14">
        <v>13</v>
      </c>
      <c r="B14">
        <v>751</v>
      </c>
      <c r="C14">
        <v>275</v>
      </c>
      <c r="D14">
        <v>0.29815017331445698</v>
      </c>
      <c r="E14">
        <v>103.16302880797301</v>
      </c>
      <c r="F14">
        <v>2.19487165985087</v>
      </c>
      <c r="G14">
        <v>-1685.7909826354235</v>
      </c>
      <c r="H14">
        <v>-1408.2380176173351</v>
      </c>
      <c r="I14">
        <v>271.00811894555301</v>
      </c>
      <c r="J14">
        <v>139.803598483157</v>
      </c>
      <c r="K14">
        <v>47.0018501286686</v>
      </c>
      <c r="L14">
        <v>1.6052827428222693E-4</v>
      </c>
      <c r="M14">
        <v>1.7802832022667157E-5</v>
      </c>
      <c r="N14" s="1">
        <v>3.7902160094373101E-6</v>
      </c>
      <c r="O14" s="1">
        <v>1.02866419423639E-7</v>
      </c>
      <c r="P14" s="1">
        <v>-5.2675120555766098E-7</v>
      </c>
      <c r="Q14">
        <v>71.975464322996103</v>
      </c>
      <c r="R14">
        <v>7.6577821447113295E-2</v>
      </c>
      <c r="S14">
        <v>12.097357109628099</v>
      </c>
      <c r="T14">
        <v>0.18228021287625801</v>
      </c>
      <c r="V14">
        <v>0.43697275471948399</v>
      </c>
      <c r="W14">
        <v>2.5202827311704899E-2</v>
      </c>
      <c r="X14">
        <v>5.8160370719338203E-2</v>
      </c>
      <c r="AA14">
        <v>0.51374994135403995</v>
      </c>
      <c r="AB14">
        <v>3.8579712577149698</v>
      </c>
      <c r="AC14">
        <v>4.32325422346912</v>
      </c>
      <c r="AD14">
        <v>3.8773580479533601E-3</v>
      </c>
      <c r="AE14">
        <v>6.4491317997156798</v>
      </c>
    </row>
    <row r="15" spans="1:35" x14ac:dyDescent="0.2">
      <c r="A15">
        <v>14</v>
      </c>
      <c r="B15">
        <v>750</v>
      </c>
      <c r="C15">
        <v>275</v>
      </c>
      <c r="D15">
        <v>0.29739578751893703</v>
      </c>
      <c r="E15">
        <v>102.947585715689</v>
      </c>
      <c r="F15">
        <v>2.1953278449856999</v>
      </c>
      <c r="G15">
        <v>-1681.9496423944911</v>
      </c>
      <c r="H15">
        <v>-1405.3516089003595</v>
      </c>
      <c r="I15">
        <v>270.33967013060698</v>
      </c>
      <c r="J15">
        <v>139.52107476957099</v>
      </c>
      <c r="K15">
        <v>46.893946136942503</v>
      </c>
      <c r="L15">
        <v>1.6057695016701555E-4</v>
      </c>
      <c r="M15">
        <v>1.7795617957857186E-5</v>
      </c>
      <c r="N15" s="1">
        <v>3.78816159229093E-6</v>
      </c>
      <c r="O15" s="1">
        <v>1.0260464676740999E-7</v>
      </c>
      <c r="P15" s="1">
        <v>-5.2604295494775203E-7</v>
      </c>
      <c r="Q15">
        <v>71.927790814640204</v>
      </c>
      <c r="R15">
        <v>7.6738079335030296E-2</v>
      </c>
      <c r="S15">
        <v>12.122673798758401</v>
      </c>
      <c r="T15">
        <v>0.18301780792663999</v>
      </c>
      <c r="V15">
        <v>0.43756677870405603</v>
      </c>
      <c r="W15">
        <v>2.5255570414056901E-2</v>
      </c>
      <c r="X15">
        <v>5.8282085570922203E-2</v>
      </c>
      <c r="AA15">
        <v>0.51482508920968395</v>
      </c>
      <c r="AB15">
        <v>3.8660450095365602</v>
      </c>
      <c r="AC15">
        <v>4.3323016941033199</v>
      </c>
      <c r="AD15">
        <v>3.8854723713919602E-3</v>
      </c>
      <c r="AE15">
        <v>6.4516177994295996</v>
      </c>
    </row>
    <row r="16" spans="1:35" x14ac:dyDescent="0.2">
      <c r="A16">
        <v>15</v>
      </c>
      <c r="B16">
        <v>749</v>
      </c>
      <c r="C16">
        <v>275</v>
      </c>
      <c r="D16">
        <v>0.29663992564692099</v>
      </c>
      <c r="E16">
        <v>102.733185546828</v>
      </c>
      <c r="F16">
        <v>2.1957839740065501</v>
      </c>
      <c r="G16">
        <v>-1678.126831373155</v>
      </c>
      <c r="H16">
        <v>-1402.4792668595894</v>
      </c>
      <c r="I16">
        <v>269.67427922865102</v>
      </c>
      <c r="J16">
        <v>139.23992467737199</v>
      </c>
      <c r="K16">
        <v>46.786563142354602</v>
      </c>
      <c r="L16">
        <v>1.6062569739732456E-4</v>
      </c>
      <c r="M16">
        <v>1.7788402510918994E-5</v>
      </c>
      <c r="N16" s="1">
        <v>3.78613222963612E-6</v>
      </c>
      <c r="O16" s="1">
        <v>1.0234424137441399E-7</v>
      </c>
      <c r="P16" s="1">
        <v>-5.2533937962727299E-7</v>
      </c>
      <c r="Q16">
        <v>71.880134351502804</v>
      </c>
      <c r="R16">
        <v>7.6898228726679896E-2</v>
      </c>
      <c r="S16">
        <v>12.1479733482245</v>
      </c>
      <c r="T16">
        <v>0.18375802575457401</v>
      </c>
      <c r="V16">
        <v>0.43815759119488801</v>
      </c>
      <c r="W16">
        <v>2.53082778087768E-2</v>
      </c>
      <c r="X16">
        <v>5.84037180202771E-2</v>
      </c>
      <c r="AA16">
        <v>0.51589950917897898</v>
      </c>
      <c r="AB16">
        <v>3.8741132953437001</v>
      </c>
      <c r="AC16">
        <v>4.3413430395052597</v>
      </c>
      <c r="AD16">
        <v>3.8935812013487499E-3</v>
      </c>
      <c r="AE16">
        <v>6.45411703353804</v>
      </c>
    </row>
    <row r="17" spans="1:31" x14ac:dyDescent="0.2">
      <c r="A17">
        <v>16</v>
      </c>
      <c r="B17">
        <v>748</v>
      </c>
      <c r="C17">
        <v>275</v>
      </c>
      <c r="D17">
        <v>0.29588258336189799</v>
      </c>
      <c r="E17">
        <v>102.519819851035</v>
      </c>
      <c r="F17">
        <v>2.1962400471341099</v>
      </c>
      <c r="G17">
        <v>-1674.3224009312164</v>
      </c>
      <c r="H17">
        <v>-1399.6208770247545</v>
      </c>
      <c r="I17">
        <v>269.01192176121202</v>
      </c>
      <c r="J17">
        <v>138.96013722526499</v>
      </c>
      <c r="K17">
        <v>46.6796969597263</v>
      </c>
      <c r="L17">
        <v>1.606745167055975E-4</v>
      </c>
      <c r="M17">
        <v>1.7781185686562871E-5</v>
      </c>
      <c r="N17" s="1">
        <v>3.7841277767225901E-6</v>
      </c>
      <c r="O17" s="1">
        <v>1.02085192864017E-7</v>
      </c>
      <c r="P17" s="1">
        <v>-5.2464044782687504E-7</v>
      </c>
      <c r="Q17">
        <v>71.832494657699499</v>
      </c>
      <c r="R17">
        <v>7.7058270405463106E-2</v>
      </c>
      <c r="S17">
        <v>12.173255881784799</v>
      </c>
      <c r="T17">
        <v>0.184500882030048</v>
      </c>
      <c r="V17">
        <v>0.43874518424006798</v>
      </c>
      <c r="W17">
        <v>2.5360949753692501E-2</v>
      </c>
      <c r="X17">
        <v>5.8525268662391799E-2</v>
      </c>
      <c r="AA17">
        <v>0.51697320651765</v>
      </c>
      <c r="AB17">
        <v>3.8821761546038802</v>
      </c>
      <c r="AC17">
        <v>4.35037830390233</v>
      </c>
      <c r="AD17">
        <v>3.9016845774895001E-3</v>
      </c>
      <c r="AE17">
        <v>6.4566295558225004</v>
      </c>
    </row>
    <row r="18" spans="1:31" x14ac:dyDescent="0.2">
      <c r="A18">
        <v>17</v>
      </c>
      <c r="B18">
        <v>747</v>
      </c>
      <c r="C18">
        <v>275</v>
      </c>
      <c r="D18">
        <v>0.29512375631034898</v>
      </c>
      <c r="E18">
        <v>102.30748026881</v>
      </c>
      <c r="F18">
        <v>2.1966960645754301</v>
      </c>
      <c r="G18">
        <v>-1670.536204028519</v>
      </c>
      <c r="H18">
        <v>-1396.7763261558105</v>
      </c>
      <c r="I18">
        <v>268.35257351635403</v>
      </c>
      <c r="J18">
        <v>138.68170155137699</v>
      </c>
      <c r="K18">
        <v>46.573343449123698</v>
      </c>
      <c r="L18">
        <v>1.6072340883314048E-4</v>
      </c>
      <c r="M18">
        <v>1.7773967490024565E-5</v>
      </c>
      <c r="N18" s="1">
        <v>3.78214809098476E-6</v>
      </c>
      <c r="O18" s="1">
        <v>1.01827490974823E-7</v>
      </c>
      <c r="P18" s="1">
        <v>-5.2394612818553803E-7</v>
      </c>
      <c r="Q18">
        <v>71.784871457348501</v>
      </c>
      <c r="R18">
        <v>7.7218205152189107E-2</v>
      </c>
      <c r="S18">
        <v>12.198521522788299</v>
      </c>
      <c r="T18">
        <v>0.185246392501555</v>
      </c>
      <c r="V18">
        <v>0.43932954979669703</v>
      </c>
      <c r="W18">
        <v>2.54135865057789E-2</v>
      </c>
      <c r="X18">
        <v>5.8646738090287302E-2</v>
      </c>
      <c r="AA18">
        <v>0.518046186464037</v>
      </c>
      <c r="AB18">
        <v>3.89023362665406</v>
      </c>
      <c r="AC18">
        <v>4.3594075313755498</v>
      </c>
      <c r="AD18">
        <v>3.9097825393487199E-3</v>
      </c>
      <c r="AE18">
        <v>6.4591554207836097</v>
      </c>
    </row>
    <row r="19" spans="1:31" x14ac:dyDescent="0.2">
      <c r="A19">
        <v>18</v>
      </c>
      <c r="B19">
        <v>746</v>
      </c>
      <c r="C19">
        <v>275</v>
      </c>
      <c r="D19">
        <v>0.29436344012167098</v>
      </c>
      <c r="E19">
        <v>102.096158526954</v>
      </c>
      <c r="F19">
        <v>2.1971520265235398</v>
      </c>
      <c r="G19">
        <v>-1666.768095148748</v>
      </c>
      <c r="H19">
        <v>-1393.9455021795361</v>
      </c>
      <c r="I19">
        <v>267.69621053741997</v>
      </c>
      <c r="J19">
        <v>138.40460690762299</v>
      </c>
      <c r="K19">
        <v>46.4674985137448</v>
      </c>
      <c r="L19">
        <v>1.6077237453308437E-4</v>
      </c>
      <c r="M19">
        <v>1.7766747927179587E-5</v>
      </c>
      <c r="N19" s="1">
        <v>3.7801930319617399E-6</v>
      </c>
      <c r="O19" s="1">
        <v>1.01571125561486E-7</v>
      </c>
      <c r="P19" s="1">
        <v>-5.2325638974358504E-7</v>
      </c>
      <c r="Q19">
        <v>71.737264473739003</v>
      </c>
      <c r="R19">
        <v>7.7378033747615094E-2</v>
      </c>
      <c r="S19">
        <v>12.2237703945723</v>
      </c>
      <c r="T19">
        <v>0.18599457300359701</v>
      </c>
      <c r="V19">
        <v>0.43991067974446701</v>
      </c>
      <c r="W19">
        <v>2.5466188321995001E-2</v>
      </c>
      <c r="X19">
        <v>5.8768126896940297E-2</v>
      </c>
      <c r="AA19">
        <v>0.51911845425613601</v>
      </c>
      <c r="AB19">
        <v>3.8982857508286801</v>
      </c>
      <c r="AC19">
        <v>4.3684307660033799</v>
      </c>
      <c r="AD19">
        <v>3.9178751264588498E-3</v>
      </c>
      <c r="AE19">
        <v>6.4616946837593199</v>
      </c>
    </row>
    <row r="20" spans="1:31" x14ac:dyDescent="0.2">
      <c r="A20">
        <v>19</v>
      </c>
      <c r="B20">
        <v>745</v>
      </c>
      <c r="C20">
        <v>275</v>
      </c>
      <c r="D20">
        <v>0.29360163040809401</v>
      </c>
      <c r="E20">
        <v>101.885846440848</v>
      </c>
      <c r="F20">
        <v>2.1976079331516201</v>
      </c>
      <c r="G20">
        <v>-1663.0179303367295</v>
      </c>
      <c r="H20">
        <v>-1391.1282942219214</v>
      </c>
      <c r="I20">
        <v>267.042809129114</v>
      </c>
      <c r="J20">
        <v>138.12884266266801</v>
      </c>
      <c r="K20">
        <v>46.362158101027902</v>
      </c>
      <c r="L20">
        <v>1.6082141457133059E-4</v>
      </c>
      <c r="M20">
        <v>1.7759527004718586E-5</v>
      </c>
      <c r="N20" s="1">
        <v>3.7782624614657402E-6</v>
      </c>
      <c r="O20" s="1">
        <v>1.0131608659821E-7</v>
      </c>
      <c r="P20" s="1">
        <v>-5.2257120196134599E-7</v>
      </c>
      <c r="Q20">
        <v>71.689673429937301</v>
      </c>
      <c r="R20">
        <v>7.7537756969875193E-2</v>
      </c>
      <c r="S20">
        <v>12.2490026200641</v>
      </c>
      <c r="T20">
        <v>0.18674543944944899</v>
      </c>
      <c r="V20">
        <v>0.44048856587110502</v>
      </c>
      <c r="W20">
        <v>2.5518755458434801E-2</v>
      </c>
      <c r="X20">
        <v>5.8889435673341199E-2</v>
      </c>
      <c r="AA20">
        <v>0.52019001511433505</v>
      </c>
      <c r="AB20">
        <v>3.90633256632985</v>
      </c>
      <c r="AC20">
        <v>4.3774480517157199</v>
      </c>
      <c r="AD20">
        <v>3.9259623782187201E-3</v>
      </c>
      <c r="AE20">
        <v>6.4642474010381603</v>
      </c>
    </row>
    <row r="21" spans="1:31" x14ac:dyDescent="0.2">
      <c r="A21">
        <v>20</v>
      </c>
      <c r="B21">
        <v>744</v>
      </c>
      <c r="C21">
        <v>275</v>
      </c>
      <c r="D21">
        <v>0.29283832276459099</v>
      </c>
      <c r="E21">
        <v>101.676535908961</v>
      </c>
      <c r="F21">
        <v>2.1980637846231099</v>
      </c>
      <c r="G21">
        <v>-1659.2855671046677</v>
      </c>
      <c r="H21">
        <v>-1388.3245925319659</v>
      </c>
      <c r="I21">
        <v>266.39234584151899</v>
      </c>
      <c r="J21">
        <v>137.85439829462101</v>
      </c>
      <c r="K21">
        <v>46.257318199887898</v>
      </c>
      <c r="L21">
        <v>1.6087052972378401E-4</v>
      </c>
      <c r="M21">
        <v>1.7752304729798289E-5</v>
      </c>
      <c r="N21" s="1">
        <v>3.7763562432617799E-6</v>
      </c>
      <c r="O21" s="1">
        <v>1.01062364169463E-7</v>
      </c>
      <c r="P21" s="1">
        <v>-5.2189053467526801E-7</v>
      </c>
      <c r="Q21">
        <v>71.642098048088698</v>
      </c>
      <c r="R21">
        <v>7.7697375597788707E-2</v>
      </c>
      <c r="S21">
        <v>12.274218322297401</v>
      </c>
      <c r="T21">
        <v>0.18749900784118001</v>
      </c>
      <c r="V21">
        <v>0.44106319989002002</v>
      </c>
      <c r="W21">
        <v>2.5571288171418599E-2</v>
      </c>
      <c r="X21">
        <v>5.90106650109984E-2</v>
      </c>
      <c r="AA21">
        <v>0.52126087426362699</v>
      </c>
      <c r="AB21">
        <v>3.9143741123943099</v>
      </c>
      <c r="AC21">
        <v>4.3864594324813799</v>
      </c>
      <c r="AD21">
        <v>3.93404433406222E-3</v>
      </c>
      <c r="AE21">
        <v>6.4668136296289802</v>
      </c>
    </row>
    <row r="22" spans="1:31" x14ac:dyDescent="0.2">
      <c r="A22">
        <v>21</v>
      </c>
      <c r="B22">
        <v>743</v>
      </c>
      <c r="C22">
        <v>275</v>
      </c>
      <c r="D22">
        <v>0.29207351276878402</v>
      </c>
      <c r="E22">
        <v>101.468218915619</v>
      </c>
      <c r="F22">
        <v>2.19851958108252</v>
      </c>
      <c r="G22">
        <v>-1655.5708644783308</v>
      </c>
      <c r="H22">
        <v>-1385.534288520879</v>
      </c>
      <c r="I22">
        <v>265.74479747817799</v>
      </c>
      <c r="J22">
        <v>137.58126339478201</v>
      </c>
      <c r="K22">
        <v>46.152974842124301</v>
      </c>
      <c r="L22">
        <v>1.6091972077901325E-4</v>
      </c>
      <c r="M22">
        <v>1.7745081110360931E-5</v>
      </c>
      <c r="N22" s="1">
        <v>3.7744742433170498E-6</v>
      </c>
      <c r="O22" s="1">
        <v>1.00809948475576E-7</v>
      </c>
      <c r="P22" s="1">
        <v>-5.2121435812877704E-7</v>
      </c>
      <c r="Q22">
        <v>71.594538050023701</v>
      </c>
      <c r="R22">
        <v>7.7856890407923901E-2</v>
      </c>
      <c r="S22">
        <v>12.2994176239495</v>
      </c>
      <c r="T22">
        <v>0.18825529426156401</v>
      </c>
      <c r="V22">
        <v>0.441634573424461</v>
      </c>
      <c r="W22">
        <v>2.5623786716526199E-2</v>
      </c>
      <c r="X22">
        <v>5.9131815499709202E-2</v>
      </c>
      <c r="AA22">
        <v>0.52233103691390104</v>
      </c>
      <c r="AB22">
        <v>3.9224104281454202</v>
      </c>
      <c r="AC22">
        <v>4.3954649521421496</v>
      </c>
      <c r="AD22">
        <v>3.9421210333094904E-3</v>
      </c>
      <c r="AE22">
        <v>6.4693934274817204</v>
      </c>
    </row>
    <row r="23" spans="1:31" x14ac:dyDescent="0.2">
      <c r="A23">
        <v>22</v>
      </c>
      <c r="B23">
        <v>742</v>
      </c>
      <c r="C23">
        <v>275</v>
      </c>
      <c r="D23">
        <v>0.291307195980888</v>
      </c>
      <c r="E23">
        <v>101.260887528894</v>
      </c>
      <c r="F23">
        <v>2.1989753226584301</v>
      </c>
      <c r="G23">
        <v>-1651.873682960294</v>
      </c>
      <c r="H23">
        <v>-1382.7572747330257</v>
      </c>
      <c r="I23">
        <v>265.10014108975798</v>
      </c>
      <c r="J23">
        <v>137.309427664807</v>
      </c>
      <c r="K23">
        <v>46.0491241013452</v>
      </c>
      <c r="L23">
        <v>1.6096898853724018E-4</v>
      </c>
      <c r="M23">
        <v>1.7737856155023158E-5</v>
      </c>
      <c r="N23" s="1">
        <v>3.7726163296971199E-6</v>
      </c>
      <c r="O23" s="1">
        <v>1.00558829829132E-7</v>
      </c>
      <c r="P23" s="1">
        <v>-5.2054264295631801E-7</v>
      </c>
      <c r="Q23">
        <v>71.546993157110904</v>
      </c>
      <c r="R23">
        <v>7.8016302175372795E-2</v>
      </c>
      <c r="S23">
        <v>12.324600647465999</v>
      </c>
      <c r="T23">
        <v>0.18901431487651699</v>
      </c>
      <c r="V23">
        <v>0.442202678011066</v>
      </c>
      <c r="W23">
        <v>2.5676251348851001E-2</v>
      </c>
      <c r="X23">
        <v>5.9252887728152098E-2</v>
      </c>
      <c r="AA23">
        <v>0.52340050826513895</v>
      </c>
      <c r="AB23">
        <v>3.9304415526320602</v>
      </c>
      <c r="AC23">
        <v>4.4044646544562998</v>
      </c>
      <c r="AD23">
        <v>3.9501925152055197E-3</v>
      </c>
      <c r="AE23">
        <v>6.4719868534143403</v>
      </c>
    </row>
    <row r="24" spans="1:31" x14ac:dyDescent="0.2">
      <c r="A24">
        <v>23</v>
      </c>
      <c r="B24">
        <v>741</v>
      </c>
      <c r="C24">
        <v>275</v>
      </c>
      <c r="D24">
        <v>0.29053936794360102</v>
      </c>
      <c r="E24">
        <v>101.054533897018</v>
      </c>
      <c r="F24">
        <v>2.1994310094619798</v>
      </c>
      <c r="G24">
        <v>-1648.1938844700733</v>
      </c>
      <c r="H24">
        <v>-1379.9934447960459</v>
      </c>
      <c r="I24">
        <v>264.45835396541599</v>
      </c>
      <c r="J24">
        <v>137.038880912319</v>
      </c>
      <c r="K24">
        <v>45.945762091322997</v>
      </c>
      <c r="L24">
        <v>1.6101833381337302E-4</v>
      </c>
      <c r="M24">
        <v>1.7730629873219017E-5</v>
      </c>
      <c r="N24" s="1">
        <v>3.7707823725289602E-6</v>
      </c>
      <c r="O24" s="1">
        <v>1.0030899865298601E-7</v>
      </c>
      <c r="P24" s="1">
        <v>-5.1987536018152898E-7</v>
      </c>
      <c r="Q24">
        <v>71.499463089577702</v>
      </c>
      <c r="R24">
        <v>7.8175611675684695E-2</v>
      </c>
      <c r="S24">
        <v>12.349767515364</v>
      </c>
      <c r="T24">
        <v>0.189776085940947</v>
      </c>
      <c r="V24">
        <v>0.442767505110088</v>
      </c>
      <c r="W24">
        <v>2.5728682323636901E-2</v>
      </c>
      <c r="X24">
        <v>5.9373882285351703E-2</v>
      </c>
      <c r="AA24">
        <v>0.52446929352039495</v>
      </c>
      <c r="AB24">
        <v>3.9384675249262302</v>
      </c>
      <c r="AC24">
        <v>4.4134585832080298</v>
      </c>
      <c r="AD24">
        <v>3.9582588190186299E-3</v>
      </c>
      <c r="AE24">
        <v>6.47459396724883</v>
      </c>
    </row>
    <row r="25" spans="1:31" x14ac:dyDescent="0.2">
      <c r="A25">
        <v>24</v>
      </c>
      <c r="B25">
        <v>740</v>
      </c>
      <c r="C25">
        <v>275</v>
      </c>
      <c r="D25">
        <v>0.28977002418201098</v>
      </c>
      <c r="E25">
        <v>85.946582438711005</v>
      </c>
      <c r="F25">
        <v>2.20085564975422</v>
      </c>
      <c r="G25">
        <v>-1400.8276118786712</v>
      </c>
      <c r="H25">
        <v>-1172.8854881523273</v>
      </c>
      <c r="I25">
        <v>224.983589524102</v>
      </c>
      <c r="J25">
        <v>116.604846948611</v>
      </c>
      <c r="K25">
        <v>39.051440038018399</v>
      </c>
      <c r="L25">
        <v>1.6158199030017178E-4</v>
      </c>
      <c r="M25">
        <v>1.7756929077156233E-5</v>
      </c>
      <c r="N25" s="1">
        <v>3.2222970630185899E-6</v>
      </c>
      <c r="O25" s="1">
        <v>8.5526121427769303E-8</v>
      </c>
      <c r="P25" s="1">
        <v>-4.4378633828930499E-7</v>
      </c>
      <c r="Q25">
        <v>71.349935484190695</v>
      </c>
      <c r="R25">
        <v>9.1917558276789199E-2</v>
      </c>
      <c r="S25">
        <v>12.3624577472523</v>
      </c>
      <c r="T25">
        <v>0.223132136494822</v>
      </c>
      <c r="V25">
        <v>0.52060155203715397</v>
      </c>
      <c r="W25">
        <v>3.0251348293615699E-2</v>
      </c>
      <c r="X25">
        <v>6.9810803754564998E-2</v>
      </c>
      <c r="AA25">
        <v>0.52510158543457996</v>
      </c>
      <c r="AB25">
        <v>3.9685034722538202</v>
      </c>
      <c r="AC25">
        <v>4.3557111358073204</v>
      </c>
      <c r="AD25">
        <v>4.6540535836294304E-3</v>
      </c>
      <c r="AE25">
        <v>6.4979231226206204</v>
      </c>
    </row>
    <row r="26" spans="1:31" x14ac:dyDescent="0.2">
      <c r="A26">
        <v>25</v>
      </c>
      <c r="B26">
        <v>739</v>
      </c>
      <c r="C26">
        <v>275</v>
      </c>
      <c r="D26">
        <v>0.28899916020352701</v>
      </c>
      <c r="E26">
        <v>68.135815918970295</v>
      </c>
      <c r="F26">
        <v>2.2036293441086001</v>
      </c>
      <c r="G26">
        <v>-1109.0410717092129</v>
      </c>
      <c r="H26">
        <v>-928.54243162609941</v>
      </c>
      <c r="I26">
        <v>178.331907408105</v>
      </c>
      <c r="J26">
        <v>92.463898733529504</v>
      </c>
      <c r="K26">
        <v>30.9198169379669</v>
      </c>
      <c r="L26">
        <v>1.6205309982097316E-4</v>
      </c>
      <c r="M26">
        <v>1.77688067192876E-5</v>
      </c>
      <c r="N26" s="1">
        <v>2.5616791164816001E-6</v>
      </c>
      <c r="O26" s="1">
        <v>6.7848877530833197E-8</v>
      </c>
      <c r="P26" s="1">
        <v>-3.5247265201537102E-7</v>
      </c>
      <c r="Q26">
        <v>71.155229309006302</v>
      </c>
      <c r="R26">
        <v>0.115944894670316</v>
      </c>
      <c r="S26">
        <v>12.348731938491699</v>
      </c>
      <c r="T26">
        <v>0.28108190511035602</v>
      </c>
      <c r="V26">
        <v>0.657026681290237</v>
      </c>
      <c r="W26">
        <v>3.8159079258570899E-2</v>
      </c>
      <c r="X26">
        <v>8.8059413673711007E-2</v>
      </c>
      <c r="AA26">
        <v>0.51481401705184304</v>
      </c>
      <c r="AB26">
        <v>3.9734087424456099</v>
      </c>
      <c r="AC26">
        <v>4.3130644572132999</v>
      </c>
      <c r="AD26">
        <v>5.8706275782362798E-3</v>
      </c>
      <c r="AE26">
        <v>6.5086089342097599</v>
      </c>
    </row>
    <row r="27" spans="1:31" x14ac:dyDescent="0.2">
      <c r="A27">
        <v>26</v>
      </c>
      <c r="B27">
        <v>738</v>
      </c>
      <c r="C27">
        <v>275</v>
      </c>
      <c r="D27">
        <v>0.28822677149780002</v>
      </c>
      <c r="E27">
        <v>21.1147008091923</v>
      </c>
      <c r="F27">
        <v>2.2052267604998699</v>
      </c>
      <c r="G27">
        <v>-343.74283271065701</v>
      </c>
      <c r="H27">
        <v>-287.88291478158794</v>
      </c>
      <c r="I27">
        <v>55.243947909873903</v>
      </c>
      <c r="J27">
        <v>28.680305460743199</v>
      </c>
      <c r="K27">
        <v>9.5748433618709097</v>
      </c>
      <c r="L27">
        <v>1.6233875614437689E-4</v>
      </c>
      <c r="M27">
        <v>1.7792679385787647E-5</v>
      </c>
      <c r="N27" s="1">
        <v>7.9620918665701102E-7</v>
      </c>
      <c r="O27" s="1">
        <v>2.1042808624496398E-8</v>
      </c>
      <c r="P27" s="1">
        <v>-1.09212094107719E-7</v>
      </c>
      <c r="Q27">
        <v>70.935816982415403</v>
      </c>
      <c r="R27">
        <v>0.12895863593138501</v>
      </c>
      <c r="S27">
        <v>12.5705522468613</v>
      </c>
      <c r="T27">
        <v>0.26230600300161999</v>
      </c>
      <c r="V27">
        <v>0.61605888158417599</v>
      </c>
      <c r="W27">
        <v>0.12244096332172801</v>
      </c>
      <c r="X27">
        <v>0.139549242532643</v>
      </c>
      <c r="AA27">
        <v>0.48641440994718999</v>
      </c>
      <c r="AB27">
        <v>3.9025409529041699</v>
      </c>
      <c r="AC27">
        <v>4.2958853799382597</v>
      </c>
      <c r="AD27">
        <v>1.8944147189861999E-2</v>
      </c>
      <c r="AE27">
        <v>6.52053215437211</v>
      </c>
    </row>
    <row r="28" spans="1:31" x14ac:dyDescent="0.2">
      <c r="A28">
        <v>27</v>
      </c>
      <c r="B28">
        <v>737</v>
      </c>
      <c r="C28">
        <v>275</v>
      </c>
      <c r="D28">
        <v>0.28745285353660599</v>
      </c>
      <c r="E28">
        <v>11.399919160657699</v>
      </c>
      <c r="F28">
        <v>2.2076535628084399</v>
      </c>
      <c r="G28">
        <v>-185.53451892383688</v>
      </c>
      <c r="H28">
        <v>-155.43023450639618</v>
      </c>
      <c r="I28">
        <v>29.801796186151201</v>
      </c>
      <c r="J28">
        <v>15.493308262766</v>
      </c>
      <c r="K28">
        <v>5.1638170737964204</v>
      </c>
      <c r="L28">
        <v>1.6255598855350299E-4</v>
      </c>
      <c r="M28">
        <v>1.7817108952263426E-5</v>
      </c>
      <c r="N28" s="1">
        <v>4.3083455448579002E-7</v>
      </c>
      <c r="O28" s="1">
        <v>1.13624297524123E-8</v>
      </c>
      <c r="P28" s="1">
        <v>-5.8882729092239997E-8</v>
      </c>
      <c r="Q28">
        <v>70.652010394201199</v>
      </c>
      <c r="R28">
        <v>0.127978140753468</v>
      </c>
      <c r="S28">
        <v>12.859244289751601</v>
      </c>
      <c r="T28">
        <v>0.25913785254406202</v>
      </c>
      <c r="V28">
        <v>0.61309859428781799</v>
      </c>
      <c r="W28">
        <v>0.22441551985119201</v>
      </c>
      <c r="X28">
        <v>0.13901073872682601</v>
      </c>
      <c r="AA28">
        <v>0.481714686437824</v>
      </c>
      <c r="AB28">
        <v>3.7780065079554102</v>
      </c>
      <c r="AC28">
        <v>4.3027184625339601</v>
      </c>
      <c r="AD28">
        <v>3.5087968112932202E-2</v>
      </c>
      <c r="AE28">
        <v>6.5275768448436002</v>
      </c>
    </row>
    <row r="29" spans="1:31" x14ac:dyDescent="0.2">
      <c r="A29">
        <v>28</v>
      </c>
      <c r="B29">
        <v>736</v>
      </c>
      <c r="C29">
        <v>275</v>
      </c>
      <c r="D29">
        <v>0.28667740177377199</v>
      </c>
      <c r="E29">
        <v>8.0243518644318108</v>
      </c>
      <c r="F29">
        <v>2.2099238436052899</v>
      </c>
      <c r="G29">
        <v>-130.56072998043794</v>
      </c>
      <c r="H29">
        <v>-109.40928761530898</v>
      </c>
      <c r="I29">
        <v>20.959661462744801</v>
      </c>
      <c r="J29">
        <v>10.9112455134286</v>
      </c>
      <c r="K29">
        <v>3.6310535712130201</v>
      </c>
      <c r="L29">
        <v>1.6274101656712486E-4</v>
      </c>
      <c r="M29">
        <v>1.7837667772434115E-5</v>
      </c>
      <c r="N29" s="1">
        <v>3.0388310708084002E-7</v>
      </c>
      <c r="O29" s="1">
        <v>7.9975707549502702E-9</v>
      </c>
      <c r="P29" s="1">
        <v>-4.1391541784552403E-8</v>
      </c>
      <c r="Q29">
        <v>70.391871939987496</v>
      </c>
      <c r="R29">
        <v>0.127243191175128</v>
      </c>
      <c r="S29">
        <v>13.123054616082699</v>
      </c>
      <c r="T29">
        <v>0.25604633970340102</v>
      </c>
      <c r="V29">
        <v>0.60967758163738395</v>
      </c>
      <c r="W29">
        <v>0.316129285547667</v>
      </c>
      <c r="X29">
        <v>0.13847891682351701</v>
      </c>
      <c r="AA29">
        <v>0.481236378224279</v>
      </c>
      <c r="AB29">
        <v>3.66305192141844</v>
      </c>
      <c r="AC29">
        <v>4.3099074029046198</v>
      </c>
      <c r="AD29">
        <v>4.9848262732862997E-2</v>
      </c>
      <c r="AE29">
        <v>6.5334541637624399</v>
      </c>
    </row>
    <row r="30" spans="1:31" x14ac:dyDescent="0.2">
      <c r="A30">
        <v>29</v>
      </c>
      <c r="B30">
        <v>763</v>
      </c>
      <c r="C30">
        <v>250</v>
      </c>
      <c r="D30">
        <v>0.33362978333253301</v>
      </c>
      <c r="E30">
        <v>105.253210613238</v>
      </c>
      <c r="F30">
        <v>2.1904804788066699</v>
      </c>
      <c r="G30">
        <v>-1722.8583290512265</v>
      </c>
      <c r="H30">
        <v>-1437.4523050672283</v>
      </c>
      <c r="I30">
        <v>275.44855859093599</v>
      </c>
      <c r="J30">
        <v>142.164790864038</v>
      </c>
      <c r="K30">
        <v>48.050284689402297</v>
      </c>
      <c r="L30">
        <v>1.5573861661286636E-4</v>
      </c>
      <c r="M30">
        <v>1.7852058201122871E-5</v>
      </c>
      <c r="N30" s="1">
        <v>3.6093394575562201E-6</v>
      </c>
      <c r="O30" s="1">
        <v>1.0203792563669699E-7</v>
      </c>
      <c r="P30" s="1">
        <v>-5.1795183853321799E-7</v>
      </c>
      <c r="Q30">
        <v>72.795879150483302</v>
      </c>
      <c r="R30">
        <v>7.5057092833292899E-2</v>
      </c>
      <c r="S30">
        <v>11.8571204880952</v>
      </c>
      <c r="T30">
        <v>0.176771412955988</v>
      </c>
      <c r="V30">
        <v>0.42999480138944801</v>
      </c>
      <c r="W30">
        <v>2.4702334350197499E-2</v>
      </c>
      <c r="X30">
        <v>5.7005386961995197E-2</v>
      </c>
      <c r="AA30">
        <v>0.50354758483095197</v>
      </c>
      <c r="AB30">
        <v>3.78135733514562</v>
      </c>
      <c r="AC30">
        <v>4.2374004308415598</v>
      </c>
      <c r="AD30">
        <v>3.8003591307995701E-3</v>
      </c>
      <c r="AE30">
        <v>6.0573636229815104</v>
      </c>
    </row>
    <row r="31" spans="1:31" x14ac:dyDescent="0.2">
      <c r="A31">
        <v>30</v>
      </c>
      <c r="B31">
        <v>762</v>
      </c>
      <c r="C31">
        <v>250</v>
      </c>
      <c r="D31">
        <v>0.33291841762063901</v>
      </c>
      <c r="E31">
        <v>105.19020485502099</v>
      </c>
      <c r="F31">
        <v>2.1908705021408199</v>
      </c>
      <c r="G31">
        <v>-1721.5334523774425</v>
      </c>
      <c r="H31">
        <v>-1436.7105290203153</v>
      </c>
      <c r="I31">
        <v>275.151353289018</v>
      </c>
      <c r="J31">
        <v>142.071601665027</v>
      </c>
      <c r="K31">
        <v>48.012972356072098</v>
      </c>
      <c r="L31">
        <v>1.5570473822876878E-4</v>
      </c>
      <c r="M31">
        <v>1.7843477187284368E-5</v>
      </c>
      <c r="N31" s="1">
        <v>3.6113909867115398E-6</v>
      </c>
      <c r="O31" s="1">
        <v>1.0189567900290701E-7</v>
      </c>
      <c r="P31" s="1">
        <v>-5.1760452926370904E-7</v>
      </c>
      <c r="Q31">
        <v>72.783203488104306</v>
      </c>
      <c r="R31">
        <v>7.5102049766784001E-2</v>
      </c>
      <c r="S31">
        <v>11.864222545437</v>
      </c>
      <c r="T31">
        <v>0.17716944232797599</v>
      </c>
      <c r="V31">
        <v>0.42998947674424998</v>
      </c>
      <c r="W31">
        <v>2.4717130302991899E-2</v>
      </c>
      <c r="X31">
        <v>5.70395314684446E-2</v>
      </c>
      <c r="AA31">
        <v>0.503849194637917</v>
      </c>
      <c r="AB31">
        <v>3.7836222540733901</v>
      </c>
      <c r="AC31">
        <v>4.2399385058209003</v>
      </c>
      <c r="AD31">
        <v>3.8026354312294202E-3</v>
      </c>
      <c r="AE31">
        <v>6.0573437458847303</v>
      </c>
    </row>
    <row r="32" spans="1:31" x14ac:dyDescent="0.2">
      <c r="A32">
        <v>31</v>
      </c>
      <c r="B32">
        <v>761</v>
      </c>
      <c r="C32">
        <v>250</v>
      </c>
      <c r="D32">
        <v>0.33220567615916602</v>
      </c>
      <c r="E32">
        <v>104.969826909993</v>
      </c>
      <c r="F32">
        <v>2.1913288417937702</v>
      </c>
      <c r="G32">
        <v>-1717.5988742438792</v>
      </c>
      <c r="H32">
        <v>-1433.7574423049862</v>
      </c>
      <c r="I32">
        <v>274.46833818971402</v>
      </c>
      <c r="J32">
        <v>141.782556867908</v>
      </c>
      <c r="K32">
        <v>47.902361757839799</v>
      </c>
      <c r="L32">
        <v>1.5574705458085448E-4</v>
      </c>
      <c r="M32">
        <v>1.7836029914029549E-5</v>
      </c>
      <c r="N32" s="1">
        <v>3.6091301188777202E-6</v>
      </c>
      <c r="O32" s="1">
        <v>1.01630468444029E-7</v>
      </c>
      <c r="P32" s="1">
        <v>-5.1686477206924302E-7</v>
      </c>
      <c r="Q32">
        <v>72.736916605447107</v>
      </c>
      <c r="R32">
        <v>7.52597220796975E-2</v>
      </c>
      <c r="S32">
        <v>11.8891307791736</v>
      </c>
      <c r="T32">
        <v>0.17787926611565</v>
      </c>
      <c r="V32">
        <v>0.43058819776242602</v>
      </c>
      <c r="W32">
        <v>2.4769022456608801E-2</v>
      </c>
      <c r="X32">
        <v>5.7159282592177001E-2</v>
      </c>
      <c r="AA32">
        <v>0.50490699623087998</v>
      </c>
      <c r="AB32">
        <v>3.7915657452809102</v>
      </c>
      <c r="AC32">
        <v>4.2488400060182396</v>
      </c>
      <c r="AD32">
        <v>3.8106188394781098E-3</v>
      </c>
      <c r="AE32">
        <v>6.0591737580030998</v>
      </c>
    </row>
    <row r="33" spans="1:31" x14ac:dyDescent="0.2">
      <c r="A33">
        <v>32</v>
      </c>
      <c r="B33">
        <v>760</v>
      </c>
      <c r="C33">
        <v>250</v>
      </c>
      <c r="D33">
        <v>0.33149155495329902</v>
      </c>
      <c r="E33">
        <v>104.75052979089</v>
      </c>
      <c r="F33">
        <v>2.1917872080429599</v>
      </c>
      <c r="G33">
        <v>-1713.683491747415</v>
      </c>
      <c r="H33">
        <v>-1430.8189455648069</v>
      </c>
      <c r="I33">
        <v>273.78845877424101</v>
      </c>
      <c r="J33">
        <v>141.494927207644</v>
      </c>
      <c r="K33">
        <v>47.792289966151301</v>
      </c>
      <c r="L33">
        <v>1.5578937764724243E-4</v>
      </c>
      <c r="M33">
        <v>1.7828577820796364E-5</v>
      </c>
      <c r="N33" s="1">
        <v>3.6068917374615302E-6</v>
      </c>
      <c r="O33" s="1">
        <v>1.01366603756787E-7</v>
      </c>
      <c r="P33" s="1">
        <v>-5.1612946735261302E-7</v>
      </c>
      <c r="Q33">
        <v>72.690653364873498</v>
      </c>
      <c r="R33">
        <v>7.54172796621701E-2</v>
      </c>
      <c r="S33">
        <v>11.9140208884056</v>
      </c>
      <c r="T33">
        <v>0.17859154458493701</v>
      </c>
      <c r="V33">
        <v>0.431183809614892</v>
      </c>
      <c r="W33">
        <v>2.4820876850839901E-2</v>
      </c>
      <c r="X33">
        <v>5.7278946578866299E-2</v>
      </c>
      <c r="AA33">
        <v>0.50596402811329</v>
      </c>
      <c r="AB33">
        <v>3.79950345639784</v>
      </c>
      <c r="AC33">
        <v>4.2577350290286402</v>
      </c>
      <c r="AD33">
        <v>3.8185964385904999E-3</v>
      </c>
      <c r="AE33">
        <v>6.0610121794507403</v>
      </c>
    </row>
    <row r="34" spans="1:31" x14ac:dyDescent="0.2">
      <c r="A34">
        <v>33</v>
      </c>
      <c r="B34">
        <v>759</v>
      </c>
      <c r="C34">
        <v>250</v>
      </c>
      <c r="D34">
        <v>0.33077604999273502</v>
      </c>
      <c r="E34">
        <v>104.532304752394</v>
      </c>
      <c r="F34">
        <v>2.1922456019837502</v>
      </c>
      <c r="G34">
        <v>-1709.7871507663656</v>
      </c>
      <c r="H34">
        <v>-1427.8949203480643</v>
      </c>
      <c r="I34">
        <v>273.11168959773403</v>
      </c>
      <c r="J34">
        <v>141.20870129606101</v>
      </c>
      <c r="K34">
        <v>47.6827526340129</v>
      </c>
      <c r="L34">
        <v>1.5583170741957921E-4</v>
      </c>
      <c r="M34">
        <v>1.782112086972046E-5</v>
      </c>
      <c r="N34" s="1">
        <v>3.6046756774741599E-6</v>
      </c>
      <c r="O34" s="1">
        <v>1.0110407409594301E-7</v>
      </c>
      <c r="P34" s="1">
        <v>-5.1539858016750501E-7</v>
      </c>
      <c r="Q34">
        <v>72.644413560099593</v>
      </c>
      <c r="R34">
        <v>7.5574723227550197E-2</v>
      </c>
      <c r="S34">
        <v>11.9388929858232</v>
      </c>
      <c r="T34">
        <v>0.17930629229473199</v>
      </c>
      <c r="V34">
        <v>0.43177630479989998</v>
      </c>
      <c r="W34">
        <v>2.48726937204585E-2</v>
      </c>
      <c r="X34">
        <v>5.7398523970294997E-2</v>
      </c>
      <c r="AA34">
        <v>0.50702029507090296</v>
      </c>
      <c r="AB34">
        <v>3.80743542336254</v>
      </c>
      <c r="AC34">
        <v>4.2666236151247201</v>
      </c>
      <c r="AD34">
        <v>3.82656826468561E-3</v>
      </c>
      <c r="AE34">
        <v>6.0628590142412797</v>
      </c>
    </row>
    <row r="35" spans="1:31" x14ac:dyDescent="0.2">
      <c r="A35">
        <v>34</v>
      </c>
      <c r="B35">
        <v>758</v>
      </c>
      <c r="C35">
        <v>250</v>
      </c>
      <c r="D35">
        <v>0.330059157251614</v>
      </c>
      <c r="E35">
        <v>104.31514314315</v>
      </c>
      <c r="F35">
        <v>2.19270402470694</v>
      </c>
      <c r="G35">
        <v>-1705.9096988350666</v>
      </c>
      <c r="H35">
        <v>-1424.9852494757477</v>
      </c>
      <c r="I35">
        <v>272.438005488356</v>
      </c>
      <c r="J35">
        <v>140.923867867826</v>
      </c>
      <c r="K35">
        <v>47.573745461196999</v>
      </c>
      <c r="L35">
        <v>1.5587404389081098E-4</v>
      </c>
      <c r="M35">
        <v>1.7813659023052398E-5</v>
      </c>
      <c r="N35" s="1">
        <v>3.6024817758075399E-6</v>
      </c>
      <c r="O35" s="1">
        <v>1.00842868733983E-7</v>
      </c>
      <c r="P35" s="1">
        <v>-5.1467207595395905E-7</v>
      </c>
      <c r="Q35">
        <v>72.598196985340806</v>
      </c>
      <c r="R35">
        <v>7.5732053486798498E-2</v>
      </c>
      <c r="S35">
        <v>11.9637471837404</v>
      </c>
      <c r="T35">
        <v>0.18002352387722001</v>
      </c>
      <c r="V35">
        <v>0.432365675730921</v>
      </c>
      <c r="W35">
        <v>2.49244732994514E-2</v>
      </c>
      <c r="X35">
        <v>5.7518015306433801E-2</v>
      </c>
      <c r="AA35">
        <v>0.50807580187345402</v>
      </c>
      <c r="AB35">
        <v>3.8153616819930001</v>
      </c>
      <c r="AC35">
        <v>4.2755058044442604</v>
      </c>
      <c r="AD35">
        <v>3.8345343537613701E-3</v>
      </c>
      <c r="AE35">
        <v>6.0647142665533398</v>
      </c>
    </row>
    <row r="36" spans="1:31" x14ac:dyDescent="0.2">
      <c r="A36">
        <v>35</v>
      </c>
      <c r="B36">
        <v>757</v>
      </c>
      <c r="C36">
        <v>250</v>
      </c>
      <c r="D36">
        <v>0.32934087268844398</v>
      </c>
      <c r="E36">
        <v>104.099036404415</v>
      </c>
      <c r="F36">
        <v>2.1931624773013301</v>
      </c>
      <c r="G36">
        <v>-1702.0509851195416</v>
      </c>
      <c r="H36">
        <v>-1422.0898170232113</v>
      </c>
      <c r="I36">
        <v>271.76738154281401</v>
      </c>
      <c r="J36">
        <v>140.64041577855301</v>
      </c>
      <c r="K36">
        <v>47.465264193516497</v>
      </c>
      <c r="L36">
        <v>1.5591638705374835E-4</v>
      </c>
      <c r="M36">
        <v>1.7806192243042274E-5</v>
      </c>
      <c r="N36" s="1">
        <v>3.6003098711578302E-6</v>
      </c>
      <c r="O36" s="1">
        <v>1.00582977058174E-7</v>
      </c>
      <c r="P36" s="1">
        <v>-5.1394992052464299E-7</v>
      </c>
      <c r="Q36">
        <v>72.552003435368704</v>
      </c>
      <c r="R36">
        <v>7.5889271148576395E-2</v>
      </c>
      <c r="S36">
        <v>11.988583594108601</v>
      </c>
      <c r="T36">
        <v>0.18074325403848099</v>
      </c>
      <c r="V36">
        <v>0.43295191473681399</v>
      </c>
      <c r="W36">
        <v>2.4976215821048701E-2</v>
      </c>
      <c r="X36">
        <v>5.76374211255073E-2</v>
      </c>
      <c r="AA36">
        <v>0.50913055327525403</v>
      </c>
      <c r="AB36">
        <v>3.8232822679913698</v>
      </c>
      <c r="AC36">
        <v>4.28438163699514</v>
      </c>
      <c r="AD36">
        <v>3.8424947416992299E-3</v>
      </c>
      <c r="AE36">
        <v>6.0665779406486999</v>
      </c>
    </row>
    <row r="37" spans="1:31" x14ac:dyDescent="0.2">
      <c r="A37">
        <v>36</v>
      </c>
      <c r="B37">
        <v>756</v>
      </c>
      <c r="C37">
        <v>250</v>
      </c>
      <c r="D37">
        <v>0.32862119224602798</v>
      </c>
      <c r="E37">
        <v>103.883976068751</v>
      </c>
      <c r="F37">
        <v>2.1936209608500401</v>
      </c>
      <c r="G37">
        <v>-1698.2108603954036</v>
      </c>
      <c r="H37">
        <v>-1419.2085083023528</v>
      </c>
      <c r="I37">
        <v>271.09979312349998</v>
      </c>
      <c r="J37">
        <v>140.358334003294</v>
      </c>
      <c r="K37">
        <v>47.357304622260401</v>
      </c>
      <c r="L37">
        <v>1.5595873690335606E-4</v>
      </c>
      <c r="M37">
        <v>1.7798720492115034E-5</v>
      </c>
      <c r="N37" s="1">
        <v>3.5981598040749298E-6</v>
      </c>
      <c r="O37" s="1">
        <v>1.0032438857094101E-7</v>
      </c>
      <c r="P37" s="1">
        <v>-5.1323208007243002E-7</v>
      </c>
      <c r="Q37">
        <v>72.505832705369201</v>
      </c>
      <c r="R37">
        <v>7.6046376919304201E-2</v>
      </c>
      <c r="S37">
        <v>12.013402328522901</v>
      </c>
      <c r="T37">
        <v>0.18146549755897901</v>
      </c>
      <c r="V37">
        <v>0.43353501406218198</v>
      </c>
      <c r="W37">
        <v>2.50279215177437E-2</v>
      </c>
      <c r="X37">
        <v>5.7756741964035498E-2</v>
      </c>
      <c r="AA37">
        <v>0.51018455401557905</v>
      </c>
      <c r="AB37">
        <v>3.8311972169469999</v>
      </c>
      <c r="AC37">
        <v>4.2932511526589598</v>
      </c>
      <c r="AD37">
        <v>3.8504494642676102E-3</v>
      </c>
      <c r="AE37">
        <v>6.0684500409997497</v>
      </c>
    </row>
    <row r="38" spans="1:31" x14ac:dyDescent="0.2">
      <c r="A38">
        <v>37</v>
      </c>
      <c r="B38">
        <v>755</v>
      </c>
      <c r="C38">
        <v>250</v>
      </c>
      <c r="D38">
        <v>0.32790011185138401</v>
      </c>
      <c r="E38">
        <v>103.66995375877499</v>
      </c>
      <c r="F38">
        <v>2.1940794764362099</v>
      </c>
      <c r="G38">
        <v>-1694.3891770247069</v>
      </c>
      <c r="H38">
        <v>-1416.3412098449185</v>
      </c>
      <c r="I38">
        <v>270.43521585351198</v>
      </c>
      <c r="J38">
        <v>140.07761163463601</v>
      </c>
      <c r="K38">
        <v>47.249862583448497</v>
      </c>
      <c r="L38">
        <v>1.5600109343329678E-4</v>
      </c>
      <c r="M38">
        <v>1.7791243732600129E-5</v>
      </c>
      <c r="N38" s="1">
        <v>3.5960314168223102E-6</v>
      </c>
      <c r="O38" s="1">
        <v>1.0006709288529901E-7</v>
      </c>
      <c r="P38" s="1">
        <v>-5.1251852114580499E-7</v>
      </c>
      <c r="Q38">
        <v>72.459684591121203</v>
      </c>
      <c r="R38">
        <v>7.6203371503206593E-2</v>
      </c>
      <c r="S38">
        <v>12.0382034982335</v>
      </c>
      <c r="T38">
        <v>0.18219026929394799</v>
      </c>
      <c r="V38">
        <v>0.43411496586686599</v>
      </c>
      <c r="W38">
        <v>2.50795906213063E-2</v>
      </c>
      <c r="X38">
        <v>5.7875978356873498E-2</v>
      </c>
      <c r="AA38">
        <v>0.51123780881897296</v>
      </c>
      <c r="AB38">
        <v>3.83910656433852</v>
      </c>
      <c r="AC38">
        <v>4.3021143911931397</v>
      </c>
      <c r="AD38">
        <v>3.8583985571232801E-3</v>
      </c>
      <c r="AE38">
        <v>6.0703305720951501</v>
      </c>
    </row>
    <row r="39" spans="1:31" x14ac:dyDescent="0.2">
      <c r="A39">
        <v>38</v>
      </c>
      <c r="B39">
        <v>754</v>
      </c>
      <c r="C39">
        <v>250</v>
      </c>
      <c r="D39">
        <v>0.32717762741566497</v>
      </c>
      <c r="E39">
        <v>103.456961186021</v>
      </c>
      <c r="F39">
        <v>2.19453802513604</v>
      </c>
      <c r="G39">
        <v>-1690.5857889371468</v>
      </c>
      <c r="H39">
        <v>-1413.4878093867112</v>
      </c>
      <c r="I39">
        <v>269.77362561498802</v>
      </c>
      <c r="J39">
        <v>139.79823788153701</v>
      </c>
      <c r="K39">
        <v>47.142933957413497</v>
      </c>
      <c r="L39">
        <v>1.5604345664020983E-4</v>
      </c>
      <c r="M39">
        <v>1.7783761927064724E-5</v>
      </c>
      <c r="N39" s="1">
        <v>3.5939245534984501E-6</v>
      </c>
      <c r="O39" s="1">
        <v>9.9811079727142E-8</v>
      </c>
      <c r="P39" s="1">
        <v>-5.1180921066836E-7</v>
      </c>
      <c r="Q39">
        <v>72.413558888763404</v>
      </c>
      <c r="R39">
        <v>7.6360255602286001E-2</v>
      </c>
      <c r="S39">
        <v>12.062987214141399</v>
      </c>
      <c r="T39">
        <v>0.18291758417348999</v>
      </c>
      <c r="V39">
        <v>0.43469176222572897</v>
      </c>
      <c r="W39">
        <v>2.5131223362774499E-2</v>
      </c>
      <c r="X39">
        <v>5.7995130837190802E-2</v>
      </c>
      <c r="AA39">
        <v>0.51229032239507299</v>
      </c>
      <c r="AB39">
        <v>3.8470103455325302</v>
      </c>
      <c r="AC39">
        <v>4.3109713922295203</v>
      </c>
      <c r="AD39">
        <v>3.8663420558103199E-3</v>
      </c>
      <c r="AE39">
        <v>6.0722195386806499</v>
      </c>
    </row>
    <row r="40" spans="1:31" x14ac:dyDescent="0.2">
      <c r="A40">
        <v>39</v>
      </c>
      <c r="B40">
        <v>753</v>
      </c>
      <c r="C40">
        <v>250</v>
      </c>
      <c r="D40">
        <v>0.32645373483409301</v>
      </c>
      <c r="E40">
        <v>103.24499014941</v>
      </c>
      <c r="F40">
        <v>2.1949966080258898</v>
      </c>
      <c r="G40">
        <v>-1686.8005516022347</v>
      </c>
      <c r="H40">
        <v>-1410.6481958471513</v>
      </c>
      <c r="I40">
        <v>269.11499854317901</v>
      </c>
      <c r="J40">
        <v>139.52020206702599</v>
      </c>
      <c r="K40">
        <v>47.036514667904498</v>
      </c>
      <c r="L40">
        <v>1.5608582651957382E-4</v>
      </c>
      <c r="M40">
        <v>1.7776275037981103E-5</v>
      </c>
      <c r="N40" s="1">
        <v>3.5918390598616201E-6</v>
      </c>
      <c r="O40" s="1">
        <v>9.9556338929777693E-8</v>
      </c>
      <c r="P40" s="1">
        <v>-5.1110411590902799E-7</v>
      </c>
      <c r="Q40">
        <v>72.367455394962306</v>
      </c>
      <c r="R40">
        <v>7.6517029916588694E-2</v>
      </c>
      <c r="S40">
        <v>12.0877535868318</v>
      </c>
      <c r="T40">
        <v>0.18364745720407399</v>
      </c>
      <c r="V40">
        <v>0.43526539513032297</v>
      </c>
      <c r="W40">
        <v>2.51828199725448E-2</v>
      </c>
      <c r="X40">
        <v>5.8114199936661899E-2</v>
      </c>
      <c r="AA40">
        <v>0.513342099440394</v>
      </c>
      <c r="AB40">
        <v>3.8549085957973799</v>
      </c>
      <c r="AC40">
        <v>4.3198221952900999</v>
      </c>
      <c r="AD40">
        <v>3.8742799957748901E-3</v>
      </c>
      <c r="AE40">
        <v>6.0741169455219604</v>
      </c>
    </row>
    <row r="41" spans="1:31" x14ac:dyDescent="0.2">
      <c r="A41">
        <v>40</v>
      </c>
      <c r="B41">
        <v>752</v>
      </c>
      <c r="C41">
        <v>250</v>
      </c>
      <c r="D41">
        <v>0.32572842998585799</v>
      </c>
      <c r="E41">
        <v>103.034032534592</v>
      </c>
      <c r="F41">
        <v>2.1954552261757301</v>
      </c>
      <c r="G41">
        <v>-1683.0333220182783</v>
      </c>
      <c r="H41">
        <v>-1407.8222593201669</v>
      </c>
      <c r="I41">
        <v>268.45931102581102</v>
      </c>
      <c r="J41">
        <v>139.243493627616</v>
      </c>
      <c r="K41">
        <v>46.930600681876399</v>
      </c>
      <c r="L41">
        <v>1.5612820306943722E-4</v>
      </c>
      <c r="M41">
        <v>1.7768783028030514E-5</v>
      </c>
      <c r="N41" s="1">
        <v>3.5897747834525498E-6</v>
      </c>
      <c r="O41" s="1">
        <v>9.9302860436292597E-8</v>
      </c>
      <c r="P41" s="1">
        <v>-5.1040320450079499E-7</v>
      </c>
      <c r="Q41">
        <v>72.321373906781901</v>
      </c>
      <c r="R41">
        <v>7.6673695143865198E-2</v>
      </c>
      <c r="S41">
        <v>12.1125027265336</v>
      </c>
      <c r="T41">
        <v>0.18437990346726299</v>
      </c>
      <c r="V41">
        <v>0.43583585648587297</v>
      </c>
      <c r="W41">
        <v>2.52343806802558E-2</v>
      </c>
      <c r="X41">
        <v>5.8233186185226903E-2</v>
      </c>
      <c r="AA41">
        <v>0.51439314463604602</v>
      </c>
      <c r="AB41">
        <v>3.8628013502854701</v>
      </c>
      <c r="AC41">
        <v>4.3286668397666803</v>
      </c>
      <c r="AD41">
        <v>3.8822124123457299E-3</v>
      </c>
      <c r="AE41">
        <v>6.0760227976213796</v>
      </c>
    </row>
    <row r="42" spans="1:31" x14ac:dyDescent="0.2">
      <c r="A42">
        <v>41</v>
      </c>
      <c r="B42">
        <v>751</v>
      </c>
      <c r="C42">
        <v>250</v>
      </c>
      <c r="D42">
        <v>0.32500170873407402</v>
      </c>
      <c r="E42">
        <v>102.824080311751</v>
      </c>
      <c r="F42">
        <v>2.1959138806537002</v>
      </c>
      <c r="G42">
        <v>-1679.2839586741823</v>
      </c>
      <c r="H42">
        <v>-1405.0098910442723</v>
      </c>
      <c r="I42">
        <v>267.80653969624501</v>
      </c>
      <c r="J42">
        <v>138.968102110312</v>
      </c>
      <c r="K42">
        <v>46.825188008348199</v>
      </c>
      <c r="L42">
        <v>1.5617058628838664E-4</v>
      </c>
      <c r="M42">
        <v>1.776128585991163E-5</v>
      </c>
      <c r="N42" s="1">
        <v>3.58773157345887E-6</v>
      </c>
      <c r="O42" s="1">
        <v>9.90506342951125E-8</v>
      </c>
      <c r="P42" s="1">
        <v>-5.0970644441921105E-7</v>
      </c>
      <c r="Q42">
        <v>72.275314221597995</v>
      </c>
      <c r="R42">
        <v>7.6830251980358102E-2</v>
      </c>
      <c r="S42">
        <v>12.1372347432356</v>
      </c>
      <c r="T42">
        <v>0.185114938122629</v>
      </c>
      <c r="V42">
        <v>0.436403138115803</v>
      </c>
      <c r="W42">
        <v>2.5285905715050901E-2</v>
      </c>
      <c r="X42">
        <v>5.8352090111677697E-2</v>
      </c>
      <c r="AA42">
        <v>0.51544346265302299</v>
      </c>
      <c r="AB42">
        <v>3.8706886440733199</v>
      </c>
      <c r="AC42">
        <v>4.3375053649661197</v>
      </c>
      <c r="AD42">
        <v>3.8901393407756802E-3</v>
      </c>
      <c r="AE42">
        <v>6.0779371000875102</v>
      </c>
    </row>
    <row r="43" spans="1:31" x14ac:dyDescent="0.2">
      <c r="A43">
        <v>42</v>
      </c>
      <c r="B43">
        <v>750</v>
      </c>
      <c r="C43">
        <v>250</v>
      </c>
      <c r="D43">
        <v>0.324273566925672</v>
      </c>
      <c r="E43">
        <v>102.615125537577</v>
      </c>
      <c r="F43">
        <v>2.19637257252396</v>
      </c>
      <c r="G43">
        <v>-1675.552321580953</v>
      </c>
      <c r="H43">
        <v>-1402.2109834307298</v>
      </c>
      <c r="I43">
        <v>267.15666143793499</v>
      </c>
      <c r="J43">
        <v>138.69401717502299</v>
      </c>
      <c r="K43">
        <v>46.720272699297702</v>
      </c>
      <c r="L43">
        <v>1.5621297617447955E-4</v>
      </c>
      <c r="M43">
        <v>1.7753783496356079E-5</v>
      </c>
      <c r="N43" s="1">
        <v>3.58570928079489E-6</v>
      </c>
      <c r="O43" s="1">
        <v>9.8799650661421597E-8</v>
      </c>
      <c r="P43" s="1">
        <v>-5.0901380398824796E-7</v>
      </c>
      <c r="Q43">
        <v>72.229276137751299</v>
      </c>
      <c r="R43">
        <v>7.6986701118515397E-2</v>
      </c>
      <c r="S43">
        <v>12.1619497463273</v>
      </c>
      <c r="T43">
        <v>0.185852576401528</v>
      </c>
      <c r="V43">
        <v>0.43696723174913699</v>
      </c>
      <c r="W43">
        <v>2.5337395304823901E-2</v>
      </c>
      <c r="X43">
        <v>5.8470912241924501E-2</v>
      </c>
      <c r="AA43">
        <v>0.51649305813686197</v>
      </c>
      <c r="AB43">
        <v>3.8785705120462901</v>
      </c>
      <c r="AC43">
        <v>4.3463378099810202</v>
      </c>
      <c r="AD43">
        <v>3.8980608161252798E-3</v>
      </c>
      <c r="AE43">
        <v>6.0798598581250598</v>
      </c>
    </row>
    <row r="44" spans="1:31" x14ac:dyDescent="0.2">
      <c r="A44">
        <v>43</v>
      </c>
      <c r="B44">
        <v>749</v>
      </c>
      <c r="C44">
        <v>250</v>
      </c>
      <c r="D44">
        <v>0.32354400039133302</v>
      </c>
      <c r="E44">
        <v>102.407160349406</v>
      </c>
      <c r="F44">
        <v>2.19683130284848</v>
      </c>
      <c r="G44">
        <v>-1671.8382721735607</v>
      </c>
      <c r="H44">
        <v>-1399.4254299817001</v>
      </c>
      <c r="I44">
        <v>266.50965336972098</v>
      </c>
      <c r="J44">
        <v>138.42122858722701</v>
      </c>
      <c r="K44">
        <v>46.615850846909197</v>
      </c>
      <c r="L44">
        <v>1.5625537272791231E-4</v>
      </c>
      <c r="M44">
        <v>1.7746275900182074E-5</v>
      </c>
      <c r="N44" s="1">
        <v>3.5837077579577098E-6</v>
      </c>
      <c r="O44" s="1">
        <v>9.8549899792327599E-8</v>
      </c>
      <c r="P44" s="1">
        <v>-5.0832525186552196E-7</v>
      </c>
      <c r="Q44">
        <v>72.183259453470896</v>
      </c>
      <c r="R44">
        <v>7.7143043250552004E-2</v>
      </c>
      <c r="S44">
        <v>12.186647845160699</v>
      </c>
      <c r="T44">
        <v>0.186592833617436</v>
      </c>
      <c r="V44">
        <v>0.43752812903927801</v>
      </c>
      <c r="W44">
        <v>2.53888496773928E-2</v>
      </c>
      <c r="X44">
        <v>5.8589653101699501E-2</v>
      </c>
      <c r="AA44">
        <v>0.51754193573153795</v>
      </c>
      <c r="AB44">
        <v>3.88644698907799</v>
      </c>
      <c r="AC44">
        <v>4.3551642138909097</v>
      </c>
      <c r="AD44">
        <v>3.9059768734435599E-3</v>
      </c>
      <c r="AE44">
        <v>6.0817910771080603</v>
      </c>
    </row>
    <row r="45" spans="1:31" x14ac:dyDescent="0.2">
      <c r="A45">
        <v>44</v>
      </c>
      <c r="B45">
        <v>748</v>
      </c>
      <c r="C45">
        <v>250</v>
      </c>
      <c r="D45">
        <v>0.32281300494540499</v>
      </c>
      <c r="E45">
        <v>102.20017696846</v>
      </c>
      <c r="F45">
        <v>2.1972900726818199</v>
      </c>
      <c r="G45">
        <v>-1668.1416733641663</v>
      </c>
      <c r="H45">
        <v>-1396.6531253363066</v>
      </c>
      <c r="I45">
        <v>265.86549285399701</v>
      </c>
      <c r="J45">
        <v>138.149726222098</v>
      </c>
      <c r="K45">
        <v>46.511918585115801</v>
      </c>
      <c r="L45">
        <v>1.5629777595080717E-4</v>
      </c>
      <c r="M45">
        <v>1.7738763034415812E-5</v>
      </c>
      <c r="N45" s="1">
        <v>3.5817268591914799E-6</v>
      </c>
      <c r="O45" s="1">
        <v>9.8301372050546202E-8</v>
      </c>
      <c r="P45" s="1">
        <v>-5.07640757059574E-7</v>
      </c>
      <c r="Q45">
        <v>72.137263967723698</v>
      </c>
      <c r="R45">
        <v>7.7299279065225796E-2</v>
      </c>
      <c r="S45">
        <v>12.211329148542401</v>
      </c>
      <c r="T45">
        <v>0.187335725157037</v>
      </c>
      <c r="V45">
        <v>0.43808582154651499</v>
      </c>
      <c r="W45">
        <v>2.54402690594372E-2</v>
      </c>
      <c r="X45">
        <v>5.8708313214110401E-2</v>
      </c>
      <c r="AA45">
        <v>0.51859010005783002</v>
      </c>
      <c r="AB45">
        <v>3.8943181098678701</v>
      </c>
      <c r="AC45">
        <v>4.3639846155800601</v>
      </c>
      <c r="AD45">
        <v>3.9138875476041699E-3</v>
      </c>
      <c r="AE45">
        <v>6.0837307626381198</v>
      </c>
    </row>
    <row r="46" spans="1:31" x14ac:dyDescent="0.2">
      <c r="A46">
        <v>45</v>
      </c>
      <c r="B46">
        <v>747</v>
      </c>
      <c r="C46">
        <v>250</v>
      </c>
      <c r="D46">
        <v>0.32208057638582899</v>
      </c>
      <c r="E46">
        <v>101.994167694205</v>
      </c>
      <c r="F46">
        <v>2.1977488830809602</v>
      </c>
      <c r="G46">
        <v>-1664.4623894460019</v>
      </c>
      <c r="H46">
        <v>-1393.8939651921219</v>
      </c>
      <c r="I46">
        <v>265.22415748064498</v>
      </c>
      <c r="J46">
        <v>137.87950005704801</v>
      </c>
      <c r="K46">
        <v>46.408472086775802</v>
      </c>
      <c r="L46">
        <v>1.5634018584483685E-4</v>
      </c>
      <c r="M46">
        <v>1.7731244861959115E-5</v>
      </c>
      <c r="N46" s="1">
        <v>3.57976644018385E-6</v>
      </c>
      <c r="O46" s="1">
        <v>9.8054057895506202E-8</v>
      </c>
      <c r="P46" s="1">
        <v>-5.0696028888807404E-7</v>
      </c>
      <c r="Q46">
        <v>72.0912894794469</v>
      </c>
      <c r="R46">
        <v>7.7455409251300705E-2</v>
      </c>
      <c r="S46">
        <v>12.23599376528</v>
      </c>
      <c r="T46">
        <v>0.18808126649051399</v>
      </c>
      <c r="V46">
        <v>0.43864030075605698</v>
      </c>
      <c r="W46">
        <v>2.5491653677638799E-2</v>
      </c>
      <c r="X46">
        <v>5.8826893102269601E-2</v>
      </c>
      <c r="AA46">
        <v>0.51963755573655901</v>
      </c>
      <c r="AB46">
        <v>3.9021839091156698</v>
      </c>
      <c r="AC46">
        <v>4.3727990539330701</v>
      </c>
      <c r="AD46">
        <v>3.9217928734812304E-3</v>
      </c>
      <c r="AE46">
        <v>6.0856789203364103</v>
      </c>
    </row>
    <row r="47" spans="1:31" x14ac:dyDescent="0.2">
      <c r="A47">
        <v>46</v>
      </c>
      <c r="B47">
        <v>746</v>
      </c>
      <c r="C47">
        <v>250</v>
      </c>
      <c r="D47">
        <v>0.32134671049404001</v>
      </c>
      <c r="E47">
        <v>101.789124909845</v>
      </c>
      <c r="F47">
        <v>2.1982077350934301</v>
      </c>
      <c r="G47">
        <v>-1660.8002861848965</v>
      </c>
      <c r="H47">
        <v>-1391.1478463825781</v>
      </c>
      <c r="I47">
        <v>264.58562508199702</v>
      </c>
      <c r="J47">
        <v>137.61054017890899</v>
      </c>
      <c r="K47">
        <v>46.305507566380498</v>
      </c>
      <c r="L47">
        <v>1.5638260241329288E-4</v>
      </c>
      <c r="M47">
        <v>1.7723721345961275E-5</v>
      </c>
      <c r="N47" s="1">
        <v>3.5778263584066999E-6</v>
      </c>
      <c r="O47" s="1">
        <v>9.7807947891713503E-8</v>
      </c>
      <c r="P47" s="1">
        <v>-5.0628381701979599E-7</v>
      </c>
      <c r="Q47">
        <v>72.045335788716201</v>
      </c>
      <c r="R47">
        <v>7.7611434492609696E-2</v>
      </c>
      <c r="S47">
        <v>12.2606418034015</v>
      </c>
      <c r="T47">
        <v>0.18882947315769799</v>
      </c>
      <c r="V47">
        <v>0.43919155805183102</v>
      </c>
      <c r="W47">
        <v>2.55430037570567E-2</v>
      </c>
      <c r="X47">
        <v>5.8945393285543303E-2</v>
      </c>
      <c r="AA47">
        <v>0.520684307355467</v>
      </c>
      <c r="AB47">
        <v>3.9100444212727199</v>
      </c>
      <c r="AC47">
        <v>4.3816075675562702</v>
      </c>
      <c r="AD47">
        <v>3.9296928856992598E-3</v>
      </c>
      <c r="AE47">
        <v>6.0876355560673501</v>
      </c>
    </row>
    <row r="48" spans="1:31" x14ac:dyDescent="0.2">
      <c r="A48">
        <v>47</v>
      </c>
      <c r="B48">
        <v>745</v>
      </c>
      <c r="C48">
        <v>250</v>
      </c>
      <c r="D48">
        <v>0.32061140303491598</v>
      </c>
      <c r="E48">
        <v>101.58504107463</v>
      </c>
      <c r="F48">
        <v>2.1986666297666702</v>
      </c>
      <c r="G48">
        <v>-1657.1552306897136</v>
      </c>
      <c r="H48">
        <v>-1388.4146667696696</v>
      </c>
      <c r="I48">
        <v>263.94987371216803</v>
      </c>
      <c r="J48">
        <v>137.34283677402499</v>
      </c>
      <c r="K48">
        <v>46.2030212763135</v>
      </c>
      <c r="L48">
        <v>1.5642502566068332E-4</v>
      </c>
      <c r="M48">
        <v>1.7716192449570739E-5</v>
      </c>
      <c r="N48" s="1">
        <v>3.5759064727853699E-6</v>
      </c>
      <c r="O48" s="1">
        <v>9.7563032699070395E-8</v>
      </c>
      <c r="P48" s="1">
        <v>-5.05611311432829E-7</v>
      </c>
      <c r="Q48">
        <v>71.999402695453995</v>
      </c>
      <c r="R48">
        <v>7.7767355473102998E-2</v>
      </c>
      <c r="S48">
        <v>12.2852733709533</v>
      </c>
      <c r="T48">
        <v>0.18958036078276599</v>
      </c>
      <c r="V48">
        <v>0.43973958474276797</v>
      </c>
      <c r="W48">
        <v>2.5594319522788501E-2</v>
      </c>
      <c r="X48">
        <v>5.9063814283387001E-2</v>
      </c>
      <c r="AA48">
        <v>0.521730359503079</v>
      </c>
      <c r="AB48">
        <v>3.9178996807962898</v>
      </c>
      <c r="AC48">
        <v>4.3904101950625503</v>
      </c>
      <c r="AD48">
        <v>3.9375876188886801E-3</v>
      </c>
      <c r="AE48">
        <v>6.0896006758069596</v>
      </c>
    </row>
    <row r="49" spans="1:31" x14ac:dyDescent="0.2">
      <c r="A49">
        <v>48</v>
      </c>
      <c r="B49">
        <v>744</v>
      </c>
      <c r="C49">
        <v>250</v>
      </c>
      <c r="D49">
        <v>0.31987464975667701</v>
      </c>
      <c r="E49">
        <v>101.38190872691101</v>
      </c>
      <c r="F49">
        <v>2.19912556814291</v>
      </c>
      <c r="G49">
        <v>-1653.5270914623836</v>
      </c>
      <c r="H49">
        <v>-1385.6943252872495</v>
      </c>
      <c r="I49">
        <v>263.31688165475401</v>
      </c>
      <c r="J49">
        <v>137.076380132124</v>
      </c>
      <c r="K49">
        <v>46.101009508304301</v>
      </c>
      <c r="L49">
        <v>1.5646745559261952E-4</v>
      </c>
      <c r="M49">
        <v>1.7708658136058279E-5</v>
      </c>
      <c r="N49" s="1">
        <v>3.5740066438572698E-6</v>
      </c>
      <c r="O49" s="1">
        <v>9.7319303076423296E-8</v>
      </c>
      <c r="P49" s="1">
        <v>-5.0494274243142899E-7</v>
      </c>
      <c r="Q49">
        <v>71.953490000234197</v>
      </c>
      <c r="R49">
        <v>7.7923172873776703E-2</v>
      </c>
      <c r="S49">
        <v>12.309888575515901</v>
      </c>
      <c r="T49">
        <v>0.190333945065743</v>
      </c>
      <c r="V49">
        <v>0.44028437204630999</v>
      </c>
      <c r="W49">
        <v>2.5645601198959402E-2</v>
      </c>
      <c r="X49">
        <v>5.9182156613013299E-2</v>
      </c>
      <c r="AA49">
        <v>0.52277571674810497</v>
      </c>
      <c r="AB49">
        <v>3.9257497219947601</v>
      </c>
      <c r="AC49">
        <v>4.3992069748980098</v>
      </c>
      <c r="AD49">
        <v>3.9454771075302696E-3</v>
      </c>
      <c r="AE49">
        <v>6.0915742857035999</v>
      </c>
    </row>
    <row r="50" spans="1:31" x14ac:dyDescent="0.2">
      <c r="A50">
        <v>49</v>
      </c>
      <c r="B50">
        <v>743</v>
      </c>
      <c r="C50">
        <v>250</v>
      </c>
      <c r="D50">
        <v>0.31913644639078897</v>
      </c>
      <c r="E50">
        <v>67.1576573633359</v>
      </c>
      <c r="F50">
        <v>2.2042115265007101</v>
      </c>
      <c r="G50">
        <v>-1092.6862056461841</v>
      </c>
      <c r="H50">
        <v>-915.63700963406654</v>
      </c>
      <c r="I50">
        <v>174.23529598200801</v>
      </c>
      <c r="J50">
        <v>90.784667667231204</v>
      </c>
      <c r="K50">
        <v>30.4678823043593</v>
      </c>
      <c r="L50">
        <v>1.5663992909451403E-4</v>
      </c>
      <c r="M50">
        <v>1.7686486320013251E-5</v>
      </c>
      <c r="N50" s="1">
        <v>2.3636642657008399E-6</v>
      </c>
      <c r="O50" s="1">
        <v>6.4248108062571504E-8</v>
      </c>
      <c r="P50" s="1">
        <v>-3.3367305182584399E-7</v>
      </c>
      <c r="Q50">
        <v>71.6967520777781</v>
      </c>
      <c r="R50">
        <v>0.117633644623137</v>
      </c>
      <c r="S50">
        <v>12.2537557253694</v>
      </c>
      <c r="T50">
        <v>0.28632142727716597</v>
      </c>
      <c r="V50">
        <v>0.66556558219248596</v>
      </c>
      <c r="W50">
        <v>3.8714870382283099E-2</v>
      </c>
      <c r="X50">
        <v>8.9342008574587004E-2</v>
      </c>
      <c r="AA50">
        <v>0.50208747241232099</v>
      </c>
      <c r="AB50">
        <v>3.8737293432419602</v>
      </c>
      <c r="AC50">
        <v>4.3954016074720297</v>
      </c>
      <c r="AD50">
        <v>5.9561339049619402E-3</v>
      </c>
      <c r="AE50">
        <v>6.0747401067714204</v>
      </c>
    </row>
    <row r="51" spans="1:31" x14ac:dyDescent="0.2">
      <c r="A51">
        <v>50</v>
      </c>
      <c r="B51">
        <v>742</v>
      </c>
      <c r="C51">
        <v>250</v>
      </c>
      <c r="D51">
        <v>0.318396788651924</v>
      </c>
      <c r="E51">
        <v>20.756837399216099</v>
      </c>
      <c r="F51">
        <v>2.2062426604928098</v>
      </c>
      <c r="G51">
        <v>-337.8081541897098</v>
      </c>
      <c r="H51">
        <v>-283.19399177843775</v>
      </c>
      <c r="I51">
        <v>53.799105956037998</v>
      </c>
      <c r="J51">
        <v>28.081364258261999</v>
      </c>
      <c r="K51">
        <v>9.4082295528541895</v>
      </c>
      <c r="L51">
        <v>1.565700993302033E-4</v>
      </c>
      <c r="M51">
        <v>1.7684191027760432E-5</v>
      </c>
      <c r="N51" s="1">
        <v>7.3050324113447298E-7</v>
      </c>
      <c r="O51" s="1">
        <v>1.9817443604893201E-8</v>
      </c>
      <c r="P51" s="1">
        <v>-1.02756200510285E-7</v>
      </c>
      <c r="Q51">
        <v>71.496441799461806</v>
      </c>
      <c r="R51">
        <v>0.139999509144066</v>
      </c>
      <c r="S51">
        <v>12.483086306325699</v>
      </c>
      <c r="T51">
        <v>0.25714606512135602</v>
      </c>
      <c r="V51">
        <v>0.60064073170960397</v>
      </c>
      <c r="W51">
        <v>0.12478677406495201</v>
      </c>
      <c r="X51">
        <v>0.14979639154792701</v>
      </c>
      <c r="AA51">
        <v>0.49129502878026399</v>
      </c>
      <c r="AB51">
        <v>3.7635430108313499</v>
      </c>
      <c r="AC51">
        <v>4.4066054273478201</v>
      </c>
      <c r="AD51">
        <v>1.9270758464126299E-2</v>
      </c>
      <c r="AE51">
        <v>6.0673881972009402</v>
      </c>
    </row>
    <row r="52" spans="1:31" x14ac:dyDescent="0.2">
      <c r="A52">
        <v>51</v>
      </c>
      <c r="B52">
        <v>741</v>
      </c>
      <c r="C52">
        <v>250</v>
      </c>
      <c r="D52">
        <v>0.31765567223783697</v>
      </c>
      <c r="E52">
        <v>11.3782121881296</v>
      </c>
      <c r="F52">
        <v>2.20874705611191</v>
      </c>
      <c r="G52">
        <v>-185.11818180058268</v>
      </c>
      <c r="H52">
        <v>-155.2385306033656</v>
      </c>
      <c r="I52">
        <v>29.462753238886801</v>
      </c>
      <c r="J52">
        <v>15.401084902610499</v>
      </c>
      <c r="K52">
        <v>5.1514328707963903</v>
      </c>
      <c r="L52">
        <v>1.5670567544595032E-4</v>
      </c>
      <c r="M52">
        <v>1.7703193850084473E-5</v>
      </c>
      <c r="N52" s="1">
        <v>4.0108633081109803E-7</v>
      </c>
      <c r="O52" s="1">
        <v>1.08586173626226E-8</v>
      </c>
      <c r="P52" s="1">
        <v>-5.6208790816995799E-8</v>
      </c>
      <c r="Q52">
        <v>71.219065172565806</v>
      </c>
      <c r="R52">
        <v>0.139037137340668</v>
      </c>
      <c r="S52">
        <v>12.7689444135444</v>
      </c>
      <c r="T52">
        <v>0.25385324027806699</v>
      </c>
      <c r="V52">
        <v>0.59733964318787303</v>
      </c>
      <c r="W52">
        <v>0.22522318080238099</v>
      </c>
      <c r="X52">
        <v>0.14927062741710301</v>
      </c>
      <c r="AA52">
        <v>0.48920064141986302</v>
      </c>
      <c r="AB52">
        <v>3.63421196337488</v>
      </c>
      <c r="AC52">
        <v>4.4184210047726404</v>
      </c>
      <c r="AD52">
        <v>3.5154907764575798E-2</v>
      </c>
      <c r="AE52">
        <v>6.0702780675316799</v>
      </c>
    </row>
    <row r="53" spans="1:31" x14ac:dyDescent="0.2">
      <c r="A53">
        <v>52</v>
      </c>
      <c r="B53">
        <v>740</v>
      </c>
      <c r="C53">
        <v>250</v>
      </c>
      <c r="D53">
        <v>0.31691309282929903</v>
      </c>
      <c r="E53">
        <v>8.0669612960864505</v>
      </c>
      <c r="F53">
        <v>2.2110225915439399</v>
      </c>
      <c r="G53">
        <v>-131.20852337174153</v>
      </c>
      <c r="H53">
        <v>-110.06433783651646</v>
      </c>
      <c r="I53">
        <v>20.869748344494901</v>
      </c>
      <c r="J53">
        <v>10.924325175773699</v>
      </c>
      <c r="K53">
        <v>3.6485205202961399</v>
      </c>
      <c r="L53">
        <v>1.5684210574825675E-4</v>
      </c>
      <c r="M53">
        <v>1.7720751329143943E-5</v>
      </c>
      <c r="N53" s="1">
        <v>2.8485493395938601E-7</v>
      </c>
      <c r="O53" s="1">
        <v>7.6960971037629003E-9</v>
      </c>
      <c r="P53" s="1">
        <v>-3.9781746355645401E-8</v>
      </c>
      <c r="Q53">
        <v>70.965648285373405</v>
      </c>
      <c r="R53">
        <v>0.13824826779897501</v>
      </c>
      <c r="S53">
        <v>13.0284617366631</v>
      </c>
      <c r="T53">
        <v>0.25076196930305999</v>
      </c>
      <c r="V53">
        <v>0.593832420169635</v>
      </c>
      <c r="W53">
        <v>0.314948209527731</v>
      </c>
      <c r="X53">
        <v>0.14874576919716401</v>
      </c>
      <c r="AA53">
        <v>0.48897373634890301</v>
      </c>
      <c r="AB53">
        <v>3.5194577710276902</v>
      </c>
      <c r="AC53">
        <v>4.4275013584843901</v>
      </c>
      <c r="AD53">
        <v>4.9584965802865498E-2</v>
      </c>
      <c r="AE53">
        <v>6.0738355103030104</v>
      </c>
    </row>
    <row r="54" spans="1:31" x14ac:dyDescent="0.2">
      <c r="A54">
        <v>53</v>
      </c>
      <c r="B54">
        <v>763</v>
      </c>
      <c r="C54">
        <v>225</v>
      </c>
      <c r="D54">
        <v>0.360170342131933</v>
      </c>
      <c r="E54">
        <v>104.849839538295</v>
      </c>
      <c r="F54">
        <v>2.1917632275488099</v>
      </c>
      <c r="G54">
        <v>-1715.2651319502468</v>
      </c>
      <c r="H54">
        <v>-1433.364377897776</v>
      </c>
      <c r="I54">
        <v>272.06558321910001</v>
      </c>
      <c r="J54">
        <v>141.24200140466601</v>
      </c>
      <c r="K54">
        <v>47.838123306574303</v>
      </c>
      <c r="L54">
        <v>1.5125404369355171E-4</v>
      </c>
      <c r="M54">
        <v>1.7772576395988974E-5</v>
      </c>
      <c r="N54" s="1">
        <v>3.4070425884753101E-6</v>
      </c>
      <c r="O54" s="1">
        <v>9.7931203197001097E-8</v>
      </c>
      <c r="P54" s="1">
        <v>-4.9879303444285299E-7</v>
      </c>
      <c r="Q54">
        <v>73.075934438636594</v>
      </c>
      <c r="R54">
        <v>7.5345847306848707E-2</v>
      </c>
      <c r="S54">
        <v>11.902736384677301</v>
      </c>
      <c r="T54">
        <v>0.17962625693807999</v>
      </c>
      <c r="V54">
        <v>0.42969215568785502</v>
      </c>
      <c r="W54">
        <v>2.4797367468076599E-2</v>
      </c>
      <c r="X54">
        <v>5.7224694157100901E-2</v>
      </c>
      <c r="AA54">
        <v>0.50548479838771898</v>
      </c>
      <c r="AB54">
        <v>3.7959047124209602</v>
      </c>
      <c r="AC54">
        <v>4.2537022656777399</v>
      </c>
      <c r="AD54">
        <v>3.8149796104732701E-3</v>
      </c>
      <c r="AE54">
        <v>5.6957360990311496</v>
      </c>
    </row>
    <row r="55" spans="1:31" x14ac:dyDescent="0.2">
      <c r="A55">
        <v>54</v>
      </c>
      <c r="B55">
        <v>762</v>
      </c>
      <c r="C55">
        <v>225</v>
      </c>
      <c r="D55">
        <v>0.35948461575617302</v>
      </c>
      <c r="E55">
        <v>104.72807135555701</v>
      </c>
      <c r="F55">
        <v>2.1921747622702399</v>
      </c>
      <c r="G55">
        <v>-1712.968937959017</v>
      </c>
      <c r="H55">
        <v>-1431.7943185852021</v>
      </c>
      <c r="I55">
        <v>271.62693268976898</v>
      </c>
      <c r="J55">
        <v>141.07611259692399</v>
      </c>
      <c r="K55">
        <v>47.773595955050503</v>
      </c>
      <c r="L55">
        <v>1.5124961651262722E-4</v>
      </c>
      <c r="M55">
        <v>1.7764508430570562E-5</v>
      </c>
      <c r="N55" s="1">
        <v>3.4073497139768299E-6</v>
      </c>
      <c r="O55" s="1">
        <v>9.7750153585036496E-8</v>
      </c>
      <c r="P55" s="1">
        <v>-4.9831271197682604E-7</v>
      </c>
      <c r="Q55">
        <v>73.050703085338796</v>
      </c>
      <c r="R55">
        <v>7.5433452538041207E-2</v>
      </c>
      <c r="S55">
        <v>11.9165757933521</v>
      </c>
      <c r="T55">
        <v>0.180149239241298</v>
      </c>
      <c r="V55">
        <v>0.42990910517840297</v>
      </c>
      <c r="W55">
        <v>2.4826199569481601E-2</v>
      </c>
      <c r="X55">
        <v>5.7291229775728703E-2</v>
      </c>
      <c r="AA55">
        <v>0.50607252968559202</v>
      </c>
      <c r="AB55">
        <v>3.8003182417898902</v>
      </c>
      <c r="AC55">
        <v>4.2586480799956599</v>
      </c>
      <c r="AD55">
        <v>3.81941531838167E-3</v>
      </c>
      <c r="AE55">
        <v>5.6962536282164598</v>
      </c>
    </row>
    <row r="56" spans="1:31" x14ac:dyDescent="0.2">
      <c r="A56">
        <v>55</v>
      </c>
      <c r="B56">
        <v>761</v>
      </c>
      <c r="C56">
        <v>225</v>
      </c>
      <c r="D56">
        <v>0.35879756321617101</v>
      </c>
      <c r="E56">
        <v>104.51548907168601</v>
      </c>
      <c r="F56">
        <v>2.1926300319093102</v>
      </c>
      <c r="G56">
        <v>-1709.167271536129</v>
      </c>
      <c r="H56">
        <v>-1428.9466065477002</v>
      </c>
      <c r="I56">
        <v>270.967137251297</v>
      </c>
      <c r="J56">
        <v>140.79742517752999</v>
      </c>
      <c r="K56">
        <v>47.666723318879001</v>
      </c>
      <c r="L56">
        <v>1.5128839650896368E-4</v>
      </c>
      <c r="M56">
        <v>1.7756995309022423E-5</v>
      </c>
      <c r="N56" s="1">
        <v>3.4052582696753601E-6</v>
      </c>
      <c r="O56" s="1">
        <v>9.7499876419819102E-8</v>
      </c>
      <c r="P56" s="1">
        <v>-4.9761216187005199E-7</v>
      </c>
      <c r="Q56">
        <v>73.005970995621396</v>
      </c>
      <c r="R56">
        <v>7.5586882577581602E-2</v>
      </c>
      <c r="S56">
        <v>11.940813855295501</v>
      </c>
      <c r="T56">
        <v>0.180857956869279</v>
      </c>
      <c r="V56">
        <v>0.43047552774018799</v>
      </c>
      <c r="W56">
        <v>2.4876695531861701E-2</v>
      </c>
      <c r="X56">
        <v>5.7407758919684498E-2</v>
      </c>
      <c r="AA56">
        <v>0.50710187045719102</v>
      </c>
      <c r="AB56">
        <v>3.8080480083388499</v>
      </c>
      <c r="AC56">
        <v>4.2673100796962196</v>
      </c>
      <c r="AD56">
        <v>3.82718392797854E-3</v>
      </c>
      <c r="AE56">
        <v>5.6977231850241701</v>
      </c>
    </row>
    <row r="57" spans="1:31" x14ac:dyDescent="0.2">
      <c r="A57">
        <v>56</v>
      </c>
      <c r="B57">
        <v>760</v>
      </c>
      <c r="C57">
        <v>225</v>
      </c>
      <c r="D57">
        <v>0.35810918066108399</v>
      </c>
      <c r="E57">
        <v>104.303919612378</v>
      </c>
      <c r="F57">
        <v>2.1930853920445701</v>
      </c>
      <c r="G57">
        <v>-1705.3836098989652</v>
      </c>
      <c r="H57">
        <v>-1426.1125696142901</v>
      </c>
      <c r="I57">
        <v>270.31025532079002</v>
      </c>
      <c r="J57">
        <v>140.52005793775001</v>
      </c>
      <c r="K57">
        <v>47.560354918572997</v>
      </c>
      <c r="L57">
        <v>1.513271441602862E-4</v>
      </c>
      <c r="M57">
        <v>1.7749474878368876E-5</v>
      </c>
      <c r="N57" s="1">
        <v>3.4031855122440999E-6</v>
      </c>
      <c r="O57" s="1">
        <v>9.7250801716467101E-8</v>
      </c>
      <c r="P57" s="1">
        <v>-4.9691548194220504E-7</v>
      </c>
      <c r="Q57">
        <v>72.961264219967205</v>
      </c>
      <c r="R57">
        <v>7.5740202567254694E-2</v>
      </c>
      <c r="S57">
        <v>11.965034532147399</v>
      </c>
      <c r="T57">
        <v>0.181569127846748</v>
      </c>
      <c r="V57">
        <v>0.431038879068391</v>
      </c>
      <c r="W57">
        <v>2.49271552752975E-2</v>
      </c>
      <c r="X57">
        <v>5.7524204481464898E-2</v>
      </c>
      <c r="AA57">
        <v>0.50813047291955205</v>
      </c>
      <c r="AB57">
        <v>3.8157722306032902</v>
      </c>
      <c r="AC57">
        <v>4.27596586645475</v>
      </c>
      <c r="AD57">
        <v>3.8349469654298798E-3</v>
      </c>
      <c r="AE57">
        <v>5.6991981617030296</v>
      </c>
    </row>
    <row r="58" spans="1:31" x14ac:dyDescent="0.2">
      <c r="A58">
        <v>57</v>
      </c>
      <c r="B58">
        <v>759</v>
      </c>
      <c r="C58">
        <v>225</v>
      </c>
      <c r="D58">
        <v>0.35741946422516302</v>
      </c>
      <c r="E58">
        <v>104.093355031518</v>
      </c>
      <c r="F58">
        <v>2.1935408442445898</v>
      </c>
      <c r="G58">
        <v>-1701.6178127925587</v>
      </c>
      <c r="H58">
        <v>-1423.2921001593825</v>
      </c>
      <c r="I58">
        <v>269.65626375350098</v>
      </c>
      <c r="J58">
        <v>140.24400053276199</v>
      </c>
      <c r="K58">
        <v>47.454486796832697</v>
      </c>
      <c r="L58">
        <v>1.5136585903779748E-4</v>
      </c>
      <c r="M58">
        <v>1.7741947075424349E-5</v>
      </c>
      <c r="N58" s="1">
        <v>3.4011312883498101E-6</v>
      </c>
      <c r="O58" s="1">
        <v>9.7002919708289396E-8</v>
      </c>
      <c r="P58" s="1">
        <v>-4.9622263992277196E-7</v>
      </c>
      <c r="Q58">
        <v>72.916582597074196</v>
      </c>
      <c r="R58">
        <v>7.5893413154068598E-2</v>
      </c>
      <c r="S58">
        <v>11.989237926115401</v>
      </c>
      <c r="T58">
        <v>0.18228276653370901</v>
      </c>
      <c r="V58">
        <v>0.43159915131994298</v>
      </c>
      <c r="W58">
        <v>2.4977579012729699E-2</v>
      </c>
      <c r="X58">
        <v>5.76405669524633E-2</v>
      </c>
      <c r="AA58">
        <v>0.50915834141336602</v>
      </c>
      <c r="AB58">
        <v>3.82349094117947</v>
      </c>
      <c r="AC58">
        <v>4.28461547679888</v>
      </c>
      <c r="AD58">
        <v>3.84270446349635E-3</v>
      </c>
      <c r="AE58">
        <v>5.7006785359821297</v>
      </c>
    </row>
    <row r="59" spans="1:31" x14ac:dyDescent="0.2">
      <c r="A59">
        <v>58</v>
      </c>
      <c r="B59">
        <v>758</v>
      </c>
      <c r="C59">
        <v>225</v>
      </c>
      <c r="D59">
        <v>0.356728410027642</v>
      </c>
      <c r="E59">
        <v>103.883787465673</v>
      </c>
      <c r="F59">
        <v>2.1939963900793402</v>
      </c>
      <c r="G59">
        <v>-1697.8697414203568</v>
      </c>
      <c r="H59">
        <v>-1420.4850916774501</v>
      </c>
      <c r="I59">
        <v>269.00513964302598</v>
      </c>
      <c r="J59">
        <v>139.96924272535199</v>
      </c>
      <c r="K59">
        <v>47.349115037475798</v>
      </c>
      <c r="L59">
        <v>1.5140454070946714E-4</v>
      </c>
      <c r="M59">
        <v>1.7734411836841627E-5</v>
      </c>
      <c r="N59" s="1">
        <v>3.3990954460679901E-6</v>
      </c>
      <c r="O59" s="1">
        <v>9.6756220727519206E-8</v>
      </c>
      <c r="P59" s="1">
        <v>-4.9553360385413096E-7</v>
      </c>
      <c r="Q59">
        <v>72.871925966342801</v>
      </c>
      <c r="R59">
        <v>7.6046514983010502E-2</v>
      </c>
      <c r="S59">
        <v>12.013424139093599</v>
      </c>
      <c r="T59">
        <v>0.18299888736228401</v>
      </c>
      <c r="V59">
        <v>0.43215633657026498</v>
      </c>
      <c r="W59">
        <v>2.50279669564317E-2</v>
      </c>
      <c r="X59">
        <v>5.7756846822547302E-2</v>
      </c>
      <c r="AA59">
        <v>0.51018548026576005</v>
      </c>
      <c r="AB59">
        <v>3.8312041725615602</v>
      </c>
      <c r="AC59">
        <v>4.2932589471415801</v>
      </c>
      <c r="AD59">
        <v>3.85045645483497E-3</v>
      </c>
      <c r="AE59">
        <v>5.7021642854451198</v>
      </c>
    </row>
    <row r="60" spans="1:31" x14ac:dyDescent="0.2">
      <c r="A60">
        <v>59</v>
      </c>
      <c r="B60">
        <v>757</v>
      </c>
      <c r="C60">
        <v>225</v>
      </c>
      <c r="D60">
        <v>0.35603601417269398</v>
      </c>
      <c r="E60">
        <v>103.675209134996</v>
      </c>
      <c r="F60">
        <v>2.1944520311208402</v>
      </c>
      <c r="G60">
        <v>-1694.1392584577798</v>
      </c>
      <c r="H60">
        <v>-1417.6914387964107</v>
      </c>
      <c r="I60">
        <v>268.35686032264101</v>
      </c>
      <c r="J60">
        <v>139.69577438688299</v>
      </c>
      <c r="K60">
        <v>47.244235765793199</v>
      </c>
      <c r="L60">
        <v>1.5144318873806608E-4</v>
      </c>
      <c r="M60">
        <v>1.7726869099020011E-5</v>
      </c>
      <c r="N60" s="1">
        <v>3.3970778348831901E-6</v>
      </c>
      <c r="O60" s="1">
        <v>9.6510695204679095E-8</v>
      </c>
      <c r="P60" s="1">
        <v>-4.9484834208661297E-7</v>
      </c>
      <c r="Q60">
        <v>72.8272941683678</v>
      </c>
      <c r="R60">
        <v>7.6199508695599105E-2</v>
      </c>
      <c r="S60">
        <v>12.037593272424299</v>
      </c>
      <c r="T60">
        <v>0.18371750483336999</v>
      </c>
      <c r="V60">
        <v>0.432710426806174</v>
      </c>
      <c r="W60">
        <v>2.50783193175367E-2</v>
      </c>
      <c r="X60">
        <v>5.7873044578944002E-2</v>
      </c>
      <c r="AA60">
        <v>0.51121189378059395</v>
      </c>
      <c r="AB60">
        <v>3.8389119570691701</v>
      </c>
      <c r="AC60">
        <v>4.3018963137003503</v>
      </c>
      <c r="AD60">
        <v>3.8582029719279802E-3</v>
      </c>
      <c r="AE60">
        <v>5.7036553874540896</v>
      </c>
    </row>
    <row r="61" spans="1:31" x14ac:dyDescent="0.2">
      <c r="A61">
        <v>60</v>
      </c>
      <c r="B61">
        <v>756</v>
      </c>
      <c r="C61">
        <v>225</v>
      </c>
      <c r="D61">
        <v>0.35534227274935698</v>
      </c>
      <c r="E61">
        <v>103.46761233986</v>
      </c>
      <c r="F61">
        <v>2.1949077689436098</v>
      </c>
      <c r="G61">
        <v>-1690.4262279953857</v>
      </c>
      <c r="H61">
        <v>-1414.9110372307644</v>
      </c>
      <c r="I61">
        <v>267.71140335677097</v>
      </c>
      <c r="J61">
        <v>139.42358549309401</v>
      </c>
      <c r="K61">
        <v>47.139845146959303</v>
      </c>
      <c r="L61">
        <v>1.5148180268266724E-4</v>
      </c>
      <c r="M61">
        <v>1.7719318798151869E-5</v>
      </c>
      <c r="N61" s="1">
        <v>3.39507830562162E-6</v>
      </c>
      <c r="O61" s="1">
        <v>9.6266333665900603E-8</v>
      </c>
      <c r="P61" s="1">
        <v>-4.9416682327106801E-7</v>
      </c>
      <c r="Q61">
        <v>72.782687044411006</v>
      </c>
      <c r="R61">
        <v>7.6352394931576695E-2</v>
      </c>
      <c r="S61">
        <v>12.0617454271716</v>
      </c>
      <c r="T61">
        <v>0.18443863352138801</v>
      </c>
      <c r="V61">
        <v>0.43326141393408202</v>
      </c>
      <c r="W61">
        <v>2.51286363065924E-2</v>
      </c>
      <c r="X61">
        <v>5.7989160707535299E-2</v>
      </c>
      <c r="AA61">
        <v>0.51223758624980997</v>
      </c>
      <c r="AB61">
        <v>3.8466143269323299</v>
      </c>
      <c r="AC61">
        <v>4.3105276125921996</v>
      </c>
      <c r="AD61">
        <v>3.8659440471672602E-3</v>
      </c>
      <c r="AE61">
        <v>5.7051518191945201</v>
      </c>
    </row>
    <row r="62" spans="1:31" x14ac:dyDescent="0.2">
      <c r="A62">
        <v>61</v>
      </c>
      <c r="B62">
        <v>755</v>
      </c>
      <c r="C62">
        <v>225</v>
      </c>
      <c r="D62">
        <v>0.354647181831445</v>
      </c>
      <c r="E62">
        <v>103.260989461017</v>
      </c>
      <c r="F62">
        <v>2.1953636051261198</v>
      </c>
      <c r="G62">
        <v>-1686.7305155400975</v>
      </c>
      <c r="H62">
        <v>-1412.1437837845365</v>
      </c>
      <c r="I62">
        <v>267.06874654044702</v>
      </c>
      <c r="J62">
        <v>139.15266612413399</v>
      </c>
      <c r="K62">
        <v>47.035939386033803</v>
      </c>
      <c r="L62">
        <v>1.515203820968285E-4</v>
      </c>
      <c r="M62">
        <v>1.7711760870117806E-5</v>
      </c>
      <c r="N62" s="1">
        <v>3.3930967104242101E-6</v>
      </c>
      <c r="O62" s="1">
        <v>9.6023126731550202E-8</v>
      </c>
      <c r="P62" s="1">
        <v>-4.9348901635091705E-7</v>
      </c>
      <c r="Q62">
        <v>72.738104436732002</v>
      </c>
      <c r="R62">
        <v>7.6505174328033193E-2</v>
      </c>
      <c r="S62">
        <v>12.085880703979701</v>
      </c>
      <c r="T62">
        <v>0.18516228807228</v>
      </c>
      <c r="V62">
        <v>0.433809289775346</v>
      </c>
      <c r="W62">
        <v>2.5178918133274001E-2</v>
      </c>
      <c r="X62">
        <v>5.8105195692186903E-2</v>
      </c>
      <c r="AA62">
        <v>0.51326256194755604</v>
      </c>
      <c r="AB62">
        <v>3.8543113142474401</v>
      </c>
      <c r="AC62">
        <v>4.3191528797844798</v>
      </c>
      <c r="AD62">
        <v>3.8736797128104601E-3</v>
      </c>
      <c r="AE62">
        <v>5.7066535575947501</v>
      </c>
    </row>
    <row r="63" spans="1:31" x14ac:dyDescent="0.2">
      <c r="A63">
        <v>62</v>
      </c>
      <c r="B63">
        <v>754</v>
      </c>
      <c r="C63">
        <v>225</v>
      </c>
      <c r="D63">
        <v>0.35395073747748601</v>
      </c>
      <c r="E63">
        <v>103.055332959594</v>
      </c>
      <c r="F63">
        <v>2.1958195412466401</v>
      </c>
      <c r="G63">
        <v>-1683.051988014623</v>
      </c>
      <c r="H63">
        <v>-1409.389576351507</v>
      </c>
      <c r="I63">
        <v>266.42886789964098</v>
      </c>
      <c r="J63">
        <v>138.88300646466399</v>
      </c>
      <c r="K63">
        <v>46.932514728002801</v>
      </c>
      <c r="L63">
        <v>1.5155892653027052E-4</v>
      </c>
      <c r="M63">
        <v>1.7704195250654815E-5</v>
      </c>
      <c r="N63" s="1">
        <v>3.3911329028256002E-6</v>
      </c>
      <c r="O63" s="1">
        <v>9.5781065117656198E-8</v>
      </c>
      <c r="P63" s="1">
        <v>-4.9281489057295096E-7</v>
      </c>
      <c r="Q63">
        <v>72.693546188692693</v>
      </c>
      <c r="R63">
        <v>7.6657847518650596E-2</v>
      </c>
      <c r="S63">
        <v>12.109999202954301</v>
      </c>
      <c r="T63">
        <v>0.18588848320152901</v>
      </c>
      <c r="V63">
        <v>0.434354046062014</v>
      </c>
      <c r="W63">
        <v>2.5229165006135E-2</v>
      </c>
      <c r="X63">
        <v>5.8221150014176298E-2</v>
      </c>
      <c r="AA63">
        <v>0.51428682512511403</v>
      </c>
      <c r="AB63">
        <v>3.8620029509392602</v>
      </c>
      <c r="AC63">
        <v>4.3277721510521401</v>
      </c>
      <c r="AD63">
        <v>3.8814100009427299E-3</v>
      </c>
      <c r="AE63">
        <v>5.7081605794328798</v>
      </c>
    </row>
    <row r="64" spans="1:31" x14ac:dyDescent="0.2">
      <c r="A64">
        <v>63</v>
      </c>
      <c r="B64">
        <v>753</v>
      </c>
      <c r="C64">
        <v>225</v>
      </c>
      <c r="D64">
        <v>0.35325293573064698</v>
      </c>
      <c r="E64">
        <v>102.850635372497</v>
      </c>
      <c r="F64">
        <v>2.1962755788884398</v>
      </c>
      <c r="G64">
        <v>-1679.3905136796236</v>
      </c>
      <c r="H64">
        <v>-1406.6483138512715</v>
      </c>
      <c r="I64">
        <v>265.79174567885002</v>
      </c>
      <c r="J64">
        <v>138.61459679792699</v>
      </c>
      <c r="K64">
        <v>46.829567455533599</v>
      </c>
      <c r="L64">
        <v>1.5159743552853769E-4</v>
      </c>
      <c r="M64">
        <v>1.7696621875213286E-5</v>
      </c>
      <c r="N64" s="1">
        <v>3.38918673757356E-6</v>
      </c>
      <c r="O64" s="1">
        <v>9.55401396302007E-8</v>
      </c>
      <c r="P64" s="1">
        <v>-4.9214441546314003E-7</v>
      </c>
      <c r="Q64">
        <v>72.649012144084494</v>
      </c>
      <c r="R64">
        <v>7.6810415136364094E-2</v>
      </c>
      <c r="S64">
        <v>12.1341010240819</v>
      </c>
      <c r="T64">
        <v>0.18661723370207101</v>
      </c>
      <c r="V64">
        <v>0.43489567445070998</v>
      </c>
      <c r="W64">
        <v>2.5279377133483698E-2</v>
      </c>
      <c r="X64">
        <v>5.83370241542122E-2</v>
      </c>
      <c r="AA64">
        <v>0.51531038002876095</v>
      </c>
      <c r="AB64">
        <v>3.8696892688949398</v>
      </c>
      <c r="AC64">
        <v>4.3363854621280904</v>
      </c>
      <c r="AD64">
        <v>3.8891349436116999E-3</v>
      </c>
      <c r="AE64">
        <v>5.70967286126114</v>
      </c>
    </row>
    <row r="65" spans="1:31" x14ac:dyDescent="0.2">
      <c r="A65">
        <v>64</v>
      </c>
      <c r="B65">
        <v>752</v>
      </c>
      <c r="C65">
        <v>225</v>
      </c>
      <c r="D65">
        <v>0.35255377261864101</v>
      </c>
      <c r="E65">
        <v>102.646889316575</v>
      </c>
      <c r="F65">
        <v>2.1967317196342302</v>
      </c>
      <c r="G65">
        <v>-1675.7459622022113</v>
      </c>
      <c r="H65">
        <v>-1403.9198962882235</v>
      </c>
      <c r="I65">
        <v>265.15735835144898</v>
      </c>
      <c r="J65">
        <v>138.347427511002</v>
      </c>
      <c r="K65">
        <v>46.727093890949199</v>
      </c>
      <c r="L65">
        <v>1.5163590863229723E-4</v>
      </c>
      <c r="M65">
        <v>1.7689040679071392E-5</v>
      </c>
      <c r="N65" s="1">
        <v>3.3872580708066501E-6</v>
      </c>
      <c r="O65" s="1">
        <v>9.5300341169416495E-8</v>
      </c>
      <c r="P65" s="1">
        <v>-4.91477560845523E-7</v>
      </c>
      <c r="Q65">
        <v>72.604502148161004</v>
      </c>
      <c r="R65">
        <v>7.69628778095343E-2</v>
      </c>
      <c r="S65">
        <v>12.1581862666287</v>
      </c>
      <c r="T65">
        <v>0.18734855443354201</v>
      </c>
      <c r="V65">
        <v>0.43543416650189498</v>
      </c>
      <c r="W65">
        <v>2.5329554722121801E-2</v>
      </c>
      <c r="X65">
        <v>5.8452818589532003E-2</v>
      </c>
      <c r="AA65">
        <v>0.51633323087408001</v>
      </c>
      <c r="AB65">
        <v>3.8773702997710902</v>
      </c>
      <c r="AC65">
        <v>4.3449928484867799</v>
      </c>
      <c r="AD65">
        <v>3.8968545726328499E-3</v>
      </c>
      <c r="AE65">
        <v>5.7111903794489498</v>
      </c>
    </row>
    <row r="66" spans="1:31" x14ac:dyDescent="0.2">
      <c r="A66">
        <v>65</v>
      </c>
      <c r="B66">
        <v>751</v>
      </c>
      <c r="C66">
        <v>225</v>
      </c>
      <c r="D66">
        <v>0.35185324415369101</v>
      </c>
      <c r="E66">
        <v>102.382975231711</v>
      </c>
      <c r="F66">
        <v>2.1972055369458499</v>
      </c>
      <c r="G66">
        <v>-1671.103641393976</v>
      </c>
      <c r="H66">
        <v>-1400.3573564235603</v>
      </c>
      <c r="I66">
        <v>264.36194402227699</v>
      </c>
      <c r="J66">
        <v>137.99725526008001</v>
      </c>
      <c r="K66">
        <v>46.596903890031903</v>
      </c>
      <c r="L66">
        <v>1.5166352560963786E-4</v>
      </c>
      <c r="M66">
        <v>1.7680441640510702E-5</v>
      </c>
      <c r="N66" s="1">
        <v>3.3829483413779501E-6</v>
      </c>
      <c r="O66" s="1">
        <v>9.4995182583379698E-8</v>
      </c>
      <c r="P66" s="1">
        <v>-4.9047332489809602E-7</v>
      </c>
      <c r="Q66">
        <v>72.560567387738899</v>
      </c>
      <c r="R66">
        <v>7.7161266139427295E-2</v>
      </c>
      <c r="S66">
        <v>12.1816216596535</v>
      </c>
      <c r="T66">
        <v>0.18819486538945701</v>
      </c>
      <c r="V66">
        <v>0.43622961828727902</v>
      </c>
      <c r="W66">
        <v>2.53948470838576E-2</v>
      </c>
      <c r="X66">
        <v>5.8603493270467703E-2</v>
      </c>
      <c r="AA66">
        <v>0.51685521229475295</v>
      </c>
      <c r="AB66">
        <v>3.8839454832741702</v>
      </c>
      <c r="AC66">
        <v>4.3554459517228299</v>
      </c>
      <c r="AD66">
        <v>3.9068995513610498E-3</v>
      </c>
      <c r="AE66">
        <v>5.7120733155938597</v>
      </c>
    </row>
    <row r="67" spans="1:31" x14ac:dyDescent="0.2">
      <c r="A67">
        <v>66</v>
      </c>
      <c r="B67">
        <v>750</v>
      </c>
      <c r="C67">
        <v>225</v>
      </c>
      <c r="D67">
        <v>0.35115134633240402</v>
      </c>
      <c r="E67">
        <v>99.994519744916005</v>
      </c>
      <c r="F67">
        <v>2.1983048091501298</v>
      </c>
      <c r="G67">
        <v>-1631.2151827746277</v>
      </c>
      <c r="H67">
        <v>-1367.3632092034177</v>
      </c>
      <c r="I67">
        <v>257.882005151942</v>
      </c>
      <c r="J67">
        <v>134.72111229818401</v>
      </c>
      <c r="K67">
        <v>45.487104121640797</v>
      </c>
      <c r="L67">
        <v>1.5131673632932068E-4</v>
      </c>
      <c r="M67">
        <v>1.7636931927234006E-5</v>
      </c>
      <c r="N67" s="1">
        <v>3.2954962070783501E-6</v>
      </c>
      <c r="O67" s="1">
        <v>9.2390018333740399E-8</v>
      </c>
      <c r="P67" s="1">
        <v>-4.7764537614005102E-7</v>
      </c>
      <c r="Q67">
        <v>72.534709242182203</v>
      </c>
      <c r="R67">
        <v>7.9004329638797402E-2</v>
      </c>
      <c r="S67">
        <v>12.1837002503338</v>
      </c>
      <c r="T67">
        <v>0.193063924325242</v>
      </c>
      <c r="V67">
        <v>0.44631293442374498</v>
      </c>
      <c r="W67">
        <v>2.6001424944409102E-2</v>
      </c>
      <c r="X67">
        <v>6.0003288333282702E-2</v>
      </c>
      <c r="AA67">
        <v>0.50136412910883998</v>
      </c>
      <c r="AB67">
        <v>3.8517139542324501</v>
      </c>
      <c r="AC67">
        <v>4.4293259523658</v>
      </c>
      <c r="AD67">
        <v>4.0002192222149402E-3</v>
      </c>
      <c r="AE67">
        <v>5.6908003508890204</v>
      </c>
    </row>
    <row r="68" spans="1:31" x14ac:dyDescent="0.2">
      <c r="A68">
        <v>67</v>
      </c>
      <c r="B68">
        <v>749</v>
      </c>
      <c r="C68">
        <v>225</v>
      </c>
      <c r="D68">
        <v>0.350448075135744</v>
      </c>
      <c r="E68">
        <v>97.379318933731497</v>
      </c>
      <c r="F68">
        <v>2.1994927588011501</v>
      </c>
      <c r="G68">
        <v>-1587.6261091714375</v>
      </c>
      <c r="H68">
        <v>-1331.2538907800426</v>
      </c>
      <c r="I68">
        <v>250.81663003609501</v>
      </c>
      <c r="J68">
        <v>131.139344977017</v>
      </c>
      <c r="K68">
        <v>44.273534679336201</v>
      </c>
      <c r="L68">
        <v>1.5094297854683711E-4</v>
      </c>
      <c r="M68">
        <v>1.7590960728715897E-5</v>
      </c>
      <c r="N68" s="1">
        <v>3.2000281335997499E-6</v>
      </c>
      <c r="O68" s="1">
        <v>8.9570803292210897E-8</v>
      </c>
      <c r="P68" s="1">
        <v>-4.6366299734132498E-7</v>
      </c>
      <c r="Q68">
        <v>72.507694274125996</v>
      </c>
      <c r="R68">
        <v>8.1126055167594704E-2</v>
      </c>
      <c r="S68">
        <v>12.1853743964359</v>
      </c>
      <c r="T68">
        <v>0.19862269151059</v>
      </c>
      <c r="V68">
        <v>0.45796261130829802</v>
      </c>
      <c r="W68">
        <v>2.6699714358948901E-2</v>
      </c>
      <c r="X68">
        <v>6.1614725443765901E-2</v>
      </c>
      <c r="AA68">
        <v>0.48750667668859898</v>
      </c>
      <c r="AB68">
        <v>3.8150117764772302</v>
      </c>
      <c r="AC68">
        <v>4.5064216449525301</v>
      </c>
      <c r="AD68">
        <v>4.1076483629131199E-3</v>
      </c>
      <c r="AE68">
        <v>5.6678577851674996</v>
      </c>
    </row>
    <row r="69" spans="1:31" x14ac:dyDescent="0.2">
      <c r="A69">
        <v>68</v>
      </c>
      <c r="B69">
        <v>748</v>
      </c>
      <c r="C69">
        <v>225</v>
      </c>
      <c r="D69">
        <v>0.34974342652891699</v>
      </c>
      <c r="E69">
        <v>77.554030673650203</v>
      </c>
      <c r="F69">
        <v>2.2023774463514698</v>
      </c>
      <c r="G69">
        <v>-1262.7705795288102</v>
      </c>
      <c r="H69">
        <v>-1058.9280526589525</v>
      </c>
      <c r="I69">
        <v>199.620552191017</v>
      </c>
      <c r="J69">
        <v>104.443944892364</v>
      </c>
      <c r="K69">
        <v>35.213778093363899</v>
      </c>
      <c r="L69">
        <v>1.5110444502087919E-4</v>
      </c>
      <c r="M69">
        <v>1.7581315085828098E-5</v>
      </c>
      <c r="N69" s="1">
        <v>2.54944837968968E-6</v>
      </c>
      <c r="O69" s="1">
        <v>7.1225835143157994E-8</v>
      </c>
      <c r="P69" s="1">
        <v>-3.6902151835128601E-7</v>
      </c>
      <c r="Q69">
        <v>72.343777500274598</v>
      </c>
      <c r="R69">
        <v>0.101864467022282</v>
      </c>
      <c r="S69">
        <v>12.1748348874176</v>
      </c>
      <c r="T69">
        <v>0.249120594652642</v>
      </c>
      <c r="V69">
        <v>0.57528119833274804</v>
      </c>
      <c r="W69">
        <v>3.3525014463016201E-2</v>
      </c>
      <c r="X69">
        <v>7.73654179916545E-2</v>
      </c>
      <c r="AA69">
        <v>0.48992431396346098</v>
      </c>
      <c r="AB69">
        <v>3.7910550412943902</v>
      </c>
      <c r="AC69">
        <v>4.4946911370402001</v>
      </c>
      <c r="AD69">
        <v>5.1576945327674803E-3</v>
      </c>
      <c r="AE69">
        <v>5.6634027330145003</v>
      </c>
    </row>
    <row r="70" spans="1:31" x14ac:dyDescent="0.2">
      <c r="A70">
        <v>69</v>
      </c>
      <c r="B70">
        <v>747</v>
      </c>
      <c r="C70">
        <v>225</v>
      </c>
      <c r="D70">
        <v>0.34903739646130499</v>
      </c>
      <c r="E70">
        <v>41.889780405373997</v>
      </c>
      <c r="F70">
        <v>2.2049958178222702</v>
      </c>
      <c r="G70">
        <v>-681.6618651536553</v>
      </c>
      <c r="H70">
        <v>-571.76345340556759</v>
      </c>
      <c r="I70">
        <v>107.72769862087701</v>
      </c>
      <c r="J70">
        <v>56.438519442117602</v>
      </c>
      <c r="K70">
        <v>18.997668869388399</v>
      </c>
      <c r="L70">
        <v>1.5108747018661734E-4</v>
      </c>
      <c r="M70">
        <v>1.756404455790399E-5</v>
      </c>
      <c r="N70" s="1">
        <v>1.37610290621232E-6</v>
      </c>
      <c r="O70" s="1">
        <v>3.8373713738862202E-8</v>
      </c>
      <c r="P70" s="1">
        <v>-1.9879534820230399E-7</v>
      </c>
      <c r="Q70">
        <v>72.188568845808305</v>
      </c>
      <c r="R70">
        <v>0.12757484574974601</v>
      </c>
      <c r="S70">
        <v>12.226261332022499</v>
      </c>
      <c r="T70">
        <v>0.26477991022449099</v>
      </c>
      <c r="V70">
        <v>0.61274567659249002</v>
      </c>
      <c r="W70">
        <v>6.20676445385566E-2</v>
      </c>
      <c r="X70">
        <v>0.136560237535159</v>
      </c>
      <c r="AA70">
        <v>0.49465118544402598</v>
      </c>
      <c r="AB70">
        <v>3.7334952018866301</v>
      </c>
      <c r="AC70">
        <v>4.4906977934562597</v>
      </c>
      <c r="AD70">
        <v>9.5488683905409801E-3</v>
      </c>
      <c r="AE70">
        <v>5.65304845835115</v>
      </c>
    </row>
    <row r="71" spans="1:31" x14ac:dyDescent="0.2">
      <c r="A71">
        <v>70</v>
      </c>
      <c r="B71">
        <v>746</v>
      </c>
      <c r="C71">
        <v>225</v>
      </c>
      <c r="D71">
        <v>0.34832998086640898</v>
      </c>
      <c r="E71">
        <v>17.554264135573799</v>
      </c>
      <c r="F71">
        <v>2.2076117963750499</v>
      </c>
      <c r="G71">
        <v>-285.60279128033079</v>
      </c>
      <c r="H71">
        <v>-239.65109620429362</v>
      </c>
      <c r="I71">
        <v>45.0882549929227</v>
      </c>
      <c r="J71">
        <v>23.661548062044499</v>
      </c>
      <c r="K71">
        <v>7.9516988287516801</v>
      </c>
      <c r="L71">
        <v>1.5097382523518603E-4</v>
      </c>
      <c r="M71">
        <v>1.7558044343312741E-5</v>
      </c>
      <c r="N71" s="1">
        <v>5.7616531720348395E-7</v>
      </c>
      <c r="O71" s="1">
        <v>1.6037061679702501E-8</v>
      </c>
      <c r="P71" s="1">
        <v>-8.2931370247409995E-8</v>
      </c>
      <c r="Q71">
        <v>71.959240319939695</v>
      </c>
      <c r="R71">
        <v>0.15149950948729499</v>
      </c>
      <c r="S71">
        <v>12.461213869176399</v>
      </c>
      <c r="T71">
        <v>0.25206511402821202</v>
      </c>
      <c r="V71">
        <v>0.58668783976579597</v>
      </c>
      <c r="W71">
        <v>0.14753300138203801</v>
      </c>
      <c r="X71">
        <v>0.160348349719655</v>
      </c>
      <c r="AA71">
        <v>0.497143459642855</v>
      </c>
      <c r="AB71">
        <v>3.6041536594439498</v>
      </c>
      <c r="AC71">
        <v>4.5156384921612496</v>
      </c>
      <c r="AD71">
        <v>2.2786486343723399E-2</v>
      </c>
      <c r="AE71">
        <v>5.6416898989090303</v>
      </c>
    </row>
    <row r="72" spans="1:31" x14ac:dyDescent="0.2">
      <c r="A72">
        <v>71</v>
      </c>
      <c r="B72">
        <v>745</v>
      </c>
      <c r="C72">
        <v>225</v>
      </c>
      <c r="D72">
        <v>0.347621175661739</v>
      </c>
      <c r="E72">
        <v>10.5412104640961</v>
      </c>
      <c r="F72">
        <v>2.2100781447364701</v>
      </c>
      <c r="G72">
        <v>-171.44885526190944</v>
      </c>
      <c r="H72">
        <v>-143.91030214304192</v>
      </c>
      <c r="I72">
        <v>27.0476384804474</v>
      </c>
      <c r="J72">
        <v>14.2151391925523</v>
      </c>
      <c r="K72">
        <v>4.7696098390009798</v>
      </c>
      <c r="L72">
        <v>1.5105464393030247E-4</v>
      </c>
      <c r="M72">
        <v>1.7572878518754574E-5</v>
      </c>
      <c r="N72" s="1">
        <v>3.4641251903552601E-7</v>
      </c>
      <c r="O72" s="1">
        <v>9.6228651449169904E-9</v>
      </c>
      <c r="P72" s="1">
        <v>-4.9674819103540399E-8</v>
      </c>
      <c r="Q72">
        <v>71.694458279316294</v>
      </c>
      <c r="R72">
        <v>0.15055279860738899</v>
      </c>
      <c r="S72">
        <v>12.735838902030199</v>
      </c>
      <c r="T72">
        <v>0.24876900061335699</v>
      </c>
      <c r="V72">
        <v>0.58312916519762603</v>
      </c>
      <c r="W72">
        <v>0.24317722749856199</v>
      </c>
      <c r="X72">
        <v>0.15982756969943601</v>
      </c>
      <c r="AA72">
        <v>0.497132703140031</v>
      </c>
      <c r="AB72">
        <v>3.4765999077155998</v>
      </c>
      <c r="AC72">
        <v>4.5303063347084196</v>
      </c>
      <c r="AD72">
        <v>3.7946306200950103E-2</v>
      </c>
      <c r="AE72">
        <v>5.6422618052720601</v>
      </c>
    </row>
    <row r="73" spans="1:31" x14ac:dyDescent="0.2">
      <c r="A73">
        <v>72</v>
      </c>
      <c r="B73">
        <v>764</v>
      </c>
      <c r="C73">
        <v>200</v>
      </c>
      <c r="D73">
        <v>0.38736971508460899</v>
      </c>
      <c r="E73">
        <v>104.44774642164801</v>
      </c>
      <c r="F73">
        <v>2.1931850409610298</v>
      </c>
      <c r="G73">
        <v>-1707.9426579403414</v>
      </c>
      <c r="H73">
        <v>-1429.1634460684616</v>
      </c>
      <c r="I73">
        <v>268.79353215241701</v>
      </c>
      <c r="J73">
        <v>140.32459897233099</v>
      </c>
      <c r="K73">
        <v>47.623772947074499</v>
      </c>
      <c r="L73">
        <v>1.4651561091272086E-4</v>
      </c>
      <c r="M73">
        <v>1.7650718185491684E-5</v>
      </c>
      <c r="N73" s="1">
        <v>3.1982634691625002E-6</v>
      </c>
      <c r="O73" s="1">
        <v>9.3649504346346302E-8</v>
      </c>
      <c r="P73" s="1">
        <v>-4.7730180157347099E-7</v>
      </c>
      <c r="Q73">
        <v>73.357255302296394</v>
      </c>
      <c r="R73">
        <v>7.5635906667705796E-2</v>
      </c>
      <c r="S73">
        <v>11.9485584204178</v>
      </c>
      <c r="T73">
        <v>0.18224911427254201</v>
      </c>
      <c r="V73">
        <v>0.42960849501398601</v>
      </c>
      <c r="W73">
        <v>2.4892830042535799E-2</v>
      </c>
      <c r="X73">
        <v>5.7444992405853199E-2</v>
      </c>
      <c r="AA73">
        <v>0.50743076625169603</v>
      </c>
      <c r="AB73">
        <v>3.8105178295881901</v>
      </c>
      <c r="AC73">
        <v>4.2700777688349802</v>
      </c>
      <c r="AD73">
        <v>3.8296661603900699E-3</v>
      </c>
      <c r="AE73">
        <v>5.3324989080477598</v>
      </c>
    </row>
    <row r="74" spans="1:31" x14ac:dyDescent="0.2">
      <c r="A74">
        <v>73</v>
      </c>
      <c r="B74">
        <v>763</v>
      </c>
      <c r="C74">
        <v>200</v>
      </c>
      <c r="D74">
        <v>0.38671090093133698</v>
      </c>
      <c r="E74">
        <v>104.388053557451</v>
      </c>
      <c r="F74">
        <v>2.1935563654669599</v>
      </c>
      <c r="G74">
        <v>-1706.68004402518</v>
      </c>
      <c r="H74">
        <v>-1428.4644918928323</v>
      </c>
      <c r="I74">
        <v>268.50895346460197</v>
      </c>
      <c r="J74">
        <v>140.23633089889501</v>
      </c>
      <c r="K74">
        <v>47.588498385921</v>
      </c>
      <c r="L74">
        <v>1.4648577231636645E-4</v>
      </c>
      <c r="M74">
        <v>1.7642632488617275E-5</v>
      </c>
      <c r="N74" s="1">
        <v>3.2000783243237599E-6</v>
      </c>
      <c r="O74" s="1">
        <v>9.3524060436766402E-8</v>
      </c>
      <c r="P74" s="1">
        <v>-4.7699585638749804E-7</v>
      </c>
      <c r="Q74">
        <v>73.345118356071595</v>
      </c>
      <c r="R74">
        <v>7.5679158014495804E-2</v>
      </c>
      <c r="S74">
        <v>11.9553910382404</v>
      </c>
      <c r="T74">
        <v>0.182653271887775</v>
      </c>
      <c r="V74">
        <v>0.429584270490873</v>
      </c>
      <c r="W74">
        <v>2.4907064662998201E-2</v>
      </c>
      <c r="X74">
        <v>5.7477841529998297E-2</v>
      </c>
      <c r="AA74">
        <v>0.50772093351497105</v>
      </c>
      <c r="AB74">
        <v>3.8126968214897401</v>
      </c>
      <c r="AC74">
        <v>4.2725195537296603</v>
      </c>
      <c r="AD74">
        <v>3.8318561019996E-3</v>
      </c>
      <c r="AE74">
        <v>5.3324198342653997</v>
      </c>
    </row>
    <row r="75" spans="1:31" x14ac:dyDescent="0.2">
      <c r="A75">
        <v>74</v>
      </c>
      <c r="B75">
        <v>762</v>
      </c>
      <c r="C75">
        <v>200</v>
      </c>
      <c r="D75">
        <v>0.38605081389170998</v>
      </c>
      <c r="E75">
        <v>104.183252144226</v>
      </c>
      <c r="F75">
        <v>2.1940037093648699</v>
      </c>
      <c r="G75">
        <v>-1703.0108518756326</v>
      </c>
      <c r="H75">
        <v>-1425.7223801962798</v>
      </c>
      <c r="I75">
        <v>267.87274470303998</v>
      </c>
      <c r="J75">
        <v>139.96809686643999</v>
      </c>
      <c r="K75">
        <v>47.485449409010101</v>
      </c>
      <c r="L75">
        <v>1.4652301973761233E-4</v>
      </c>
      <c r="M75">
        <v>1.7635258239765177E-5</v>
      </c>
      <c r="N75" s="1">
        <v>3.1982267104565701E-6</v>
      </c>
      <c r="O75" s="1">
        <v>9.3290476223851303E-8</v>
      </c>
      <c r="P75" s="1">
        <v>-4.7634895523068997E-7</v>
      </c>
      <c r="Q75">
        <v>73.301928030096207</v>
      </c>
      <c r="R75">
        <v>7.5827926633195306E-2</v>
      </c>
      <c r="S75">
        <v>11.9788927137011</v>
      </c>
      <c r="T75">
        <v>0.183357083974341</v>
      </c>
      <c r="V75">
        <v>0.43011852381008497</v>
      </c>
      <c r="W75">
        <v>2.4956026486873801E-2</v>
      </c>
      <c r="X75">
        <v>5.7590830354327598E-2</v>
      </c>
      <c r="AA75">
        <v>0.50871900146320703</v>
      </c>
      <c r="AB75">
        <v>3.8201917468368598</v>
      </c>
      <c r="AC75">
        <v>4.28091838967139</v>
      </c>
      <c r="AD75">
        <v>3.8393886902880802E-3</v>
      </c>
      <c r="AE75">
        <v>5.3336603382819803</v>
      </c>
    </row>
    <row r="76" spans="1:31" x14ac:dyDescent="0.2">
      <c r="A76">
        <v>75</v>
      </c>
      <c r="B76">
        <v>761</v>
      </c>
      <c r="C76">
        <v>200</v>
      </c>
      <c r="D76">
        <v>0.38538945027317301</v>
      </c>
      <c r="E76">
        <v>103.979395112981</v>
      </c>
      <c r="F76">
        <v>2.1944511870122998</v>
      </c>
      <c r="G76">
        <v>-1699.3584713168011</v>
      </c>
      <c r="H76">
        <v>-1422.993019038759</v>
      </c>
      <c r="I76">
        <v>267.23923248855698</v>
      </c>
      <c r="J76">
        <v>139.70108857794301</v>
      </c>
      <c r="K76">
        <v>47.382869907690797</v>
      </c>
      <c r="L76">
        <v>1.4656021219241496E-4</v>
      </c>
      <c r="M76">
        <v>1.7627875139777864E-5</v>
      </c>
      <c r="N76" s="1">
        <v>3.1963905422247901E-6</v>
      </c>
      <c r="O76" s="1">
        <v>9.3057958279641302E-8</v>
      </c>
      <c r="P76" s="1">
        <v>-4.757053810416E-7</v>
      </c>
      <c r="Q76">
        <v>73.258763220605104</v>
      </c>
      <c r="R76">
        <v>7.5976591241141103E-2</v>
      </c>
      <c r="S76">
        <v>12.0023779580966</v>
      </c>
      <c r="T76">
        <v>0.18406333256632099</v>
      </c>
      <c r="V76">
        <v>0.43064976844789898</v>
      </c>
      <c r="W76">
        <v>2.5004954079361898E-2</v>
      </c>
      <c r="X76">
        <v>5.7703740183148597E-2</v>
      </c>
      <c r="AA76">
        <v>0.50971637161777905</v>
      </c>
      <c r="AB76">
        <v>3.8276814321485202</v>
      </c>
      <c r="AC76">
        <v>4.2893113536135399</v>
      </c>
      <c r="AD76">
        <v>3.84691601220918E-3</v>
      </c>
      <c r="AE76">
        <v>5.3349043613882703</v>
      </c>
    </row>
    <row r="77" spans="1:31" x14ac:dyDescent="0.2">
      <c r="A77">
        <v>76</v>
      </c>
      <c r="B77">
        <v>760</v>
      </c>
      <c r="C77">
        <v>200</v>
      </c>
      <c r="D77">
        <v>0.38472680636887402</v>
      </c>
      <c r="E77">
        <v>103.776475274863</v>
      </c>
      <c r="F77">
        <v>2.1948988002914498</v>
      </c>
      <c r="G77">
        <v>-1695.7227752630083</v>
      </c>
      <c r="H77">
        <v>-1420.2763110561509</v>
      </c>
      <c r="I77">
        <v>266.60839588332499</v>
      </c>
      <c r="J77">
        <v>139.435296683903</v>
      </c>
      <c r="K77">
        <v>47.280756297777202</v>
      </c>
      <c r="L77">
        <v>1.4659734898604646E-4</v>
      </c>
      <c r="M77">
        <v>1.7620483107931193E-5</v>
      </c>
      <c r="N77" s="1">
        <v>3.1945696809757201E-6</v>
      </c>
      <c r="O77" s="1">
        <v>9.2826497918575404E-8</v>
      </c>
      <c r="P77" s="1">
        <v>-4.7506510467885202E-7</v>
      </c>
      <c r="Q77">
        <v>73.215623794592503</v>
      </c>
      <c r="R77">
        <v>7.6125152440146601E-2</v>
      </c>
      <c r="S77">
        <v>12.0258468664969</v>
      </c>
      <c r="T77">
        <v>0.18477203178731999</v>
      </c>
      <c r="V77">
        <v>0.43117799641896398</v>
      </c>
      <c r="W77">
        <v>2.5053847638528099E-2</v>
      </c>
      <c r="X77">
        <v>5.7816571473533203E-2</v>
      </c>
      <c r="AA77">
        <v>0.51071304801617001</v>
      </c>
      <c r="AB77">
        <v>3.8351659077439701</v>
      </c>
      <c r="AC77">
        <v>4.2976984795320403</v>
      </c>
      <c r="AD77">
        <v>3.8544380982346699E-3</v>
      </c>
      <c r="AE77">
        <v>5.3361518657615798</v>
      </c>
    </row>
    <row r="78" spans="1:31" x14ac:dyDescent="0.2">
      <c r="A78">
        <v>77</v>
      </c>
      <c r="B78">
        <v>759</v>
      </c>
      <c r="C78">
        <v>200</v>
      </c>
      <c r="D78">
        <v>0.38406287845759102</v>
      </c>
      <c r="E78">
        <v>103.574485517013</v>
      </c>
      <c r="F78">
        <v>2.1953465510871499</v>
      </c>
      <c r="G78">
        <v>-1692.1036379667617</v>
      </c>
      <c r="H78">
        <v>-1417.5721599157825</v>
      </c>
      <c r="I78">
        <v>265.98021416555599</v>
      </c>
      <c r="J78">
        <v>139.17071193312501</v>
      </c>
      <c r="K78">
        <v>47.179105032743998</v>
      </c>
      <c r="L78">
        <v>1.4663442941641834E-4</v>
      </c>
      <c r="M78">
        <v>1.761308206316735E-5</v>
      </c>
      <c r="N78" s="1">
        <v>3.1927639891953701E-6</v>
      </c>
      <c r="O78" s="1">
        <v>9.2596086540504295E-8</v>
      </c>
      <c r="P78" s="1">
        <v>-4.7442809726129201E-7</v>
      </c>
      <c r="Q78">
        <v>73.172509620611606</v>
      </c>
      <c r="R78">
        <v>7.6273610827663693E-2</v>
      </c>
      <c r="S78">
        <v>12.049299533285399</v>
      </c>
      <c r="T78">
        <v>0.185483195824487</v>
      </c>
      <c r="V78">
        <v>0.43170319964627402</v>
      </c>
      <c r="W78">
        <v>2.5102707361001699E-2</v>
      </c>
      <c r="X78">
        <v>5.79293246792437E-2</v>
      </c>
      <c r="AA78">
        <v>0.5117090346666</v>
      </c>
      <c r="AB78">
        <v>3.8426452037226402</v>
      </c>
      <c r="AC78">
        <v>4.3060798011563302</v>
      </c>
      <c r="AD78">
        <v>3.8619549786151398E-3</v>
      </c>
      <c r="AE78">
        <v>5.3374028132401303</v>
      </c>
    </row>
    <row r="79" spans="1:31" x14ac:dyDescent="0.2">
      <c r="A79">
        <v>78</v>
      </c>
      <c r="B79">
        <v>758</v>
      </c>
      <c r="C79">
        <v>200</v>
      </c>
      <c r="D79">
        <v>0.383397662803666</v>
      </c>
      <c r="E79">
        <v>103.37341879629101</v>
      </c>
      <c r="F79">
        <v>2.1957944412945301</v>
      </c>
      <c r="G79">
        <v>-1688.5009349128366</v>
      </c>
      <c r="H79">
        <v>-1414.8804702288257</v>
      </c>
      <c r="I79">
        <v>265.354666812792</v>
      </c>
      <c r="J79">
        <v>138.907325164664</v>
      </c>
      <c r="K79">
        <v>47.077912600665599</v>
      </c>
      <c r="L79">
        <v>1.4667145277358432E-4</v>
      </c>
      <c r="M79">
        <v>1.7605671923879067E-5</v>
      </c>
      <c r="N79" s="1">
        <v>3.1909733302634502E-6</v>
      </c>
      <c r="O79" s="1">
        <v>9.2366715623118101E-8</v>
      </c>
      <c r="P79" s="1">
        <v>-4.7379433013535999E-7</v>
      </c>
      <c r="Q79">
        <v>73.129420567781807</v>
      </c>
      <c r="R79">
        <v>7.6421967000704499E-2</v>
      </c>
      <c r="S79">
        <v>12.0727360527738</v>
      </c>
      <c r="T79">
        <v>0.18619683894015199</v>
      </c>
      <c r="V79">
        <v>0.43222536998194599</v>
      </c>
      <c r="W79">
        <v>2.51515334432681E-2</v>
      </c>
      <c r="X79">
        <v>5.8042000253705699E-2</v>
      </c>
      <c r="AA79">
        <v>0.51270433557434103</v>
      </c>
      <c r="AB79">
        <v>3.8501193501618798</v>
      </c>
      <c r="AC79">
        <v>4.3144553521912403</v>
      </c>
      <c r="AD79">
        <v>3.8694666835791302E-3</v>
      </c>
      <c r="AE79">
        <v>5.33865716521351</v>
      </c>
    </row>
    <row r="80" spans="1:31" x14ac:dyDescent="0.2">
      <c r="A80">
        <v>79</v>
      </c>
      <c r="B80">
        <v>757</v>
      </c>
      <c r="C80">
        <v>200</v>
      </c>
      <c r="D80">
        <v>0.38273115565694399</v>
      </c>
      <c r="E80">
        <v>102.901731121765</v>
      </c>
      <c r="F80">
        <v>2.1963153473774999</v>
      </c>
      <c r="G80">
        <v>-1680.4053752584759</v>
      </c>
      <c r="H80">
        <v>-1408.4352297095793</v>
      </c>
      <c r="I80">
        <v>264.01023690617399</v>
      </c>
      <c r="J80">
        <v>138.27230790210399</v>
      </c>
      <c r="K80">
        <v>46.851983821282303</v>
      </c>
      <c r="L80">
        <v>1.4666460906423556E-4</v>
      </c>
      <c r="M80">
        <v>1.7593971761498614E-5</v>
      </c>
      <c r="N80" s="1">
        <v>3.17928341071006E-6</v>
      </c>
      <c r="O80" s="1">
        <v>9.1855710779416999E-8</v>
      </c>
      <c r="P80" s="1">
        <v>-4.7172481359381502E-7</v>
      </c>
      <c r="Q80">
        <v>73.088439270074602</v>
      </c>
      <c r="R80">
        <v>7.6772275003343604E-2</v>
      </c>
      <c r="S80">
        <v>12.0934003503196</v>
      </c>
      <c r="T80">
        <v>0.18740673814738501</v>
      </c>
      <c r="V80">
        <v>0.43388594203129099</v>
      </c>
      <c r="W80">
        <v>2.5266824684642301E-2</v>
      </c>
      <c r="X80">
        <v>5.8308056964573397E-2</v>
      </c>
      <c r="AA80">
        <v>0.51150970954992503</v>
      </c>
      <c r="AB80">
        <v>3.8526807513266998</v>
      </c>
      <c r="AC80">
        <v>4.3310808606252804</v>
      </c>
      <c r="AD80">
        <v>3.8872037976364201E-3</v>
      </c>
      <c r="AE80">
        <v>5.3373620174748799</v>
      </c>
    </row>
    <row r="81" spans="1:31" x14ac:dyDescent="0.2">
      <c r="A81">
        <v>80</v>
      </c>
      <c r="B81">
        <v>756</v>
      </c>
      <c r="C81">
        <v>200</v>
      </c>
      <c r="D81">
        <v>0.38206335325268598</v>
      </c>
      <c r="E81">
        <v>100.606712417824</v>
      </c>
      <c r="F81">
        <v>2.19734179626602</v>
      </c>
      <c r="G81">
        <v>-1642.0539347113747</v>
      </c>
      <c r="H81">
        <v>-1376.7104543637274</v>
      </c>
      <c r="I81">
        <v>257.82779997827998</v>
      </c>
      <c r="J81">
        <v>135.13585346359301</v>
      </c>
      <c r="K81">
        <v>45.785645450692797</v>
      </c>
      <c r="L81">
        <v>1.4636332473797392E-4</v>
      </c>
      <c r="M81">
        <v>1.7553544499896095E-5</v>
      </c>
      <c r="N81" s="1">
        <v>3.1011721301917199E-6</v>
      </c>
      <c r="O81" s="1">
        <v>8.9455529915968395E-8</v>
      </c>
      <c r="P81" s="1">
        <v>-4.6001180829638799E-7</v>
      </c>
      <c r="Q81">
        <v>73.060528541101604</v>
      </c>
      <c r="R81">
        <v>7.8523587642854095E-2</v>
      </c>
      <c r="S81">
        <v>12.096093534352599</v>
      </c>
      <c r="T81">
        <v>0.192047257708267</v>
      </c>
      <c r="V81">
        <v>0.44345483037407801</v>
      </c>
      <c r="W81">
        <v>2.5843206059669201E-2</v>
      </c>
      <c r="X81">
        <v>5.9638167830031202E-2</v>
      </c>
      <c r="AA81">
        <v>0.49684068967072997</v>
      </c>
      <c r="AB81">
        <v>3.8215956650592098</v>
      </c>
      <c r="AC81">
        <v>4.4025572097957602</v>
      </c>
      <c r="AD81">
        <v>3.9758778553320596E-3</v>
      </c>
      <c r="AE81">
        <v>5.3189014325497004</v>
      </c>
    </row>
    <row r="82" spans="1:31" x14ac:dyDescent="0.2">
      <c r="A82">
        <v>81</v>
      </c>
      <c r="B82">
        <v>755</v>
      </c>
      <c r="C82">
        <v>200</v>
      </c>
      <c r="D82">
        <v>0.38139425181150599</v>
      </c>
      <c r="E82">
        <v>98.160664664125903</v>
      </c>
      <c r="F82">
        <v>2.1984354489588802</v>
      </c>
      <c r="G82">
        <v>-1601.2433288882746</v>
      </c>
      <c r="H82">
        <v>-1342.9104918200881</v>
      </c>
      <c r="I82">
        <v>251.25987168038299</v>
      </c>
      <c r="J82">
        <v>131.79686332666799</v>
      </c>
      <c r="K82">
        <v>44.650237381594202</v>
      </c>
      <c r="L82">
        <v>1.4604234265639884E-4</v>
      </c>
      <c r="M82">
        <v>1.7511258643065399E-5</v>
      </c>
      <c r="N82" s="1">
        <v>3.0180446440305401E-6</v>
      </c>
      <c r="O82" s="1">
        <v>8.6920013860244101E-8</v>
      </c>
      <c r="P82" s="1">
        <v>-4.47560929866946E-7</v>
      </c>
      <c r="Q82">
        <v>73.031557830976993</v>
      </c>
      <c r="R82">
        <v>8.0480302644972496E-2</v>
      </c>
      <c r="S82">
        <v>12.0985723533044</v>
      </c>
      <c r="T82">
        <v>0.19719986637180301</v>
      </c>
      <c r="V82">
        <v>0.45417495384588003</v>
      </c>
      <c r="W82">
        <v>2.6487188212264801E-2</v>
      </c>
      <c r="X82">
        <v>6.1124280489869301E-2</v>
      </c>
      <c r="AA82">
        <v>0.48358104566560201</v>
      </c>
      <c r="AB82">
        <v>3.7869421636231499</v>
      </c>
      <c r="AC82">
        <v>4.4765515708343599</v>
      </c>
      <c r="AD82">
        <v>4.0749520326543104E-3</v>
      </c>
      <c r="AE82">
        <v>5.29925349199788</v>
      </c>
    </row>
    <row r="83" spans="1:31" x14ac:dyDescent="0.2">
      <c r="A83">
        <v>82</v>
      </c>
      <c r="B83">
        <v>754</v>
      </c>
      <c r="C83">
        <v>200</v>
      </c>
      <c r="D83">
        <v>0.38072384753930699</v>
      </c>
      <c r="E83">
        <v>95.4592189167372</v>
      </c>
      <c r="F83">
        <v>2.19961864884807</v>
      </c>
      <c r="G83">
        <v>-1556.2662383421332</v>
      </c>
      <c r="H83">
        <v>-1305.6009901096302</v>
      </c>
      <c r="I83">
        <v>244.039573803731</v>
      </c>
      <c r="J83">
        <v>128.11534216330799</v>
      </c>
      <c r="K83">
        <v>43.398076737860301</v>
      </c>
      <c r="L83">
        <v>1.4569862829360382E-4</v>
      </c>
      <c r="M83">
        <v>1.7466779491116089E-5</v>
      </c>
      <c r="N83" s="1">
        <v>2.9266587183316598E-6</v>
      </c>
      <c r="O83" s="1">
        <v>8.4156738923023098E-8</v>
      </c>
      <c r="P83" s="1">
        <v>-4.3389090649492599E-7</v>
      </c>
      <c r="Q83">
        <v>73.000801307128597</v>
      </c>
      <c r="R83">
        <v>8.2757852930802206E-2</v>
      </c>
      <c r="S83">
        <v>12.1007248143063</v>
      </c>
      <c r="T83">
        <v>0.203145808200179</v>
      </c>
      <c r="V83">
        <v>0.46669917519632798</v>
      </c>
      <c r="W83">
        <v>2.7236761724056101E-2</v>
      </c>
      <c r="X83">
        <v>6.2854065517084501E-2</v>
      </c>
      <c r="AA83">
        <v>0.47209914648162998</v>
      </c>
      <c r="AB83">
        <v>3.7478878972351599</v>
      </c>
      <c r="AC83">
        <v>4.5534156233360301</v>
      </c>
      <c r="AD83">
        <v>4.1902710344678702E-3</v>
      </c>
      <c r="AE83">
        <v>5.27818727690922</v>
      </c>
    </row>
    <row r="84" spans="1:31" x14ac:dyDescent="0.2">
      <c r="A84">
        <v>83</v>
      </c>
      <c r="B84">
        <v>753</v>
      </c>
      <c r="C84">
        <v>200</v>
      </c>
      <c r="D84">
        <v>0.380052136627202</v>
      </c>
      <c r="E84">
        <v>80.788755802473005</v>
      </c>
      <c r="F84">
        <v>2.2020839376707699</v>
      </c>
      <c r="G84">
        <v>-1315.6578047818673</v>
      </c>
      <c r="H84">
        <v>-1103.9218052823214</v>
      </c>
      <c r="I84">
        <v>206.34020318622501</v>
      </c>
      <c r="J84">
        <v>108.41130246157999</v>
      </c>
      <c r="K84">
        <v>36.687409785081201</v>
      </c>
      <c r="L84">
        <v>1.4565766394699189E-4</v>
      </c>
      <c r="M84">
        <v>1.744278999174391E-5</v>
      </c>
      <c r="N84" s="1">
        <v>2.4741478334693299E-6</v>
      </c>
      <c r="O84" s="1">
        <v>7.1021083782263098E-8</v>
      </c>
      <c r="P84" s="1">
        <v>-3.6649519906009398E-7</v>
      </c>
      <c r="Q84">
        <v>72.877896415511003</v>
      </c>
      <c r="R84">
        <v>9.7785885195661199E-2</v>
      </c>
      <c r="S84">
        <v>12.0950409643965</v>
      </c>
      <c r="T84">
        <v>0.23995959848512399</v>
      </c>
      <c r="V84">
        <v>0.55151524036462696</v>
      </c>
      <c r="W84">
        <v>3.2182696393499299E-2</v>
      </c>
      <c r="X84">
        <v>7.4267760908133695E-2</v>
      </c>
      <c r="AA84">
        <v>0.47582858070068801</v>
      </c>
      <c r="AB84">
        <v>3.7107307378659602</v>
      </c>
      <c r="AC84">
        <v>4.5734881717034401</v>
      </c>
      <c r="AD84">
        <v>4.9511840605365497E-3</v>
      </c>
      <c r="AE84">
        <v>5.2663527644146599</v>
      </c>
    </row>
    <row r="85" spans="1:31" x14ac:dyDescent="0.2">
      <c r="A85">
        <v>84</v>
      </c>
      <c r="B85">
        <v>752</v>
      </c>
      <c r="C85">
        <v>200</v>
      </c>
      <c r="D85">
        <v>0.37937911525142798</v>
      </c>
      <c r="E85">
        <v>50.224410718782401</v>
      </c>
      <c r="F85">
        <v>2.2049944189141399</v>
      </c>
      <c r="G85">
        <v>-817.18407701334957</v>
      </c>
      <c r="H85">
        <v>-685.81008106902789</v>
      </c>
      <c r="I85">
        <v>128.150998336166</v>
      </c>
      <c r="J85">
        <v>67.411586160005598</v>
      </c>
      <c r="K85">
        <v>22.7775681824698</v>
      </c>
      <c r="L85">
        <v>1.4562033646571581E-4</v>
      </c>
      <c r="M85">
        <v>1.7421112487468018E-5</v>
      </c>
      <c r="N85" s="1">
        <v>1.53623611494452E-6</v>
      </c>
      <c r="O85" s="1">
        <v>4.40195807963779E-8</v>
      </c>
      <c r="P85" s="1">
        <v>-2.27173777506585E-7</v>
      </c>
      <c r="Q85">
        <v>72.719940748009606</v>
      </c>
      <c r="R85">
        <v>0.123773177038737</v>
      </c>
      <c r="S85">
        <v>12.123547038487001</v>
      </c>
      <c r="T85">
        <v>0.26836520157500499</v>
      </c>
      <c r="V85">
        <v>0.61807128863319905</v>
      </c>
      <c r="W85">
        <v>5.1767655663643303E-2</v>
      </c>
      <c r="X85">
        <v>0.115861049122245</v>
      </c>
      <c r="AA85">
        <v>0.490468759581146</v>
      </c>
      <c r="AB85">
        <v>3.6504069373819901</v>
      </c>
      <c r="AC85">
        <v>4.5759129110395804</v>
      </c>
      <c r="AD85">
        <v>7.9642547174816006E-3</v>
      </c>
      <c r="AE85">
        <v>5.2539209787502097</v>
      </c>
    </row>
    <row r="86" spans="1:31" x14ac:dyDescent="0.2">
      <c r="A86">
        <v>85</v>
      </c>
      <c r="B86">
        <v>751</v>
      </c>
      <c r="C86">
        <v>200</v>
      </c>
      <c r="D86">
        <v>0.378704779573308</v>
      </c>
      <c r="E86">
        <v>23.087917659877501</v>
      </c>
      <c r="F86">
        <v>2.2075064496438399</v>
      </c>
      <c r="G86">
        <v>-375.61220724492262</v>
      </c>
      <c r="H86">
        <v>-315.36021203455692</v>
      </c>
      <c r="I86">
        <v>58.831221217952198</v>
      </c>
      <c r="J86">
        <v>31.003248138953001</v>
      </c>
      <c r="K86">
        <v>10.4588222895577</v>
      </c>
      <c r="L86">
        <v>1.4536491126934748E-4</v>
      </c>
      <c r="M86">
        <v>1.7395881053158916E-5</v>
      </c>
      <c r="N86" s="1">
        <v>7.04520422839993E-7</v>
      </c>
      <c r="O86" s="1">
        <v>2.0152725745392398E-8</v>
      </c>
      <c r="P86" s="1">
        <v>-1.03854338392746E-7</v>
      </c>
      <c r="Q86">
        <v>72.547231975034705</v>
      </c>
      <c r="R86">
        <v>0.15479163277239599</v>
      </c>
      <c r="S86">
        <v>12.282847971924101</v>
      </c>
      <c r="T86">
        <v>0.25303995045666</v>
      </c>
      <c r="V86">
        <v>0.58491084369310498</v>
      </c>
      <c r="W86">
        <v>0.11261301423113</v>
      </c>
      <c r="X86">
        <v>0.16960354211176801</v>
      </c>
      <c r="AA86">
        <v>0.50265448136704205</v>
      </c>
      <c r="AB86">
        <v>3.5331289047997601</v>
      </c>
      <c r="AC86">
        <v>4.6063907934825599</v>
      </c>
      <c r="AD86">
        <v>1.73250791124741E-2</v>
      </c>
      <c r="AE86">
        <v>5.2354618110141198</v>
      </c>
    </row>
    <row r="87" spans="1:31" x14ac:dyDescent="0.2">
      <c r="A87">
        <v>86</v>
      </c>
      <c r="B87">
        <v>750</v>
      </c>
      <c r="C87">
        <v>200</v>
      </c>
      <c r="D87">
        <v>0.37802912573913899</v>
      </c>
      <c r="E87">
        <v>12.552895333310399</v>
      </c>
      <c r="F87">
        <v>2.2100718273949802</v>
      </c>
      <c r="G87">
        <v>-204.15950667977495</v>
      </c>
      <c r="H87">
        <v>-171.47106898957</v>
      </c>
      <c r="I87">
        <v>31.948822450476399</v>
      </c>
      <c r="J87">
        <v>16.862991079161802</v>
      </c>
      <c r="K87">
        <v>5.6798585356868498</v>
      </c>
      <c r="L87">
        <v>1.4533460912983812E-4</v>
      </c>
      <c r="M87">
        <v>1.7400977635616799E-5</v>
      </c>
      <c r="N87" s="1">
        <v>3.83094206746615E-7</v>
      </c>
      <c r="O87" s="1">
        <v>1.0937670000380899E-8</v>
      </c>
      <c r="P87" s="1">
        <v>-5.62540883962424E-8</v>
      </c>
      <c r="Q87">
        <v>72.2935242759754</v>
      </c>
      <c r="R87">
        <v>0.16374606888940199</v>
      </c>
      <c r="S87">
        <v>12.548730341608699</v>
      </c>
      <c r="T87">
        <v>0.246423385543863</v>
      </c>
      <c r="V87">
        <v>0.57350022983336801</v>
      </c>
      <c r="W87">
        <v>0.20555409263326599</v>
      </c>
      <c r="X87">
        <v>0.171256100196917</v>
      </c>
      <c r="AA87">
        <v>0.50582935249584704</v>
      </c>
      <c r="AB87">
        <v>3.39859095827308</v>
      </c>
      <c r="AC87">
        <v>4.6308297219818204</v>
      </c>
      <c r="AD87">
        <v>3.1865158545380801E-2</v>
      </c>
      <c r="AE87">
        <v>5.2301503140228203</v>
      </c>
    </row>
    <row r="88" spans="1:31" x14ac:dyDescent="0.2">
      <c r="A88">
        <v>87</v>
      </c>
      <c r="B88">
        <v>749</v>
      </c>
      <c r="C88">
        <v>200</v>
      </c>
      <c r="D88">
        <v>0.37735214988015597</v>
      </c>
      <c r="E88">
        <v>8.7450363557238298</v>
      </c>
      <c r="F88">
        <v>2.2123418384487099</v>
      </c>
      <c r="G88">
        <v>-142.18686364057893</v>
      </c>
      <c r="H88">
        <v>-119.45896532424737</v>
      </c>
      <c r="I88">
        <v>22.235384548580399</v>
      </c>
      <c r="J88">
        <v>11.7526873582423</v>
      </c>
      <c r="K88">
        <v>3.9528413754792102</v>
      </c>
      <c r="L88">
        <v>1.4539870689343808E-4</v>
      </c>
      <c r="M88">
        <v>1.7413953869267275E-5</v>
      </c>
      <c r="N88" s="1">
        <v>2.6721419465445401E-7</v>
      </c>
      <c r="O88" s="1">
        <v>7.6141900677461093E-9</v>
      </c>
      <c r="P88" s="1">
        <v>-3.9095506044457798E-8</v>
      </c>
      <c r="Q88">
        <v>72.049946352599093</v>
      </c>
      <c r="R88">
        <v>0.16276893156197</v>
      </c>
      <c r="S88">
        <v>12.8013817347585</v>
      </c>
      <c r="T88">
        <v>0.243323016461678</v>
      </c>
      <c r="V88">
        <v>0.56988700588325403</v>
      </c>
      <c r="W88">
        <v>0.29238264541907899</v>
      </c>
      <c r="X88">
        <v>0.17073117845539201</v>
      </c>
      <c r="AA88">
        <v>0.50608799075810496</v>
      </c>
      <c r="AB88">
        <v>3.2830752483203698</v>
      </c>
      <c r="AC88">
        <v>4.6440061693299599</v>
      </c>
      <c r="AD88">
        <v>4.57402329422672E-2</v>
      </c>
      <c r="AE88">
        <v>5.2306694935101197</v>
      </c>
    </row>
    <row r="89" spans="1:31" x14ac:dyDescent="0.2">
      <c r="A89">
        <v>88</v>
      </c>
      <c r="B89">
        <v>765</v>
      </c>
      <c r="C89">
        <v>175</v>
      </c>
      <c r="D89">
        <v>0.41451668833983701</v>
      </c>
      <c r="E89">
        <v>104.038220545166</v>
      </c>
      <c r="F89">
        <v>2.1954062902873899</v>
      </c>
      <c r="G89">
        <v>-1700.4224662204927</v>
      </c>
      <c r="H89">
        <v>-1424.8828705707815</v>
      </c>
      <c r="I89">
        <v>265.41404965535901</v>
      </c>
      <c r="J89">
        <v>139.376537210625</v>
      </c>
      <c r="K89">
        <v>47.389050949446997</v>
      </c>
      <c r="L89">
        <v>1.4129616691702267E-4</v>
      </c>
      <c r="M89">
        <v>1.7463025911267481E-5</v>
      </c>
      <c r="N89" s="1">
        <v>2.9821915928321201E-6</v>
      </c>
      <c r="O89" s="1">
        <v>8.8972735434448801E-8</v>
      </c>
      <c r="P89" s="1">
        <v>-4.5246869570773002E-7</v>
      </c>
      <c r="Q89">
        <v>73.646011627775806</v>
      </c>
      <c r="R89">
        <v>7.5933632453569294E-2</v>
      </c>
      <c r="S89">
        <v>11.9955915572226</v>
      </c>
      <c r="T89">
        <v>0.184938338723935</v>
      </c>
      <c r="V89">
        <v>0.42952528335731299</v>
      </c>
      <c r="W89">
        <v>2.49908157442124E-2</v>
      </c>
      <c r="X89">
        <v>5.7671113255876101E-2</v>
      </c>
      <c r="AA89">
        <v>0.50942816709356498</v>
      </c>
      <c r="AB89">
        <v>3.8255171793063698</v>
      </c>
      <c r="AC89">
        <v>4.2868860853533501</v>
      </c>
      <c r="AD89">
        <v>3.8447408837249302E-3</v>
      </c>
      <c r="AE89">
        <v>4.9596614588296104</v>
      </c>
    </row>
    <row r="90" spans="1:31" x14ac:dyDescent="0.2">
      <c r="A90">
        <v>89</v>
      </c>
      <c r="B90">
        <v>764</v>
      </c>
      <c r="C90">
        <v>175</v>
      </c>
      <c r="D90">
        <v>0.41388468398978101</v>
      </c>
      <c r="E90">
        <v>103.712710560256</v>
      </c>
      <c r="F90">
        <v>2.19585417982077</v>
      </c>
      <c r="G90">
        <v>-1694.750215132269</v>
      </c>
      <c r="H90">
        <v>-1420.4756460226361</v>
      </c>
      <c r="I90">
        <v>264.45024259714802</v>
      </c>
      <c r="J90">
        <v>138.93560346007899</v>
      </c>
      <c r="K90">
        <v>47.231146545769903</v>
      </c>
      <c r="L90">
        <v>1.4128061669031839E-4</v>
      </c>
      <c r="M90">
        <v>1.7453016694288557E-5</v>
      </c>
      <c r="N90" s="1">
        <v>2.9757397368613498E-6</v>
      </c>
      <c r="O90" s="1">
        <v>8.8615029101470605E-8</v>
      </c>
      <c r="P90" s="1">
        <v>-4.5108993535313997E-7</v>
      </c>
      <c r="Q90">
        <v>73.617954867223602</v>
      </c>
      <c r="R90">
        <v>7.6171955754741005E-2</v>
      </c>
      <c r="S90">
        <v>12.009736575384499</v>
      </c>
      <c r="T90">
        <v>0.18584760113162799</v>
      </c>
      <c r="V90">
        <v>0.43057750443193699</v>
      </c>
      <c r="W90">
        <v>2.5069251261052899E-2</v>
      </c>
      <c r="X90">
        <v>5.7852118294743897E-2</v>
      </c>
      <c r="AA90">
        <v>0.50861987646541595</v>
      </c>
      <c r="AB90">
        <v>3.8272441346486401</v>
      </c>
      <c r="AC90">
        <v>4.2982931190391298</v>
      </c>
      <c r="AD90">
        <v>3.8568078863155E-3</v>
      </c>
      <c r="AE90">
        <v>4.9587761884781996</v>
      </c>
    </row>
    <row r="91" spans="1:31" x14ac:dyDescent="0.2">
      <c r="A91">
        <v>90</v>
      </c>
      <c r="B91">
        <v>763</v>
      </c>
      <c r="C91">
        <v>175</v>
      </c>
      <c r="D91">
        <v>0.41325145973073701</v>
      </c>
      <c r="E91">
        <v>101.512499294937</v>
      </c>
      <c r="F91">
        <v>2.1968007436158699</v>
      </c>
      <c r="G91">
        <v>-1657.9539171755425</v>
      </c>
      <c r="H91">
        <v>-1390.0426331640638</v>
      </c>
      <c r="I91">
        <v>258.56418859381199</v>
      </c>
      <c r="J91">
        <v>135.93973366083901</v>
      </c>
      <c r="K91">
        <v>46.2092429593093</v>
      </c>
      <c r="L91">
        <v>1.4102573795858158E-4</v>
      </c>
      <c r="M91">
        <v>1.7416048708959708E-5</v>
      </c>
      <c r="N91" s="1">
        <v>2.9067104462812002E-6</v>
      </c>
      <c r="O91" s="1">
        <v>8.6421874588354906E-8</v>
      </c>
      <c r="P91" s="1">
        <v>-4.4053107157338102E-7</v>
      </c>
      <c r="Q91">
        <v>73.588462316498706</v>
      </c>
      <c r="R91">
        <v>7.7822928751338005E-2</v>
      </c>
      <c r="S91">
        <v>12.012878211767999</v>
      </c>
      <c r="T91">
        <v>0.190230886525974</v>
      </c>
      <c r="V91">
        <v>0.43959037923217698</v>
      </c>
      <c r="W91">
        <v>2.5612609462464301E-2</v>
      </c>
      <c r="X91">
        <v>5.9106021836464101E-2</v>
      </c>
      <c r="AA91">
        <v>0.49460027197835299</v>
      </c>
      <c r="AB91">
        <v>3.7975617066980001</v>
      </c>
      <c r="AC91">
        <v>4.3671271295057199</v>
      </c>
      <c r="AD91">
        <v>3.9404014557632601E-3</v>
      </c>
      <c r="AE91">
        <v>4.9430671362869001</v>
      </c>
    </row>
    <row r="92" spans="1:31" x14ac:dyDescent="0.2">
      <c r="A92">
        <v>91</v>
      </c>
      <c r="B92">
        <v>762</v>
      </c>
      <c r="C92">
        <v>175</v>
      </c>
      <c r="D92">
        <v>0.41261701202724399</v>
      </c>
      <c r="E92">
        <v>99.212232203708595</v>
      </c>
      <c r="F92">
        <v>2.19779905284725</v>
      </c>
      <c r="G92">
        <v>-1619.5338262461569</v>
      </c>
      <c r="H92">
        <v>-1358.2350023460669</v>
      </c>
      <c r="I92">
        <v>252.426048302265</v>
      </c>
      <c r="J92">
        <v>132.81045033372999</v>
      </c>
      <c r="K92">
        <v>45.141630248306399</v>
      </c>
      <c r="L92">
        <v>1.4075631035512896E-4</v>
      </c>
      <c r="M92">
        <v>1.7377661456531448E-5</v>
      </c>
      <c r="N92" s="1">
        <v>2.83456606414792E-6</v>
      </c>
      <c r="O92" s="1">
        <v>8.4144334529000805E-8</v>
      </c>
      <c r="P92" s="1">
        <v>-4.2950482764855202E-7</v>
      </c>
      <c r="Q92">
        <v>73.558009872087993</v>
      </c>
      <c r="R92">
        <v>7.9627278053571698E-2</v>
      </c>
      <c r="S92">
        <v>12.0159291196374</v>
      </c>
      <c r="T92">
        <v>0.19499915718129299</v>
      </c>
      <c r="V92">
        <v>0.44946055283366698</v>
      </c>
      <c r="W92">
        <v>2.6206445941679798E-2</v>
      </c>
      <c r="X92">
        <v>6.0476413711580898E-2</v>
      </c>
      <c r="AA92">
        <v>0.48180777254317397</v>
      </c>
      <c r="AB92">
        <v>3.7649833446999801</v>
      </c>
      <c r="AC92">
        <v>4.43796360089598</v>
      </c>
      <c r="AD92">
        <v>4.03176091410384E-3</v>
      </c>
      <c r="AE92">
        <v>4.9265046814994298</v>
      </c>
    </row>
    <row r="93" spans="1:31" x14ac:dyDescent="0.2">
      <c r="A93">
        <v>92</v>
      </c>
      <c r="B93">
        <v>761</v>
      </c>
      <c r="C93">
        <v>175</v>
      </c>
      <c r="D93">
        <v>0.411981337330175</v>
      </c>
      <c r="E93">
        <v>96.762420041226903</v>
      </c>
      <c r="F93">
        <v>2.1988600004372101</v>
      </c>
      <c r="G93">
        <v>-1578.6806784183611</v>
      </c>
      <c r="H93">
        <v>-1324.3723739765999</v>
      </c>
      <c r="I93">
        <v>245.91046215903</v>
      </c>
      <c r="J93">
        <v>129.481644308515</v>
      </c>
      <c r="K93">
        <v>44.005721156411497</v>
      </c>
      <c r="L93">
        <v>1.4047105213375421E-4</v>
      </c>
      <c r="M93">
        <v>1.7337701720107731E-5</v>
      </c>
      <c r="N93" s="1">
        <v>2.7578927294245601E-6</v>
      </c>
      <c r="O93" s="1">
        <v>8.1740959884838E-8</v>
      </c>
      <c r="P93" s="1">
        <v>-4.1779691701137399E-7</v>
      </c>
      <c r="Q93">
        <v>73.526209991369399</v>
      </c>
      <c r="R93">
        <v>8.1643266018299104E-2</v>
      </c>
      <c r="S93">
        <v>12.018836822660401</v>
      </c>
      <c r="T93">
        <v>0.20029485957528501</v>
      </c>
      <c r="V93">
        <v>0.46051709920398698</v>
      </c>
      <c r="W93">
        <v>2.6869935651589599E-2</v>
      </c>
      <c r="X93">
        <v>6.2007543811375597E-2</v>
      </c>
      <c r="AA93">
        <v>0.470418846617569</v>
      </c>
      <c r="AB93">
        <v>3.7291072236528402</v>
      </c>
      <c r="AC93">
        <v>4.5109718720021803</v>
      </c>
      <c r="AD93">
        <v>4.1338362540897901E-3</v>
      </c>
      <c r="AE93">
        <v>4.9089887031828798</v>
      </c>
    </row>
    <row r="94" spans="1:31" x14ac:dyDescent="0.2">
      <c r="A94">
        <v>93</v>
      </c>
      <c r="B94">
        <v>760</v>
      </c>
      <c r="C94">
        <v>175</v>
      </c>
      <c r="D94">
        <v>0.41134443207665999</v>
      </c>
      <c r="E94">
        <v>94.063345026704297</v>
      </c>
      <c r="F94">
        <v>2.2000043467700401</v>
      </c>
      <c r="G94">
        <v>-1533.7636107035664</v>
      </c>
      <c r="H94">
        <v>-1287.083946953534</v>
      </c>
      <c r="I94">
        <v>238.76461670622101</v>
      </c>
      <c r="J94">
        <v>125.82010017253501</v>
      </c>
      <c r="K94">
        <v>42.755981443765798</v>
      </c>
      <c r="L94">
        <v>1.4016800061853688E-4</v>
      </c>
      <c r="M94">
        <v>1.7295925725782102E-5</v>
      </c>
      <c r="N94" s="1">
        <v>2.67383680775924E-6</v>
      </c>
      <c r="O94" s="1">
        <v>7.9127994524650206E-8</v>
      </c>
      <c r="P94" s="1">
        <v>-4.0497412117524601E-7</v>
      </c>
      <c r="Q94">
        <v>73.492278910671402</v>
      </c>
      <c r="R94">
        <v>8.3985956461122405E-2</v>
      </c>
      <c r="S94">
        <v>12.0215169914642</v>
      </c>
      <c r="T94">
        <v>0.20639845468328799</v>
      </c>
      <c r="V94">
        <v>0.47341068894612098</v>
      </c>
      <c r="W94">
        <v>2.76409476960628E-2</v>
      </c>
      <c r="X94">
        <v>6.3786802375546403E-2</v>
      </c>
      <c r="AA94">
        <v>0.46080629731765099</v>
      </c>
      <c r="AB94">
        <v>3.6892060017092998</v>
      </c>
      <c r="AC94">
        <v>4.5863627394617197</v>
      </c>
      <c r="AD94">
        <v>4.2524534917010998E-3</v>
      </c>
      <c r="AE94">
        <v>4.8903537557217902</v>
      </c>
    </row>
    <row r="95" spans="1:31" x14ac:dyDescent="0.2">
      <c r="A95">
        <v>94</v>
      </c>
      <c r="B95">
        <v>759</v>
      </c>
      <c r="C95">
        <v>175</v>
      </c>
      <c r="D95">
        <v>0.41070629269001901</v>
      </c>
      <c r="E95">
        <v>88.096121052301598</v>
      </c>
      <c r="F95">
        <v>2.2015599506922001</v>
      </c>
      <c r="G95">
        <v>-1435.4215453773577</v>
      </c>
      <c r="H95">
        <v>-1204.8902521447337</v>
      </c>
      <c r="I95">
        <v>223.35057233214499</v>
      </c>
      <c r="J95">
        <v>117.797354676433</v>
      </c>
      <c r="K95">
        <v>40.0153177861919</v>
      </c>
      <c r="L95">
        <v>1.3990740022781024E-4</v>
      </c>
      <c r="M95">
        <v>1.725641692154467E-5</v>
      </c>
      <c r="N95" s="1">
        <v>2.4977718200958802E-6</v>
      </c>
      <c r="O95" s="1">
        <v>7.3802759891013004E-8</v>
      </c>
      <c r="P95" s="1">
        <v>-3.78161457599384E-7</v>
      </c>
      <c r="Q95">
        <v>73.434468733110606</v>
      </c>
      <c r="R95">
        <v>8.96747768872906E-2</v>
      </c>
      <c r="S95">
        <v>12.0223726375072</v>
      </c>
      <c r="T95">
        <v>0.220630884701976</v>
      </c>
      <c r="V95">
        <v>0.50525063048180796</v>
      </c>
      <c r="W95">
        <v>2.9513217709732399E-2</v>
      </c>
      <c r="X95">
        <v>6.8107425484050493E-2</v>
      </c>
      <c r="AA95">
        <v>0.45766533962344202</v>
      </c>
      <c r="AB95">
        <v>3.64430930942265</v>
      </c>
      <c r="AC95">
        <v>4.6512481181176604</v>
      </c>
      <c r="AD95">
        <v>4.5404950322645099E-3</v>
      </c>
      <c r="AE95">
        <v>4.8722184319211896</v>
      </c>
    </row>
    <row r="96" spans="1:31" x14ac:dyDescent="0.2">
      <c r="A96">
        <v>95</v>
      </c>
      <c r="B96">
        <v>758</v>
      </c>
      <c r="C96">
        <v>175</v>
      </c>
      <c r="D96">
        <v>0.41006691557969399</v>
      </c>
      <c r="E96">
        <v>71.316828200568594</v>
      </c>
      <c r="F96">
        <v>2.2046459058269501</v>
      </c>
      <c r="G96">
        <v>-1160.4858328640148</v>
      </c>
      <c r="H96">
        <v>-974.19017833906128</v>
      </c>
      <c r="I96">
        <v>180.66785096732099</v>
      </c>
      <c r="J96">
        <v>95.362638293494598</v>
      </c>
      <c r="K96">
        <v>32.348427478569597</v>
      </c>
      <c r="L96">
        <v>1.4001644474494966E-4</v>
      </c>
      <c r="M96">
        <v>1.7243209572247869E-5</v>
      </c>
      <c r="N96" s="1">
        <v>2.0215627009608099E-6</v>
      </c>
      <c r="O96" s="1">
        <v>5.9624240583883702E-8</v>
      </c>
      <c r="P96" s="1">
        <v>-3.0570506288674199E-7</v>
      </c>
      <c r="Q96">
        <v>73.266464193829805</v>
      </c>
      <c r="R96">
        <v>0.110773294316782</v>
      </c>
      <c r="S96">
        <v>12.0139440090972</v>
      </c>
      <c r="T96">
        <v>0.27215194326456699</v>
      </c>
      <c r="V96">
        <v>0.62447471601075599</v>
      </c>
      <c r="W96">
        <v>3.64570335725991E-2</v>
      </c>
      <c r="X96">
        <v>8.4131615936844803E-2</v>
      </c>
      <c r="AA96">
        <v>0.47196100829791998</v>
      </c>
      <c r="AB96">
        <v>3.6064716116344302</v>
      </c>
      <c r="AC96">
        <v>4.6420165817324701</v>
      </c>
      <c r="AD96">
        <v>5.6087743957799804E-3</v>
      </c>
      <c r="AE96">
        <v>4.8655452179107899</v>
      </c>
    </row>
    <row r="97" spans="1:31" x14ac:dyDescent="0.2">
      <c r="A97">
        <v>96</v>
      </c>
      <c r="B97">
        <v>757</v>
      </c>
      <c r="C97">
        <v>175</v>
      </c>
      <c r="D97">
        <v>0.40942629714119499</v>
      </c>
      <c r="E97">
        <v>36.146687607876501</v>
      </c>
      <c r="F97">
        <v>2.2071561261887802</v>
      </c>
      <c r="G97">
        <v>-588.06355331377756</v>
      </c>
      <c r="H97">
        <v>-493.8655185039716</v>
      </c>
      <c r="I97">
        <v>91.441086064947697</v>
      </c>
      <c r="J97">
        <v>48.354822240996498</v>
      </c>
      <c r="K97">
        <v>16.377041559942899</v>
      </c>
      <c r="L97">
        <v>1.3967821543031612E-4</v>
      </c>
      <c r="M97">
        <v>1.7203067496881325E-5</v>
      </c>
      <c r="N97" s="1">
        <v>1.0210668917054801E-6</v>
      </c>
      <c r="O97" s="1">
        <v>3.0067130486437597E-8</v>
      </c>
      <c r="P97" s="1">
        <v>-1.5402396012193001E-7</v>
      </c>
      <c r="Q97">
        <v>73.137198014966003</v>
      </c>
      <c r="R97">
        <v>0.13768987306289501</v>
      </c>
      <c r="S97">
        <v>12.0991291496378</v>
      </c>
      <c r="T97">
        <v>0.263050037650776</v>
      </c>
      <c r="V97">
        <v>0.60476910050617205</v>
      </c>
      <c r="W97">
        <v>7.1929135753856802E-2</v>
      </c>
      <c r="X97">
        <v>0.15588717653419701</v>
      </c>
      <c r="AA97">
        <v>0.50003231375524304</v>
      </c>
      <c r="AB97">
        <v>3.4968942868883901</v>
      </c>
      <c r="AC97">
        <v>4.6792027809656904</v>
      </c>
      <c r="AD97">
        <v>1.10660208851959E-2</v>
      </c>
      <c r="AE97">
        <v>4.8431521093936203</v>
      </c>
    </row>
    <row r="98" spans="1:31" x14ac:dyDescent="0.2">
      <c r="A98">
        <v>97</v>
      </c>
      <c r="B98">
        <v>756</v>
      </c>
      <c r="C98">
        <v>175</v>
      </c>
      <c r="D98">
        <v>0.40878443375601398</v>
      </c>
      <c r="E98">
        <v>18.281091665927399</v>
      </c>
      <c r="F98">
        <v>2.2096978318832599</v>
      </c>
      <c r="G98">
        <v>-297.35498650688197</v>
      </c>
      <c r="H98">
        <v>-249.82682899862587</v>
      </c>
      <c r="I98">
        <v>46.181953561925901</v>
      </c>
      <c r="J98">
        <v>24.463292291383699</v>
      </c>
      <c r="K98">
        <v>8.2731183432202506</v>
      </c>
      <c r="L98">
        <v>1.3944738340122999E-4</v>
      </c>
      <c r="M98">
        <v>1.7183525561557305E-5</v>
      </c>
      <c r="N98" s="1">
        <v>5.1525673740549695E-7</v>
      </c>
      <c r="O98" s="1">
        <v>1.5147096886439899E-8</v>
      </c>
      <c r="P98" s="1">
        <v>-7.74532667968081E-8</v>
      </c>
      <c r="Q98">
        <v>72.940399634315099</v>
      </c>
      <c r="R98">
        <v>0.17053203962949801</v>
      </c>
      <c r="S98">
        <v>12.294857976429499</v>
      </c>
      <c r="T98">
        <v>0.248611578722085</v>
      </c>
      <c r="V98">
        <v>0.57415803007529498</v>
      </c>
      <c r="W98">
        <v>0.14222345402078701</v>
      </c>
      <c r="X98">
        <v>0.1818675903034</v>
      </c>
      <c r="AA98">
        <v>0.51313682526628301</v>
      </c>
      <c r="AB98">
        <v>3.3673187108094198</v>
      </c>
      <c r="AC98">
        <v>4.7180876556573503</v>
      </c>
      <c r="AD98">
        <v>2.18805313877793E-2</v>
      </c>
      <c r="AE98">
        <v>4.8269259733833696</v>
      </c>
    </row>
    <row r="99" spans="1:31" x14ac:dyDescent="0.2">
      <c r="A99">
        <v>98</v>
      </c>
      <c r="B99">
        <v>755</v>
      </c>
      <c r="C99">
        <v>175</v>
      </c>
      <c r="D99">
        <v>0.40814132179156798</v>
      </c>
      <c r="E99">
        <v>11.2844760494336</v>
      </c>
      <c r="F99">
        <v>2.2121004989004498</v>
      </c>
      <c r="G99">
        <v>-183.49614002737985</v>
      </c>
      <c r="H99">
        <v>-154.2198175035565</v>
      </c>
      <c r="I99">
        <v>28.474758083765298</v>
      </c>
      <c r="J99">
        <v>15.1061447160354</v>
      </c>
      <c r="K99">
        <v>5.1012492674011503</v>
      </c>
      <c r="L99">
        <v>1.3941985508890141E-4</v>
      </c>
      <c r="M99">
        <v>1.7188399711597709E-5</v>
      </c>
      <c r="N99" s="1">
        <v>3.1813101873936801E-7</v>
      </c>
      <c r="O99" s="1">
        <v>9.33468248769057E-9</v>
      </c>
      <c r="P99" s="1">
        <v>-4.7639406862067098E-8</v>
      </c>
      <c r="Q99">
        <v>72.700836669978301</v>
      </c>
      <c r="R99">
        <v>0.17811228918901101</v>
      </c>
      <c r="S99">
        <v>12.544473331188801</v>
      </c>
      <c r="T99">
        <v>0.24281118936880899</v>
      </c>
      <c r="V99">
        <v>0.56431235320821505</v>
      </c>
      <c r="W99">
        <v>0.22882834441206101</v>
      </c>
      <c r="X99">
        <v>0.183126912964587</v>
      </c>
      <c r="AA99">
        <v>0.516273677218136</v>
      </c>
      <c r="AB99">
        <v>3.2419376027606801</v>
      </c>
      <c r="AC99">
        <v>4.7412441956451197</v>
      </c>
      <c r="AD99">
        <v>3.5446927110015701E-2</v>
      </c>
      <c r="AE99">
        <v>4.8225965069561001</v>
      </c>
    </row>
    <row r="100" spans="1:31" x14ac:dyDescent="0.2">
      <c r="A100">
        <v>99</v>
      </c>
      <c r="B100">
        <v>754</v>
      </c>
      <c r="C100">
        <v>175</v>
      </c>
      <c r="D100">
        <v>0.40749695760112897</v>
      </c>
      <c r="E100">
        <v>8.2438545080366197</v>
      </c>
      <c r="F100">
        <v>2.2142502555309398</v>
      </c>
      <c r="G100">
        <v>-134.01453384414089</v>
      </c>
      <c r="H100">
        <v>-112.6682538962127</v>
      </c>
      <c r="I100">
        <v>20.782047362048498</v>
      </c>
      <c r="J100">
        <v>11.0401807046931</v>
      </c>
      <c r="K100">
        <v>3.7230906883467201</v>
      </c>
      <c r="L100">
        <v>1.3946856594915507E-4</v>
      </c>
      <c r="M100">
        <v>1.7200049513071453E-5</v>
      </c>
      <c r="N100" s="1">
        <v>2.3268909972951201E-7</v>
      </c>
      <c r="O100" s="1">
        <v>6.8143767273561003E-9</v>
      </c>
      <c r="P100" s="1">
        <v>-3.47185155768795E-8</v>
      </c>
      <c r="Q100">
        <v>72.470442420086101</v>
      </c>
      <c r="R100">
        <v>0.17702215798898699</v>
      </c>
      <c r="S100">
        <v>12.7837511136812</v>
      </c>
      <c r="T100">
        <v>0.23982611168308801</v>
      </c>
      <c r="V100">
        <v>0.56069678462141603</v>
      </c>
      <c r="W100">
        <v>0.31050892660139301</v>
      </c>
      <c r="X100">
        <v>0.18258858433837399</v>
      </c>
      <c r="AA100">
        <v>0.51644449718937901</v>
      </c>
      <c r="AB100">
        <v>3.1331326418528702</v>
      </c>
      <c r="AC100">
        <v>4.7541484797085403</v>
      </c>
      <c r="AD100">
        <v>4.8520992165623798E-2</v>
      </c>
      <c r="AE100">
        <v>4.8229172900828701</v>
      </c>
    </row>
    <row r="101" spans="1:31" x14ac:dyDescent="0.2">
      <c r="A101">
        <v>100</v>
      </c>
      <c r="B101">
        <v>775</v>
      </c>
      <c r="C101">
        <v>150</v>
      </c>
      <c r="D101">
        <v>0.44700710776129698</v>
      </c>
      <c r="E101">
        <v>103.611921968077</v>
      </c>
      <c r="F101">
        <v>2.1961304924557701</v>
      </c>
      <c r="G101">
        <v>-1694.858473238424</v>
      </c>
      <c r="H101">
        <v>-1419.1600533719359</v>
      </c>
      <c r="I101">
        <v>263.03336341791601</v>
      </c>
      <c r="J101">
        <v>138.48900120290401</v>
      </c>
      <c r="K101">
        <v>47.179310302374297</v>
      </c>
      <c r="L101">
        <v>1.3574314661594805E-4</v>
      </c>
      <c r="M101">
        <v>1.724983280411167E-5</v>
      </c>
      <c r="N101" s="1">
        <v>2.7252214083450299E-6</v>
      </c>
      <c r="O101" s="1">
        <v>8.4285411271937306E-8</v>
      </c>
      <c r="P101" s="1">
        <v>-4.2400800020009602E-7</v>
      </c>
      <c r="Q101">
        <v>73.949019132789203</v>
      </c>
      <c r="R101">
        <v>7.6246052094603597E-2</v>
      </c>
      <c r="S101">
        <v>12.044945951148</v>
      </c>
      <c r="T101">
        <v>0.18517984265283999</v>
      </c>
      <c r="V101">
        <v>0.43175987644304797</v>
      </c>
      <c r="W101">
        <v>2.5093637398223699E-2</v>
      </c>
      <c r="X101">
        <v>5.7908393995902301E-2</v>
      </c>
      <c r="AA101">
        <v>0.511524146963796</v>
      </c>
      <c r="AB101">
        <v>3.8412568017281101</v>
      </c>
      <c r="AC101">
        <v>4.3045239536952904</v>
      </c>
      <c r="AD101">
        <v>3.8605595997266702E-3</v>
      </c>
      <c r="AE101">
        <v>4.5686816514910902</v>
      </c>
    </row>
    <row r="102" spans="1:31" x14ac:dyDescent="0.2">
      <c r="A102">
        <v>101</v>
      </c>
      <c r="B102">
        <v>774</v>
      </c>
      <c r="C102">
        <v>150</v>
      </c>
      <c r="D102">
        <v>0.44641216635630598</v>
      </c>
      <c r="E102">
        <v>103.356409968854</v>
      </c>
      <c r="F102">
        <v>2.1964370685218202</v>
      </c>
      <c r="G102">
        <v>-1690.346610220088</v>
      </c>
      <c r="H102">
        <v>-1415.7797160366811</v>
      </c>
      <c r="I102">
        <v>262.20397668281203</v>
      </c>
      <c r="J102">
        <v>138.111141033488</v>
      </c>
      <c r="K102">
        <v>47.056394854241198</v>
      </c>
      <c r="L102">
        <v>1.3559479280036334E-4</v>
      </c>
      <c r="M102">
        <v>1.7237397666499801E-5</v>
      </c>
      <c r="N102" s="1">
        <v>2.71938590013665E-6</v>
      </c>
      <c r="O102" s="1">
        <v>8.3954405118309206E-8</v>
      </c>
      <c r="P102" s="1">
        <v>-4.2239684604687699E-7</v>
      </c>
      <c r="Q102">
        <v>73.979579722009703</v>
      </c>
      <c r="R102">
        <v>7.6434543366788801E-2</v>
      </c>
      <c r="S102">
        <v>12.025588321967099</v>
      </c>
      <c r="T102">
        <v>0.18587503798971799</v>
      </c>
      <c r="V102">
        <v>0.43261363061559799</v>
      </c>
      <c r="W102">
        <v>2.51556725004617E-2</v>
      </c>
      <c r="X102">
        <v>5.8051551924144899E-2</v>
      </c>
      <c r="AA102">
        <v>0.50777820365995796</v>
      </c>
      <c r="AB102">
        <v>3.8292083123397598</v>
      </c>
      <c r="AC102">
        <v>4.3109323545109799</v>
      </c>
      <c r="AD102">
        <v>3.8701034616093499E-3</v>
      </c>
      <c r="AE102">
        <v>4.56491254565411</v>
      </c>
    </row>
    <row r="103" spans="1:31" x14ac:dyDescent="0.2">
      <c r="A103">
        <v>102</v>
      </c>
      <c r="B103">
        <v>773</v>
      </c>
      <c r="C103">
        <v>150</v>
      </c>
      <c r="D103">
        <v>0.44581608755914398</v>
      </c>
      <c r="E103">
        <v>102.92252017955499</v>
      </c>
      <c r="F103">
        <v>2.1967507489610498</v>
      </c>
      <c r="G103">
        <v>-1682.8718068145565</v>
      </c>
      <c r="H103">
        <v>-1409.9427465174285</v>
      </c>
      <c r="I103">
        <v>260.88903149369298</v>
      </c>
      <c r="J103">
        <v>137.47867814779099</v>
      </c>
      <c r="K103">
        <v>46.852161187714103</v>
      </c>
      <c r="L103">
        <v>1.3536979320400477E-4</v>
      </c>
      <c r="M103">
        <v>1.7220933327800192E-5</v>
      </c>
      <c r="N103" s="1">
        <v>2.7072796473792902E-6</v>
      </c>
      <c r="O103" s="1">
        <v>8.3435411362673304E-8</v>
      </c>
      <c r="P103" s="1">
        <v>-4.1972256354833899E-7</v>
      </c>
      <c r="Q103">
        <v>74.031555292253898</v>
      </c>
      <c r="R103">
        <v>7.6756767966991005E-2</v>
      </c>
      <c r="S103">
        <v>11.992711240242199</v>
      </c>
      <c r="T103">
        <v>0.18686861746318101</v>
      </c>
      <c r="V103">
        <v>0.43424844815730701</v>
      </c>
      <c r="W103">
        <v>2.5261721103059701E-2</v>
      </c>
      <c r="X103">
        <v>5.8296279468603003E-2</v>
      </c>
      <c r="AA103">
        <v>0.50161406488062499</v>
      </c>
      <c r="AB103">
        <v>3.8086108386867799</v>
      </c>
      <c r="AC103">
        <v>4.3216844404731196</v>
      </c>
      <c r="AD103">
        <v>3.8864186312397501E-3</v>
      </c>
      <c r="AE103">
        <v>4.5585058706728896</v>
      </c>
    </row>
    <row r="104" spans="1:31" x14ac:dyDescent="0.2">
      <c r="A104">
        <v>103</v>
      </c>
      <c r="B104">
        <v>772</v>
      </c>
      <c r="C104">
        <v>150</v>
      </c>
      <c r="D104">
        <v>0.44521886810505501</v>
      </c>
      <c r="E104">
        <v>102.48800290953</v>
      </c>
      <c r="F104">
        <v>2.1970660234161001</v>
      </c>
      <c r="G104">
        <v>-1675.3906057746049</v>
      </c>
      <c r="H104">
        <v>-1404.0971369306444</v>
      </c>
      <c r="I104">
        <v>259.57371558528399</v>
      </c>
      <c r="J104">
        <v>136.84571589474299</v>
      </c>
      <c r="K104">
        <v>46.647666395649097</v>
      </c>
      <c r="L104">
        <v>1.3514360913880201E-4</v>
      </c>
      <c r="M104">
        <v>1.7204458430896014E-5</v>
      </c>
      <c r="N104" s="1">
        <v>2.6951344720964698E-6</v>
      </c>
      <c r="O104" s="1">
        <v>8.2916897728660898E-8</v>
      </c>
      <c r="P104" s="1">
        <v>-4.1704636461452202E-7</v>
      </c>
      <c r="Q104">
        <v>74.083715560456994</v>
      </c>
      <c r="R104">
        <v>7.7082192800397395E-2</v>
      </c>
      <c r="S104">
        <v>11.959769500054</v>
      </c>
      <c r="T104">
        <v>0.18787168638694901</v>
      </c>
      <c r="V104">
        <v>0.43589984274140697</v>
      </c>
      <c r="W104">
        <v>2.5368822946965401E-2</v>
      </c>
      <c r="X104">
        <v>5.8543437569925E-2</v>
      </c>
      <c r="AA104">
        <v>0.49568210087252601</v>
      </c>
      <c r="AB104">
        <v>3.7878154136573099</v>
      </c>
      <c r="AC104">
        <v>4.3322823470015601</v>
      </c>
      <c r="AD104">
        <v>3.90289583799439E-3</v>
      </c>
      <c r="AE104">
        <v>4.5520661996738596</v>
      </c>
    </row>
    <row r="105" spans="1:31" x14ac:dyDescent="0.2">
      <c r="A105">
        <v>104</v>
      </c>
      <c r="B105">
        <v>771</v>
      </c>
      <c r="C105">
        <v>150</v>
      </c>
      <c r="D105">
        <v>0.44462050471675502</v>
      </c>
      <c r="E105">
        <v>101.55814762481801</v>
      </c>
      <c r="F105">
        <v>2.19754825054016</v>
      </c>
      <c r="G105">
        <v>-1659.6887689176331</v>
      </c>
      <c r="H105">
        <v>-1391.3503436802862</v>
      </c>
      <c r="I105">
        <v>256.99221877828501</v>
      </c>
      <c r="J105">
        <v>135.554044513875</v>
      </c>
      <c r="K105">
        <v>46.214297046654202</v>
      </c>
      <c r="L105">
        <v>1.3491930696528205E-4</v>
      </c>
      <c r="M105">
        <v>1.7182939187987752E-5</v>
      </c>
      <c r="N105" s="1">
        <v>2.66875418983114E-6</v>
      </c>
      <c r="O105" s="1">
        <v>8.1966772446807897E-8</v>
      </c>
      <c r="P105" s="1">
        <v>-4.1238451065312402E-7</v>
      </c>
      <c r="Q105">
        <v>74.112073353639303</v>
      </c>
      <c r="R105">
        <v>7.77879489214863E-2</v>
      </c>
      <c r="S105">
        <v>11.9371941488434</v>
      </c>
      <c r="T105">
        <v>0.18984166575658801</v>
      </c>
      <c r="V105">
        <v>0.43966607911938499</v>
      </c>
      <c r="W105">
        <v>2.5601097113398998E-2</v>
      </c>
      <c r="X105">
        <v>5.9079454877083701E-2</v>
      </c>
      <c r="AA105">
        <v>0.48799694325471799</v>
      </c>
      <c r="AB105">
        <v>3.76420972123737</v>
      </c>
      <c r="AC105">
        <v>4.3590444975030804</v>
      </c>
      <c r="AD105">
        <v>3.9386303251378301E-3</v>
      </c>
      <c r="AE105">
        <v>4.5435664594089697</v>
      </c>
    </row>
    <row r="106" spans="1:31" x14ac:dyDescent="0.2">
      <c r="A106">
        <v>105</v>
      </c>
      <c r="B106">
        <v>770</v>
      </c>
      <c r="C106">
        <v>150</v>
      </c>
      <c r="D106">
        <v>0.44402099410439499</v>
      </c>
      <c r="E106">
        <v>99.341207839112002</v>
      </c>
      <c r="F106">
        <v>2.1984720755141298</v>
      </c>
      <c r="G106">
        <v>-1622.6394218472742</v>
      </c>
      <c r="H106">
        <v>-1360.681832199884</v>
      </c>
      <c r="I106">
        <v>251.121688776676</v>
      </c>
      <c r="J106">
        <v>132.55027529680501</v>
      </c>
      <c r="K106">
        <v>45.186476983511398</v>
      </c>
      <c r="L106">
        <v>1.3469490426705591E-4</v>
      </c>
      <c r="M106">
        <v>1.7148119831921417E-5</v>
      </c>
      <c r="N106" s="1">
        <v>2.6054433724227299E-6</v>
      </c>
      <c r="O106" s="1">
        <v>7.9897521100338002E-8</v>
      </c>
      <c r="P106" s="1">
        <v>-4.0254262879858399E-7</v>
      </c>
      <c r="Q106">
        <v>74.080042777050807</v>
      </c>
      <c r="R106">
        <v>7.95238972007941E-2</v>
      </c>
      <c r="S106">
        <v>11.940579580067499</v>
      </c>
      <c r="T106">
        <v>0.19442505057334999</v>
      </c>
      <c r="V106">
        <v>0.44916579687959202</v>
      </c>
      <c r="W106">
        <v>2.617242186355E-2</v>
      </c>
      <c r="X106">
        <v>6.0397896608206998E-2</v>
      </c>
      <c r="AA106">
        <v>0.476185117133817</v>
      </c>
      <c r="AB106">
        <v>3.7323713203934701</v>
      </c>
      <c r="AC106">
        <v>4.4275312735257302</v>
      </c>
      <c r="AD106">
        <v>4.0265264405454802E-3</v>
      </c>
      <c r="AE106">
        <v>4.52957834226246</v>
      </c>
    </row>
    <row r="107" spans="1:31" x14ac:dyDescent="0.2">
      <c r="A107">
        <v>106</v>
      </c>
      <c r="B107">
        <v>769</v>
      </c>
      <c r="C107">
        <v>150</v>
      </c>
      <c r="D107">
        <v>0.44342033296550898</v>
      </c>
      <c r="E107">
        <v>97.015060702053802</v>
      </c>
      <c r="F107">
        <v>2.1994459048521602</v>
      </c>
      <c r="G107">
        <v>-1583.8178668649996</v>
      </c>
      <c r="H107">
        <v>-1328.5129434069672</v>
      </c>
      <c r="I107">
        <v>244.97905623761599</v>
      </c>
      <c r="J107">
        <v>129.40163121966901</v>
      </c>
      <c r="K107">
        <v>44.108864186216302</v>
      </c>
      <c r="L107">
        <v>1.3445889202001897E-4</v>
      </c>
      <c r="M107">
        <v>1.7112097415417019E-5</v>
      </c>
      <c r="N107" s="1">
        <v>2.5390951688709102E-6</v>
      </c>
      <c r="O107" s="1">
        <v>7.7742679537319198E-8</v>
      </c>
      <c r="P107" s="1">
        <v>-3.9223438310194299E-7</v>
      </c>
      <c r="Q107">
        <v>74.046757454624</v>
      </c>
      <c r="R107">
        <v>8.1430655640800806E-2</v>
      </c>
      <c r="S107">
        <v>11.943912860068901</v>
      </c>
      <c r="T107">
        <v>0.19943538753680801</v>
      </c>
      <c r="V107">
        <v>0.45962187383533398</v>
      </c>
      <c r="W107">
        <v>2.6799962615956598E-2</v>
      </c>
      <c r="X107">
        <v>6.1846067575302803E-2</v>
      </c>
      <c r="AA107">
        <v>0.46560660600833997</v>
      </c>
      <c r="AB107">
        <v>3.6978121533391799</v>
      </c>
      <c r="AC107">
        <v>4.49775060719747</v>
      </c>
      <c r="AD107">
        <v>4.12307117168459E-3</v>
      </c>
      <c r="AE107">
        <v>4.5149033003861101</v>
      </c>
    </row>
    <row r="108" spans="1:31" x14ac:dyDescent="0.2">
      <c r="A108">
        <v>107</v>
      </c>
      <c r="B108">
        <v>768</v>
      </c>
      <c r="C108">
        <v>150</v>
      </c>
      <c r="D108">
        <v>0.442818517984921</v>
      </c>
      <c r="E108">
        <v>94.522676117759403</v>
      </c>
      <c r="F108">
        <v>2.20048175916288</v>
      </c>
      <c r="G108">
        <v>-1542.2915337859026</v>
      </c>
      <c r="H108">
        <v>-1294.0595013860818</v>
      </c>
      <c r="I108">
        <v>238.421007923758</v>
      </c>
      <c r="J108">
        <v>126.032232274507</v>
      </c>
      <c r="K108">
        <v>42.955446335405199</v>
      </c>
      <c r="L108">
        <v>1.3421041503839737E-4</v>
      </c>
      <c r="M108">
        <v>1.7074750539043061E-5</v>
      </c>
      <c r="N108" s="1">
        <v>2.4682226174988699E-6</v>
      </c>
      <c r="O108" s="1">
        <v>7.5457223023848597E-8</v>
      </c>
      <c r="P108" s="1">
        <v>-3.8122951691974699E-7</v>
      </c>
      <c r="Q108">
        <v>74.011723913010201</v>
      </c>
      <c r="R108">
        <v>8.3577828352619704E-2</v>
      </c>
      <c r="S108">
        <v>11.9471480933246</v>
      </c>
      <c r="T108">
        <v>0.20504245707694299</v>
      </c>
      <c r="V108">
        <v>0.47142779979870503</v>
      </c>
      <c r="W108">
        <v>2.7506627052757401E-2</v>
      </c>
      <c r="X108">
        <v>6.3476831660229702E-2</v>
      </c>
      <c r="AA108">
        <v>0.45647680579726402</v>
      </c>
      <c r="AB108">
        <v>3.6601269491343</v>
      </c>
      <c r="AC108">
        <v>4.5697989810870903</v>
      </c>
      <c r="AD108">
        <v>4.2317887773461304E-3</v>
      </c>
      <c r="AE108">
        <v>4.4994619249278198</v>
      </c>
    </row>
    <row r="109" spans="1:31" x14ac:dyDescent="0.2">
      <c r="A109">
        <v>108</v>
      </c>
      <c r="B109">
        <v>767</v>
      </c>
      <c r="C109">
        <v>150</v>
      </c>
      <c r="D109">
        <v>0.44221554583473799</v>
      </c>
      <c r="E109">
        <v>91.748223339698697</v>
      </c>
      <c r="F109">
        <v>2.20160308334945</v>
      </c>
      <c r="G109">
        <v>-1496.1661641220335</v>
      </c>
      <c r="H109">
        <v>-1255.728951545349</v>
      </c>
      <c r="I109">
        <v>231.15628762840299</v>
      </c>
      <c r="J109">
        <v>122.287962952982</v>
      </c>
      <c r="K109">
        <v>41.673371568918498</v>
      </c>
      <c r="L109">
        <v>1.3394828632300201E-4</v>
      </c>
      <c r="M109">
        <v>1.7035893459150917E-5</v>
      </c>
      <c r="N109" s="1">
        <v>2.3898025335449701E-6</v>
      </c>
      <c r="O109" s="1">
        <v>7.2949531408183901E-8</v>
      </c>
      <c r="P109" s="1">
        <v>-3.6905924085184202E-7</v>
      </c>
      <c r="Q109">
        <v>73.973934589753298</v>
      </c>
      <c r="R109">
        <v>8.6105209588099502E-2</v>
      </c>
      <c r="S109">
        <v>11.950214301076</v>
      </c>
      <c r="T109">
        <v>0.21158632686984</v>
      </c>
      <c r="V109">
        <v>0.485374697574606</v>
      </c>
      <c r="W109">
        <v>2.8338423408736602E-2</v>
      </c>
      <c r="X109">
        <v>6.5396361712498297E-2</v>
      </c>
      <c r="AA109">
        <v>0.449255174554054</v>
      </c>
      <c r="AB109">
        <v>3.6185707441107202</v>
      </c>
      <c r="AC109">
        <v>4.6437397904153297</v>
      </c>
      <c r="AD109">
        <v>4.3597574474966601E-3</v>
      </c>
      <c r="AE109">
        <v>4.4831246234892301</v>
      </c>
    </row>
    <row r="110" spans="1:31" x14ac:dyDescent="0.2">
      <c r="A110">
        <v>109</v>
      </c>
      <c r="B110">
        <v>766</v>
      </c>
      <c r="C110">
        <v>150</v>
      </c>
      <c r="D110">
        <v>0.44161141317423203</v>
      </c>
      <c r="E110">
        <v>88.387174196098101</v>
      </c>
      <c r="F110">
        <v>2.2028683666089499</v>
      </c>
      <c r="G110">
        <v>-1440.4620166706059</v>
      </c>
      <c r="H110">
        <v>-1209.3350987388246</v>
      </c>
      <c r="I110">
        <v>222.419206016245</v>
      </c>
      <c r="J110">
        <v>117.76375435400401</v>
      </c>
      <c r="K110">
        <v>40.123674903080598</v>
      </c>
      <c r="L110">
        <v>1.3367147703213943E-4</v>
      </c>
      <c r="M110">
        <v>1.6995258077815509E-5</v>
      </c>
      <c r="N110" s="1">
        <v>2.2959065357359302E-6</v>
      </c>
      <c r="O110" s="1">
        <v>6.9979030181453896E-8</v>
      </c>
      <c r="P110" s="1">
        <v>-3.5449246829305402E-7</v>
      </c>
      <c r="Q110">
        <v>73.930676822889694</v>
      </c>
      <c r="R110">
        <v>8.9379483752625194E-2</v>
      </c>
      <c r="S110">
        <v>11.9530020695281</v>
      </c>
      <c r="T110">
        <v>0.21995675381073199</v>
      </c>
      <c r="V110">
        <v>0.50353973045773803</v>
      </c>
      <c r="W110">
        <v>2.9416032627440199E-2</v>
      </c>
      <c r="X110">
        <v>6.7883152217205395E-2</v>
      </c>
      <c r="AA110">
        <v>0.44519959970786899</v>
      </c>
      <c r="AB110">
        <v>3.5714889344554202</v>
      </c>
      <c r="AC110">
        <v>4.7192665412906001</v>
      </c>
      <c r="AD110">
        <v>4.5255434811431999E-3</v>
      </c>
      <c r="AE110">
        <v>4.4656653357812104</v>
      </c>
    </row>
    <row r="111" spans="1:31" x14ac:dyDescent="0.2">
      <c r="A111">
        <v>110</v>
      </c>
      <c r="B111">
        <v>765</v>
      </c>
      <c r="C111">
        <v>150</v>
      </c>
      <c r="D111">
        <v>0.44100611664981298</v>
      </c>
      <c r="E111">
        <v>73.638587836479104</v>
      </c>
      <c r="F111">
        <v>2.2056823915655399</v>
      </c>
      <c r="G111">
        <v>-1198.6669819340329</v>
      </c>
      <c r="H111">
        <v>-1006.4630904342241</v>
      </c>
      <c r="I111">
        <v>185.14077108299199</v>
      </c>
      <c r="J111">
        <v>98.108657381077506</v>
      </c>
      <c r="K111">
        <v>33.385852885288699</v>
      </c>
      <c r="L111">
        <v>1.3369852110402434E-4</v>
      </c>
      <c r="M111">
        <v>1.6976586420317448E-5</v>
      </c>
      <c r="N111" s="1">
        <v>1.9112110144835999E-6</v>
      </c>
      <c r="O111" s="1">
        <v>5.8153368330322801E-8</v>
      </c>
      <c r="P111" s="1">
        <v>-2.9477617332800201E-7</v>
      </c>
      <c r="Q111">
        <v>73.783312857743496</v>
      </c>
      <c r="R111">
        <v>0.10728071018341501</v>
      </c>
      <c r="S111">
        <v>11.9481221707837</v>
      </c>
      <c r="T111">
        <v>0.26373512405850502</v>
      </c>
      <c r="V111">
        <v>0.604638108654874</v>
      </c>
      <c r="W111">
        <v>3.5307575503386902E-2</v>
      </c>
      <c r="X111">
        <v>8.1479020392521501E-2</v>
      </c>
      <c r="AA111">
        <v>0.46208224959248401</v>
      </c>
      <c r="AB111">
        <v>3.5262877921090401</v>
      </c>
      <c r="AC111">
        <v>4.7254548718048799</v>
      </c>
      <c r="AD111">
        <v>5.4319346928253503E-3</v>
      </c>
      <c r="AE111">
        <v>4.4568675844807402</v>
      </c>
    </row>
    <row r="112" spans="1:31" x14ac:dyDescent="0.2">
      <c r="A112">
        <v>111</v>
      </c>
      <c r="B112">
        <v>764</v>
      </c>
      <c r="C112">
        <v>150</v>
      </c>
      <c r="D112">
        <v>0.44039965289495597</v>
      </c>
      <c r="E112">
        <v>44.2143681155788</v>
      </c>
      <c r="F112">
        <v>2.20829491714264</v>
      </c>
      <c r="G112">
        <v>-719.32973238576415</v>
      </c>
      <c r="H112">
        <v>-604.1917771612932</v>
      </c>
      <c r="I112">
        <v>111.013792821164</v>
      </c>
      <c r="J112">
        <v>58.919408483720197</v>
      </c>
      <c r="K112">
        <v>20.021948958152901</v>
      </c>
      <c r="L112">
        <v>1.3343435651209714E-4</v>
      </c>
      <c r="M112">
        <v>1.6939022444852747E-5</v>
      </c>
      <c r="N112" s="1">
        <v>1.1438464657446299E-6</v>
      </c>
      <c r="O112" s="1">
        <v>3.4749910123193803E-8</v>
      </c>
      <c r="P112" s="1">
        <v>-1.7606128577094801E-7</v>
      </c>
      <c r="Q112">
        <v>73.652656337710397</v>
      </c>
      <c r="R112">
        <v>0.133136678479675</v>
      </c>
      <c r="S112">
        <v>12.002927174111001</v>
      </c>
      <c r="T112">
        <v>0.27000580629577903</v>
      </c>
      <c r="V112">
        <v>0.62000464038400804</v>
      </c>
      <c r="W112">
        <v>5.8804413832229098E-2</v>
      </c>
      <c r="X112">
        <v>0.130108544724409</v>
      </c>
      <c r="AA112">
        <v>0.49575911300604603</v>
      </c>
      <c r="AB112">
        <v>3.42720920975884</v>
      </c>
      <c r="AC112">
        <v>4.7628578376698298</v>
      </c>
      <c r="AD112">
        <v>9.0468328972597902E-3</v>
      </c>
      <c r="AE112">
        <v>4.4374834111304802</v>
      </c>
    </row>
    <row r="113" spans="1:31" x14ac:dyDescent="0.2">
      <c r="A113">
        <v>112</v>
      </c>
      <c r="B113">
        <v>763</v>
      </c>
      <c r="C113">
        <v>150</v>
      </c>
      <c r="D113">
        <v>0.43979201853014099</v>
      </c>
      <c r="E113">
        <v>25.2564722463012</v>
      </c>
      <c r="F113">
        <v>2.2105569065771502</v>
      </c>
      <c r="G113">
        <v>-410.845187740732</v>
      </c>
      <c r="H113">
        <v>-345.22338541480485</v>
      </c>
      <c r="I113">
        <v>63.332338296508198</v>
      </c>
      <c r="J113">
        <v>33.6714194177408</v>
      </c>
      <c r="K113">
        <v>11.4253888561541</v>
      </c>
      <c r="L113">
        <v>1.3318051047014976E-4</v>
      </c>
      <c r="M113">
        <v>1.690953432761944E-5</v>
      </c>
      <c r="N113" s="1">
        <v>6.5170717535804403E-7</v>
      </c>
      <c r="O113" s="1">
        <v>1.9766492290330199E-8</v>
      </c>
      <c r="P113" s="1">
        <v>-1.00034422471902E-7</v>
      </c>
      <c r="Q113">
        <v>73.510102555156294</v>
      </c>
      <c r="R113">
        <v>0.15835841778919199</v>
      </c>
      <c r="S113">
        <v>12.117975961040599</v>
      </c>
      <c r="T113">
        <v>0.257498705089793</v>
      </c>
      <c r="V113">
        <v>0.592747342545764</v>
      </c>
      <c r="W113">
        <v>0.102943909768693</v>
      </c>
      <c r="X113">
        <v>0.18937735765187599</v>
      </c>
      <c r="AA113">
        <v>0.517211190361474</v>
      </c>
      <c r="AB113">
        <v>3.3189237809571299</v>
      </c>
      <c r="AC113">
        <v>4.7980418020159199</v>
      </c>
      <c r="AD113">
        <v>1.5837524579785101E-2</v>
      </c>
      <c r="AE113">
        <v>4.4209814530433702</v>
      </c>
    </row>
    <row r="114" spans="1:31" x14ac:dyDescent="0.2">
      <c r="A114">
        <v>113</v>
      </c>
      <c r="B114">
        <v>762</v>
      </c>
      <c r="C114">
        <v>150</v>
      </c>
      <c r="D114">
        <v>0.439183210162781</v>
      </c>
      <c r="E114">
        <v>14.583341886016999</v>
      </c>
      <c r="F114">
        <v>2.2129715336651299</v>
      </c>
      <c r="G114">
        <v>-237.16922929872197</v>
      </c>
      <c r="H114">
        <v>-199.36441145960953</v>
      </c>
      <c r="I114">
        <v>36.5211011342437</v>
      </c>
      <c r="J114">
        <v>19.447092564259702</v>
      </c>
      <c r="K114">
        <v>6.5899365012906701</v>
      </c>
      <c r="L114">
        <v>1.3301923932194896E-4</v>
      </c>
      <c r="M114">
        <v>1.6898797392558765E-5</v>
      </c>
      <c r="N114" s="1">
        <v>3.7574148963323098E-7</v>
      </c>
      <c r="O114" s="1">
        <v>1.1377040055237499E-8</v>
      </c>
      <c r="P114" s="1">
        <v>-5.7460758406424397E-8</v>
      </c>
      <c r="Q114">
        <v>73.299471715719704</v>
      </c>
      <c r="R114">
        <v>0.18854080049809799</v>
      </c>
      <c r="S114">
        <v>12.3345885166852</v>
      </c>
      <c r="T114">
        <v>0.24525684127754099</v>
      </c>
      <c r="V114">
        <v>0.56740267508744502</v>
      </c>
      <c r="W114">
        <v>0.178285609726508</v>
      </c>
      <c r="X114">
        <v>0.19511442745216701</v>
      </c>
      <c r="AA114">
        <v>0.52716741402060796</v>
      </c>
      <c r="AB114">
        <v>3.1906749776059899</v>
      </c>
      <c r="AC114">
        <v>4.8366838302661401</v>
      </c>
      <c r="AD114">
        <v>2.74285553425185E-2</v>
      </c>
      <c r="AE114">
        <v>4.4093846363179603</v>
      </c>
    </row>
    <row r="115" spans="1:31" x14ac:dyDescent="0.2">
      <c r="A115">
        <v>114</v>
      </c>
      <c r="B115">
        <v>761</v>
      </c>
      <c r="C115">
        <v>150</v>
      </c>
      <c r="D115">
        <v>0.43857322438717999</v>
      </c>
      <c r="E115">
        <v>10.0186308408695</v>
      </c>
      <c r="F115">
        <v>2.2151721352939302</v>
      </c>
      <c r="G115">
        <v>-162.88755588529139</v>
      </c>
      <c r="H115">
        <v>-136.96847343845786</v>
      </c>
      <c r="I115">
        <v>25.063175019903699</v>
      </c>
      <c r="J115">
        <v>13.364659373034099</v>
      </c>
      <c r="K115">
        <v>4.5227324239252296</v>
      </c>
      <c r="L115">
        <v>1.33004414125201E-4</v>
      </c>
      <c r="M115">
        <v>1.6904232944958718E-5</v>
      </c>
      <c r="N115" s="1">
        <v>2.5825097142098602E-7</v>
      </c>
      <c r="O115" s="1">
        <v>7.8050270403957504E-9</v>
      </c>
      <c r="P115" s="1">
        <v>-3.9345926290925797E-8</v>
      </c>
      <c r="Q115">
        <v>73.076404134370605</v>
      </c>
      <c r="R115">
        <v>0.19528770557338501</v>
      </c>
      <c r="S115">
        <v>12.5655819726564</v>
      </c>
      <c r="T115">
        <v>0.24007754741706699</v>
      </c>
      <c r="V115">
        <v>0.55861101972522798</v>
      </c>
      <c r="W115">
        <v>0.25798958796589899</v>
      </c>
      <c r="X115">
        <v>0.19611786097332401</v>
      </c>
      <c r="AA115">
        <v>0.52924106738490595</v>
      </c>
      <c r="AB115">
        <v>3.0772449260124901</v>
      </c>
      <c r="AC115">
        <v>4.8570868222598298</v>
      </c>
      <c r="AD115">
        <v>3.9925615221542698E-2</v>
      </c>
      <c r="AE115">
        <v>4.4064317404392099</v>
      </c>
    </row>
    <row r="116" spans="1:31" x14ac:dyDescent="0.2">
      <c r="A116">
        <v>115</v>
      </c>
      <c r="B116">
        <v>788</v>
      </c>
      <c r="C116">
        <v>125</v>
      </c>
      <c r="D116">
        <v>0.48055458700466802</v>
      </c>
      <c r="E116">
        <v>103.148050862966</v>
      </c>
      <c r="F116">
        <v>2.1982903251250598</v>
      </c>
      <c r="G116">
        <v>-1689.1413263769164</v>
      </c>
      <c r="H116">
        <v>-1412.5906545757264</v>
      </c>
      <c r="I116">
        <v>260.61411845751201</v>
      </c>
      <c r="J116">
        <v>137.52207376511799</v>
      </c>
      <c r="K116">
        <v>46.921941876397803</v>
      </c>
      <c r="L116">
        <v>1.2907355658347977E-4</v>
      </c>
      <c r="M116">
        <v>1.6916308129051844E-5</v>
      </c>
      <c r="N116" s="1">
        <v>2.4401662012451898E-6</v>
      </c>
      <c r="O116" s="1">
        <v>7.8734471751196103E-8</v>
      </c>
      <c r="P116" s="1">
        <v>-3.8876816564456801E-7</v>
      </c>
      <c r="Q116">
        <v>74.281578138412897</v>
      </c>
      <c r="R116">
        <v>7.6588941176361197E-2</v>
      </c>
      <c r="S116">
        <v>12.0991137453295</v>
      </c>
      <c r="T116">
        <v>0.18480826842627901</v>
      </c>
      <c r="V116">
        <v>0.43478525126024797</v>
      </c>
      <c r="W116">
        <v>2.5206486969435098E-2</v>
      </c>
      <c r="X116">
        <v>5.8168816083313098E-2</v>
      </c>
      <c r="AA116">
        <v>0.51382454206925798</v>
      </c>
      <c r="AB116">
        <v>3.8585314668596902</v>
      </c>
      <c r="AC116">
        <v>4.3238819955261603</v>
      </c>
      <c r="AD116">
        <v>3.8779210722207202E-3</v>
      </c>
      <c r="AE116">
        <v>4.1396344268145704</v>
      </c>
    </row>
    <row r="117" spans="1:31" x14ac:dyDescent="0.2">
      <c r="A117">
        <v>116</v>
      </c>
      <c r="B117">
        <v>787</v>
      </c>
      <c r="C117">
        <v>125</v>
      </c>
      <c r="D117">
        <v>0.479998585105882</v>
      </c>
      <c r="E117">
        <v>102.890598215194</v>
      </c>
      <c r="F117">
        <v>2.1985543457435299</v>
      </c>
      <c r="G117">
        <v>-1684.5996565934608</v>
      </c>
      <c r="H117">
        <v>-1409.1824453829722</v>
      </c>
      <c r="I117">
        <v>259.790794897409</v>
      </c>
      <c r="J117">
        <v>137.14398061204199</v>
      </c>
      <c r="K117">
        <v>46.7992062213034</v>
      </c>
      <c r="L117">
        <v>1.2894396521677404E-4</v>
      </c>
      <c r="M117">
        <v>1.6905651412118323E-5</v>
      </c>
      <c r="N117" s="1">
        <v>2.4352018609430001E-6</v>
      </c>
      <c r="O117" s="1">
        <v>7.8434506306931794E-8</v>
      </c>
      <c r="P117" s="1">
        <v>-3.8733012063565198E-7</v>
      </c>
      <c r="Q117">
        <v>74.311994267088096</v>
      </c>
      <c r="R117">
        <v>7.6780581870826203E-2</v>
      </c>
      <c r="S117">
        <v>12.079248928672801</v>
      </c>
      <c r="T117">
        <v>0.18549522399337101</v>
      </c>
      <c r="V117">
        <v>0.435671136653355</v>
      </c>
      <c r="W117">
        <v>2.5269558590397999E-2</v>
      </c>
      <c r="X117">
        <v>5.8314365977844299E-2</v>
      </c>
      <c r="AA117">
        <v>0.51001726969747496</v>
      </c>
      <c r="AB117">
        <v>3.8461609672117101</v>
      </c>
      <c r="AC117">
        <v>4.3304090370106003</v>
      </c>
      <c r="AD117">
        <v>3.88762439852262E-3</v>
      </c>
      <c r="AE117">
        <v>4.1367510388349302</v>
      </c>
    </row>
    <row r="118" spans="1:31" x14ac:dyDescent="0.2">
      <c r="A118">
        <v>117</v>
      </c>
      <c r="B118">
        <v>786</v>
      </c>
      <c r="C118">
        <v>125</v>
      </c>
      <c r="D118">
        <v>0.47944153330501299</v>
      </c>
      <c r="E118">
        <v>102.47953521080601</v>
      </c>
      <c r="F118">
        <v>2.1988158413922898</v>
      </c>
      <c r="G118">
        <v>-1677.5053191551713</v>
      </c>
      <c r="H118">
        <v>-1403.6588466473791</v>
      </c>
      <c r="I118">
        <v>258.55305906414799</v>
      </c>
      <c r="J118">
        <v>136.54753716956299</v>
      </c>
      <c r="K118">
        <v>46.606693148943201</v>
      </c>
      <c r="L118">
        <v>1.2875310133954394E-4</v>
      </c>
      <c r="M118">
        <v>1.6891876645589581E-5</v>
      </c>
      <c r="N118" s="1">
        <v>2.4254487274183902E-6</v>
      </c>
      <c r="O118" s="1">
        <v>7.7984960425954003E-8</v>
      </c>
      <c r="P118" s="1">
        <v>-3.8505607011424798E-7</v>
      </c>
      <c r="Q118">
        <v>74.360779006421396</v>
      </c>
      <c r="R118">
        <v>7.7088561962633098E-2</v>
      </c>
      <c r="S118">
        <v>12.047568238861301</v>
      </c>
      <c r="T118">
        <v>0.186439361336422</v>
      </c>
      <c r="V118">
        <v>0.437238650424075</v>
      </c>
      <c r="W118">
        <v>2.53709191269419E-2</v>
      </c>
      <c r="X118">
        <v>5.8548274908331199E-2</v>
      </c>
      <c r="AA118">
        <v>0.50412200831174503</v>
      </c>
      <c r="AB118">
        <v>3.82629905946269</v>
      </c>
      <c r="AC118">
        <v>4.3407204035940898</v>
      </c>
      <c r="AD118">
        <v>3.90321832722161E-3</v>
      </c>
      <c r="AE118">
        <v>4.13192229726305</v>
      </c>
    </row>
    <row r="119" spans="1:31" x14ac:dyDescent="0.2">
      <c r="A119">
        <v>118</v>
      </c>
      <c r="B119">
        <v>785</v>
      </c>
      <c r="C119">
        <v>125</v>
      </c>
      <c r="D119">
        <v>0.47888342862543298</v>
      </c>
      <c r="E119">
        <v>102.068191593592</v>
      </c>
      <c r="F119">
        <v>2.1990787216312602</v>
      </c>
      <c r="G119">
        <v>-1670.4099507595079</v>
      </c>
      <c r="H119">
        <v>-1398.1312965129057</v>
      </c>
      <c r="I119">
        <v>257.31574374767501</v>
      </c>
      <c r="J119">
        <v>135.951033588396</v>
      </c>
      <c r="K119">
        <v>46.414069032453298</v>
      </c>
      <c r="L119">
        <v>1.2856129545625505E-4</v>
      </c>
      <c r="M119">
        <v>1.6878097272336572E-5</v>
      </c>
      <c r="N119" s="1">
        <v>2.4156691328771402E-6</v>
      </c>
      <c r="O119" s="1">
        <v>7.7535996360954897E-8</v>
      </c>
      <c r="P119" s="1">
        <v>-3.8278130652637498E-7</v>
      </c>
      <c r="Q119">
        <v>74.409699447145798</v>
      </c>
      <c r="R119">
        <v>7.7399235517522494E-2</v>
      </c>
      <c r="S119">
        <v>12.015845065667</v>
      </c>
      <c r="T119">
        <v>0.18739164895419999</v>
      </c>
      <c r="V119">
        <v>0.43881996905885801</v>
      </c>
      <c r="W119">
        <v>2.5473166119689999E-2</v>
      </c>
      <c r="X119">
        <v>5.8784229506982297E-2</v>
      </c>
      <c r="AA119">
        <v>0.49843661144222301</v>
      </c>
      <c r="AB119">
        <v>3.8062669835821099</v>
      </c>
      <c r="AC119">
        <v>4.3508941666220302</v>
      </c>
      <c r="AD119">
        <v>3.91894863379818E-3</v>
      </c>
      <c r="AE119">
        <v>4.1270705277495701</v>
      </c>
    </row>
    <row r="120" spans="1:31" x14ac:dyDescent="0.2">
      <c r="A120">
        <v>119</v>
      </c>
      <c r="B120">
        <v>784</v>
      </c>
      <c r="C120">
        <v>125</v>
      </c>
      <c r="D120">
        <v>0.47832426807926898</v>
      </c>
      <c r="E120">
        <v>101.65671488898199</v>
      </c>
      <c r="F120">
        <v>2.1993428613915902</v>
      </c>
      <c r="G120">
        <v>-1663.3160251723036</v>
      </c>
      <c r="H120">
        <v>-1392.6018296564653</v>
      </c>
      <c r="I120">
        <v>256.07926549291801</v>
      </c>
      <c r="J120">
        <v>135.35467648408999</v>
      </c>
      <c r="K120">
        <v>46.2214039809421</v>
      </c>
      <c r="L120">
        <v>1.2836861302491259E-4</v>
      </c>
      <c r="M120">
        <v>1.6864319001712849E-5</v>
      </c>
      <c r="N120" s="1">
        <v>2.4058684560965199E-6</v>
      </c>
      <c r="O120" s="1">
        <v>7.7087781126017004E-8</v>
      </c>
      <c r="P120" s="1">
        <v>-3.8050675746613001E-7</v>
      </c>
      <c r="Q120">
        <v>74.458751128298701</v>
      </c>
      <c r="R120">
        <v>7.7712525027270399E-2</v>
      </c>
      <c r="S120">
        <v>11.9840824069436</v>
      </c>
      <c r="T120">
        <v>0.18835194486065099</v>
      </c>
      <c r="V120">
        <v>0.44041461202597398</v>
      </c>
      <c r="W120">
        <v>2.5576274059606899E-2</v>
      </c>
      <c r="X120">
        <v>5.9022170906791398E-2</v>
      </c>
      <c r="AA120">
        <v>0.492956634330868</v>
      </c>
      <c r="AB120">
        <v>3.7860773695745098</v>
      </c>
      <c r="AC120">
        <v>4.3609214939405803</v>
      </c>
      <c r="AD120">
        <v>3.9348113937853497E-3</v>
      </c>
      <c r="AE120">
        <v>4.1221986286375802</v>
      </c>
    </row>
    <row r="121" spans="1:31" x14ac:dyDescent="0.2">
      <c r="A121">
        <v>120</v>
      </c>
      <c r="B121">
        <v>783</v>
      </c>
      <c r="C121">
        <v>125</v>
      </c>
      <c r="D121">
        <v>0.47776404866733202</v>
      </c>
      <c r="E121">
        <v>101.245248870384</v>
      </c>
      <c r="F121">
        <v>2.1996081360901099</v>
      </c>
      <c r="G121">
        <v>-1656.2259508306231</v>
      </c>
      <c r="H121">
        <v>-1387.0724291274003</v>
      </c>
      <c r="I121">
        <v>254.84402944962599</v>
      </c>
      <c r="J121">
        <v>134.758666955124</v>
      </c>
      <c r="K121">
        <v>46.028766310326098</v>
      </c>
      <c r="L121">
        <v>1.2817511914605908E-4</v>
      </c>
      <c r="M121">
        <v>1.6850547488702692E-5</v>
      </c>
      <c r="N121" s="1">
        <v>2.3960519574219701E-6</v>
      </c>
      <c r="O121" s="1">
        <v>7.6640476845601696E-8</v>
      </c>
      <c r="P121" s="1">
        <v>-3.7823332627791798E-7</v>
      </c>
      <c r="Q121">
        <v>74.507929636155296</v>
      </c>
      <c r="R121">
        <v>7.80283528179566E-2</v>
      </c>
      <c r="S121">
        <v>11.9522832152582</v>
      </c>
      <c r="T121">
        <v>0.189320106550592</v>
      </c>
      <c r="V121">
        <v>0.442022097960309</v>
      </c>
      <c r="W121">
        <v>2.5680217383123601E-2</v>
      </c>
      <c r="X121">
        <v>5.92620401149083E-2</v>
      </c>
      <c r="AA121">
        <v>0.48767756682903202</v>
      </c>
      <c r="AB121">
        <v>3.76574281833873</v>
      </c>
      <c r="AC121">
        <v>4.3707936659119104</v>
      </c>
      <c r="AD121">
        <v>3.9508026743262804E-3</v>
      </c>
      <c r="AE121">
        <v>4.1173094800055203</v>
      </c>
    </row>
    <row r="122" spans="1:31" x14ac:dyDescent="0.2">
      <c r="A122">
        <v>121</v>
      </c>
      <c r="B122">
        <v>782</v>
      </c>
      <c r="C122">
        <v>125</v>
      </c>
      <c r="D122">
        <v>0.47720276737904699</v>
      </c>
      <c r="E122">
        <v>100.833933080458</v>
      </c>
      <c r="F122">
        <v>2.1998744219526101</v>
      </c>
      <c r="G122">
        <v>-1649.142062980216</v>
      </c>
      <c r="H122">
        <v>-1381.5450197768459</v>
      </c>
      <c r="I122">
        <v>253.610428093986</v>
      </c>
      <c r="J122">
        <v>134.16319992676301</v>
      </c>
      <c r="K122">
        <v>45.836222319889401</v>
      </c>
      <c r="L122">
        <v>1.2798087834933478E-4</v>
      </c>
      <c r="M122">
        <v>1.6836788320588491E-5</v>
      </c>
      <c r="N122" s="1">
        <v>2.3862247625998598E-6</v>
      </c>
      <c r="O122" s="1">
        <v>7.6194240289657605E-8</v>
      </c>
      <c r="P122" s="1">
        <v>-3.75961889329752E-7</v>
      </c>
      <c r="Q122">
        <v>74.557230634111207</v>
      </c>
      <c r="R122">
        <v>7.8346641439608594E-2</v>
      </c>
      <c r="S122">
        <v>11.9204503804885</v>
      </c>
      <c r="T122">
        <v>0.19029599183696899</v>
      </c>
      <c r="V122">
        <v>0.44364194696813197</v>
      </c>
      <c r="W122">
        <v>2.5784970600375899E-2</v>
      </c>
      <c r="X122">
        <v>5.9503778308569101E-2</v>
      </c>
      <c r="AA122">
        <v>0.48259485206379199</v>
      </c>
      <c r="AB122">
        <v>3.7452758615321899</v>
      </c>
      <c r="AC122">
        <v>4.3805020883383499</v>
      </c>
      <c r="AD122">
        <v>3.9669185539034603E-3</v>
      </c>
      <c r="AE122">
        <v>4.1124059357583</v>
      </c>
    </row>
    <row r="123" spans="1:31" x14ac:dyDescent="0.2">
      <c r="A123">
        <v>122</v>
      </c>
      <c r="B123">
        <v>781</v>
      </c>
      <c r="C123">
        <v>125</v>
      </c>
      <c r="D123">
        <v>0.476640421192431</v>
      </c>
      <c r="E123">
        <v>100.42290242057901</v>
      </c>
      <c r="F123">
        <v>2.2001415963073301</v>
      </c>
      <c r="G123">
        <v>-1642.0666169592889</v>
      </c>
      <c r="H123">
        <v>-1376.0214626234597</v>
      </c>
      <c r="I123">
        <v>252.37884014213199</v>
      </c>
      <c r="J123">
        <v>133.568463591349</v>
      </c>
      <c r="K123">
        <v>45.643836100879497</v>
      </c>
      <c r="L123">
        <v>1.2778595440215661E-4</v>
      </c>
      <c r="M123">
        <v>1.6823047005260732E-5</v>
      </c>
      <c r="N123" s="1">
        <v>2.3763918488727399E-6</v>
      </c>
      <c r="O123" s="1">
        <v>7.5749222484193795E-8</v>
      </c>
      <c r="P123" s="1">
        <v>-3.7369329369949398E-7</v>
      </c>
      <c r="Q123">
        <v>74.6066498893898</v>
      </c>
      <c r="R123">
        <v>7.8667314024786203E-2</v>
      </c>
      <c r="S123">
        <v>11.888586714382299</v>
      </c>
      <c r="T123">
        <v>0.191279459622967</v>
      </c>
      <c r="V123">
        <v>0.44527368274649198</v>
      </c>
      <c r="W123">
        <v>2.5890508413219E-2</v>
      </c>
      <c r="X123">
        <v>5.9747327107438901E-2</v>
      </c>
      <c r="AA123">
        <v>0.477703904293519</v>
      </c>
      <c r="AB123">
        <v>3.7246889248313302</v>
      </c>
      <c r="AC123">
        <v>4.3900383034502397</v>
      </c>
      <c r="AD123">
        <v>3.9831551404946501E-3</v>
      </c>
      <c r="AE123">
        <v>4.1074908165972701</v>
      </c>
    </row>
    <row r="124" spans="1:31" x14ac:dyDescent="0.2">
      <c r="A124">
        <v>123</v>
      </c>
      <c r="B124">
        <v>780</v>
      </c>
      <c r="C124">
        <v>125</v>
      </c>
      <c r="D124">
        <v>0.47607700707401701</v>
      </c>
      <c r="E124">
        <v>99.097852392312006</v>
      </c>
      <c r="F124">
        <v>2.20071782833887</v>
      </c>
      <c r="G124">
        <v>-1619.8199270280843</v>
      </c>
      <c r="H124">
        <v>-1357.7663843632513</v>
      </c>
      <c r="I124">
        <v>248.82831758518</v>
      </c>
      <c r="J124">
        <v>131.76220464651701</v>
      </c>
      <c r="K124">
        <v>45.029785789081302</v>
      </c>
      <c r="L124">
        <v>1.2759775290198413E-4</v>
      </c>
      <c r="M124">
        <v>1.6800193684277199E-5</v>
      </c>
      <c r="N124" s="1">
        <v>2.3429082054299298E-6</v>
      </c>
      <c r="O124" s="1">
        <v>7.4560201958902999E-8</v>
      </c>
      <c r="P124" s="1">
        <v>-3.6807861883639698E-7</v>
      </c>
      <c r="Q124">
        <v>74.612688487518696</v>
      </c>
      <c r="R124">
        <v>7.9719184717802496E-2</v>
      </c>
      <c r="S124">
        <v>11.8752272136293</v>
      </c>
      <c r="T124">
        <v>0.194109797632917</v>
      </c>
      <c r="V124">
        <v>0.450982101156233</v>
      </c>
      <c r="W124">
        <v>2.6236693704590801E-2</v>
      </c>
      <c r="X124">
        <v>6.0546216241377397E-2</v>
      </c>
      <c r="AA124">
        <v>0.46998399799542501</v>
      </c>
      <c r="AB124">
        <v>3.6981225402912701</v>
      </c>
      <c r="AC124">
        <v>4.4293003181838797</v>
      </c>
      <c r="AD124">
        <v>4.0364144160901696E-3</v>
      </c>
      <c r="AE124">
        <v>4.0990470345122096</v>
      </c>
    </row>
    <row r="125" spans="1:31" x14ac:dyDescent="0.2">
      <c r="A125">
        <v>124</v>
      </c>
      <c r="B125">
        <v>779</v>
      </c>
      <c r="C125">
        <v>125</v>
      </c>
      <c r="D125">
        <v>0.475512521978807</v>
      </c>
      <c r="E125">
        <v>96.870374619388897</v>
      </c>
      <c r="F125">
        <v>2.2016077794915101</v>
      </c>
      <c r="G125">
        <v>-1582.6192223606774</v>
      </c>
      <c r="H125">
        <v>-1326.9544971466753</v>
      </c>
      <c r="I125">
        <v>242.99265809438</v>
      </c>
      <c r="J125">
        <v>128.760004146223</v>
      </c>
      <c r="K125">
        <v>43.999832995576597</v>
      </c>
      <c r="L125">
        <v>1.2740973003145641E-4</v>
      </c>
      <c r="M125">
        <v>1.6768299133938576E-5</v>
      </c>
      <c r="N125" s="1">
        <v>2.2861439822822099E-6</v>
      </c>
      <c r="O125" s="1">
        <v>7.2642312262913802E-8</v>
      </c>
      <c r="P125" s="1">
        <v>-3.59142253412688E-7</v>
      </c>
      <c r="Q125">
        <v>74.578064038708305</v>
      </c>
      <c r="R125">
        <v>8.1552280880919203E-2</v>
      </c>
      <c r="S125">
        <v>11.8787974173117</v>
      </c>
      <c r="T125">
        <v>0.19890881193313101</v>
      </c>
      <c r="V125">
        <v>0.46105021956293302</v>
      </c>
      <c r="W125">
        <v>2.6839991175996E-2</v>
      </c>
      <c r="X125">
        <v>6.1938441175390997E-2</v>
      </c>
      <c r="AA125">
        <v>0.46040045218758202</v>
      </c>
      <c r="AB125">
        <v>3.66441441314926</v>
      </c>
      <c r="AC125">
        <v>4.4968956563123896</v>
      </c>
      <c r="AD125">
        <v>4.1292294116909304E-3</v>
      </c>
      <c r="AE125">
        <v>4.0870090481906098</v>
      </c>
    </row>
    <row r="126" spans="1:31" x14ac:dyDescent="0.2">
      <c r="A126">
        <v>125</v>
      </c>
      <c r="B126">
        <v>778</v>
      </c>
      <c r="C126">
        <v>125</v>
      </c>
      <c r="D126">
        <v>0.47494696285021398</v>
      </c>
      <c r="E126">
        <v>94.521924213497002</v>
      </c>
      <c r="F126">
        <v>2.2025465158569499</v>
      </c>
      <c r="G126">
        <v>-1543.4545667994228</v>
      </c>
      <c r="H126">
        <v>-1294.4807243011514</v>
      </c>
      <c r="I126">
        <v>236.85852875257601</v>
      </c>
      <c r="J126">
        <v>125.598075559794</v>
      </c>
      <c r="K126">
        <v>42.914836773252503</v>
      </c>
      <c r="L126">
        <v>1.2721302779500411E-4</v>
      </c>
      <c r="M126">
        <v>1.6735431660171713E-5</v>
      </c>
      <c r="N126" s="1">
        <v>2.22641460244987E-6</v>
      </c>
      <c r="O126" s="1">
        <v>7.0637007599619095E-8</v>
      </c>
      <c r="P126" s="1">
        <v>-3.4974049957992599E-7</v>
      </c>
      <c r="Q126">
        <v>74.541884345449503</v>
      </c>
      <c r="R126">
        <v>8.3578493198643203E-2</v>
      </c>
      <c r="S126">
        <v>11.882346910183101</v>
      </c>
      <c r="T126">
        <v>0.20418709661835699</v>
      </c>
      <c r="V126">
        <v>0.47220268033679402</v>
      </c>
      <c r="W126">
        <v>2.7506845862840398E-2</v>
      </c>
      <c r="X126">
        <v>6.3477336606579199E-2</v>
      </c>
      <c r="AA126">
        <v>0.45205597251510599</v>
      </c>
      <c r="AB126">
        <v>3.6281883806223698</v>
      </c>
      <c r="AC126">
        <v>4.5658976657835399</v>
      </c>
      <c r="AD126">
        <v>4.2318224404356303E-3</v>
      </c>
      <c r="AE126">
        <v>4.0744424503825902</v>
      </c>
    </row>
    <row r="127" spans="1:31" x14ac:dyDescent="0.2">
      <c r="A127">
        <v>126</v>
      </c>
      <c r="B127">
        <v>777</v>
      </c>
      <c r="C127">
        <v>125</v>
      </c>
      <c r="D127">
        <v>0.47438032662001101</v>
      </c>
      <c r="E127">
        <v>91.986883593600197</v>
      </c>
      <c r="F127">
        <v>2.2035475812640701</v>
      </c>
      <c r="G127">
        <v>-1501.2528005486031</v>
      </c>
      <c r="H127">
        <v>-1259.4427974817027</v>
      </c>
      <c r="I127">
        <v>230.26234639518199</v>
      </c>
      <c r="J127">
        <v>122.18946923440799</v>
      </c>
      <c r="K127">
        <v>41.744904614599498</v>
      </c>
      <c r="L127">
        <v>1.2700723732745679E-4</v>
      </c>
      <c r="M127">
        <v>1.6701505618293634E-5</v>
      </c>
      <c r="N127" s="1">
        <v>2.16218458492585E-6</v>
      </c>
      <c r="O127" s="1">
        <v>6.8496058175229099E-8</v>
      </c>
      <c r="P127" s="1">
        <v>-3.3963097157879498E-7</v>
      </c>
      <c r="Q127">
        <v>74.503531069757997</v>
      </c>
      <c r="R127">
        <v>8.5881809355590796E-2</v>
      </c>
      <c r="S127">
        <v>11.885835991231801</v>
      </c>
      <c r="T127">
        <v>0.21014851344719401</v>
      </c>
      <c r="V127">
        <v>0.48491519027716701</v>
      </c>
      <c r="W127">
        <v>2.82648992815819E-2</v>
      </c>
      <c r="X127">
        <v>6.5226690649833496E-2</v>
      </c>
      <c r="AA127">
        <v>0.44521288410807902</v>
      </c>
      <c r="AB127">
        <v>3.58903722945545</v>
      </c>
      <c r="AC127">
        <v>4.6363088516792699</v>
      </c>
      <c r="AD127">
        <v>4.3484460433186097E-3</v>
      </c>
      <c r="AE127">
        <v>4.0612884247125196</v>
      </c>
    </row>
    <row r="128" spans="1:31" x14ac:dyDescent="0.2">
      <c r="A128">
        <v>127</v>
      </c>
      <c r="B128">
        <v>776</v>
      </c>
      <c r="C128">
        <v>125</v>
      </c>
      <c r="D128">
        <v>0.47381261020826598</v>
      </c>
      <c r="E128">
        <v>89.132881715042302</v>
      </c>
      <c r="F128">
        <v>2.2046375798161502</v>
      </c>
      <c r="G128">
        <v>-1453.8490361359045</v>
      </c>
      <c r="H128">
        <v>-1220.0207560714182</v>
      </c>
      <c r="I128">
        <v>222.87402188865801</v>
      </c>
      <c r="J128">
        <v>118.358798855784</v>
      </c>
      <c r="K128">
        <v>40.429720753682901</v>
      </c>
      <c r="L128">
        <v>1.2679205512946653E-4</v>
      </c>
      <c r="M128">
        <v>1.666640806421933E-5</v>
      </c>
      <c r="N128" s="1">
        <v>2.0903567311321098E-6</v>
      </c>
      <c r="O128" s="1">
        <v>6.6122119600600195E-8</v>
      </c>
      <c r="P128" s="1">
        <v>-3.2832417800743899E-7</v>
      </c>
      <c r="Q128">
        <v>74.461742933624393</v>
      </c>
      <c r="R128">
        <v>8.8631713100636195E-2</v>
      </c>
      <c r="S128">
        <v>11.889206973675099</v>
      </c>
      <c r="T128">
        <v>0.21720349053401899</v>
      </c>
      <c r="V128">
        <v>0.50014856727114798</v>
      </c>
      <c r="W128">
        <v>2.9169930893874301E-2</v>
      </c>
      <c r="X128">
        <v>6.73152251397445E-2</v>
      </c>
      <c r="AA128">
        <v>0.440424663443026</v>
      </c>
      <c r="AB128">
        <v>3.5462203093361202</v>
      </c>
      <c r="AC128">
        <v>4.7079912319126098</v>
      </c>
      <c r="AD128">
        <v>4.4876816759785096E-3</v>
      </c>
      <c r="AE128">
        <v>4.0474572793932104</v>
      </c>
    </row>
    <row r="129" spans="1:31" x14ac:dyDescent="0.2">
      <c r="A129">
        <v>128</v>
      </c>
      <c r="B129">
        <v>775</v>
      </c>
      <c r="C129">
        <v>125</v>
      </c>
      <c r="D129">
        <v>0.473243810523307</v>
      </c>
      <c r="E129">
        <v>85.6239224260611</v>
      </c>
      <c r="F129">
        <v>2.2058817120602101</v>
      </c>
      <c r="G129">
        <v>-1395.7490163078667</v>
      </c>
      <c r="H129">
        <v>-1171.5959012591602</v>
      </c>
      <c r="I129">
        <v>213.855951007686</v>
      </c>
      <c r="J129">
        <v>113.661031015887</v>
      </c>
      <c r="K129">
        <v>38.816189443853403</v>
      </c>
      <c r="L129">
        <v>1.2656873613511415E-4</v>
      </c>
      <c r="M129">
        <v>1.6630071730183538E-5</v>
      </c>
      <c r="N129" s="1">
        <v>2.00309503317951E-6</v>
      </c>
      <c r="O129" s="1">
        <v>6.3268657446836993E-8</v>
      </c>
      <c r="P129" s="1">
        <v>-3.1458016130250501E-7</v>
      </c>
      <c r="Q129">
        <v>74.413228798764806</v>
      </c>
      <c r="R129">
        <v>9.2263934846275195E-2</v>
      </c>
      <c r="S129">
        <v>11.892384494706899</v>
      </c>
      <c r="T129">
        <v>0.22640491055144901</v>
      </c>
      <c r="V129">
        <v>0.52037507229812496</v>
      </c>
      <c r="W129">
        <v>3.0365345645602899E-2</v>
      </c>
      <c r="X129">
        <v>7.0073874566814104E-2</v>
      </c>
      <c r="AA129">
        <v>0.43914307415153703</v>
      </c>
      <c r="AB129">
        <v>3.49818204731808</v>
      </c>
      <c r="AC129">
        <v>4.7800792309539002</v>
      </c>
      <c r="AD129">
        <v>4.67159163778253E-3</v>
      </c>
      <c r="AE129">
        <v>4.0328276245585899</v>
      </c>
    </row>
    <row r="130" spans="1:31" x14ac:dyDescent="0.2">
      <c r="A130">
        <v>129</v>
      </c>
      <c r="B130">
        <v>774</v>
      </c>
      <c r="C130">
        <v>125</v>
      </c>
      <c r="D130">
        <v>0.47267392446163797</v>
      </c>
      <c r="E130">
        <v>75.714650871627001</v>
      </c>
      <c r="F130">
        <v>2.20808410106488</v>
      </c>
      <c r="G130">
        <v>-1233.0369436995761</v>
      </c>
      <c r="H130">
        <v>-1035.212593882299</v>
      </c>
      <c r="I130">
        <v>188.916917172589</v>
      </c>
      <c r="J130">
        <v>100.49135085611699</v>
      </c>
      <c r="K130">
        <v>34.289749577523999</v>
      </c>
      <c r="L130">
        <v>1.2649194501334081E-4</v>
      </c>
      <c r="M130">
        <v>1.6604384362255804E-5</v>
      </c>
      <c r="N130" s="1">
        <v>1.7685069047698199E-6</v>
      </c>
      <c r="O130" s="1">
        <v>5.5769780512594798E-8</v>
      </c>
      <c r="P130" s="1">
        <v>-2.77533005605738E-7</v>
      </c>
      <c r="Q130">
        <v>74.304515177816597</v>
      </c>
      <c r="R130">
        <v>0.104339119431397</v>
      </c>
      <c r="S130">
        <v>11.8919842028149</v>
      </c>
      <c r="T130">
        <v>0.25598954854648598</v>
      </c>
      <c r="V130">
        <v>0.58852176068612905</v>
      </c>
      <c r="W130">
        <v>3.4339457028040102E-2</v>
      </c>
      <c r="X130">
        <v>7.92449008340253E-2</v>
      </c>
      <c r="AA130">
        <v>0.452906140182606</v>
      </c>
      <c r="AB130">
        <v>3.4478356231317902</v>
      </c>
      <c r="AC130">
        <v>4.8131154325185399</v>
      </c>
      <c r="AD130">
        <v>5.2829933889238703E-3</v>
      </c>
      <c r="AE130">
        <v>4.0219256436204702</v>
      </c>
    </row>
    <row r="131" spans="1:31" x14ac:dyDescent="0.2">
      <c r="A131">
        <v>130</v>
      </c>
      <c r="B131">
        <v>773</v>
      </c>
      <c r="C131">
        <v>125</v>
      </c>
      <c r="D131">
        <v>0.472102948907902</v>
      </c>
      <c r="E131">
        <v>64.4323946067761</v>
      </c>
      <c r="F131">
        <v>2.2108652626827299</v>
      </c>
      <c r="G131">
        <v>-1048.0585276352242</v>
      </c>
      <c r="H131">
        <v>-880.00717479562672</v>
      </c>
      <c r="I131">
        <v>160.637913147825</v>
      </c>
      <c r="J131">
        <v>85.517051551992495</v>
      </c>
      <c r="K131">
        <v>29.143519369693198</v>
      </c>
      <c r="L131">
        <v>1.2656612134602423E-4</v>
      </c>
      <c r="M131">
        <v>1.6590446281752115E-5</v>
      </c>
      <c r="N131" s="1">
        <v>1.5044134199217999E-6</v>
      </c>
      <c r="O131" s="1">
        <v>4.7359340343040102E-8</v>
      </c>
      <c r="P131" s="1">
        <v>-2.35821439975526E-7</v>
      </c>
      <c r="Q131">
        <v>74.154170594227494</v>
      </c>
      <c r="R131">
        <v>0.12260913238153399</v>
      </c>
      <c r="S131">
        <v>11.886932933816601</v>
      </c>
      <c r="T131">
        <v>0.30045630573938398</v>
      </c>
      <c r="V131">
        <v>0.69189499468020399</v>
      </c>
      <c r="W131">
        <v>4.03523726825099E-2</v>
      </c>
      <c r="X131">
        <v>9.3120860036680395E-2</v>
      </c>
      <c r="AA131">
        <v>0.47016095242717598</v>
      </c>
      <c r="AB131">
        <v>3.4070086053639699</v>
      </c>
      <c r="AC131">
        <v>4.8112611850010998</v>
      </c>
      <c r="AD131">
        <v>6.2080573357631902E-3</v>
      </c>
      <c r="AE131">
        <v>4.0158240063074402</v>
      </c>
    </row>
    <row r="132" spans="1:31" x14ac:dyDescent="0.2">
      <c r="A132">
        <v>131</v>
      </c>
      <c r="B132">
        <v>772</v>
      </c>
      <c r="C132">
        <v>125</v>
      </c>
      <c r="D132">
        <v>0.47153088073482102</v>
      </c>
      <c r="E132">
        <v>33.8009588026095</v>
      </c>
      <c r="F132">
        <v>2.2128150305887999</v>
      </c>
      <c r="G132">
        <v>-549.90636974212566</v>
      </c>
      <c r="H132">
        <v>-461.97552558109271</v>
      </c>
      <c r="I132">
        <v>84.132272076766796</v>
      </c>
      <c r="J132">
        <v>44.880937262565801</v>
      </c>
      <c r="K132">
        <v>15.2750945448953</v>
      </c>
      <c r="L132">
        <v>1.2608840604333226E-4</v>
      </c>
      <c r="M132">
        <v>1.6540566242795109E-5</v>
      </c>
      <c r="N132" s="1">
        <v>7.8534614608307003E-7</v>
      </c>
      <c r="O132" s="1">
        <v>2.46883644563945E-8</v>
      </c>
      <c r="P132" s="1">
        <v>-1.2276846760043699E-7</v>
      </c>
      <c r="Q132">
        <v>74.054435572871199</v>
      </c>
      <c r="R132">
        <v>0.14935642424007201</v>
      </c>
      <c r="S132">
        <v>11.995302065814201</v>
      </c>
      <c r="T132">
        <v>0.26879975230822201</v>
      </c>
      <c r="V132">
        <v>0.61966550431322598</v>
      </c>
      <c r="W132">
        <v>7.6920894912553106E-2</v>
      </c>
      <c r="X132">
        <v>0.16573585907155799</v>
      </c>
      <c r="AA132">
        <v>0.51677990060494405</v>
      </c>
      <c r="AB132">
        <v>3.2656179938733398</v>
      </c>
      <c r="AC132">
        <v>4.8839342559809698</v>
      </c>
      <c r="AD132">
        <v>1.1833983832685999E-2</v>
      </c>
      <c r="AE132">
        <v>3.9916177921768901</v>
      </c>
    </row>
    <row r="133" spans="1:31" x14ac:dyDescent="0.2">
      <c r="A133">
        <v>132</v>
      </c>
      <c r="B133">
        <v>771</v>
      </c>
      <c r="C133">
        <v>125</v>
      </c>
      <c r="D133">
        <v>0.47095771680314102</v>
      </c>
      <c r="E133">
        <v>20.621905937977701</v>
      </c>
      <c r="F133">
        <v>2.21496654165046</v>
      </c>
      <c r="G133">
        <v>-335.43891961829326</v>
      </c>
      <c r="H133">
        <v>-281.9100471570801</v>
      </c>
      <c r="I133">
        <v>51.265500609311999</v>
      </c>
      <c r="J133">
        <v>27.391385183029598</v>
      </c>
      <c r="K133">
        <v>9.3102561822949692</v>
      </c>
      <c r="L133">
        <v>1.2588855301349443E-4</v>
      </c>
      <c r="M133">
        <v>1.6518283560018494E-5</v>
      </c>
      <c r="N133" s="1">
        <v>4.7812126834585095E-7</v>
      </c>
      <c r="O133" s="1">
        <v>1.50060504512843E-8</v>
      </c>
      <c r="P133" s="1">
        <v>-7.4518926034428597E-8</v>
      </c>
      <c r="Q133">
        <v>73.8991980646299</v>
      </c>
      <c r="R133">
        <v>0.17633753668579399</v>
      </c>
      <c r="S133">
        <v>12.131405654336501</v>
      </c>
      <c r="T133">
        <v>0.25694991644850901</v>
      </c>
      <c r="V133">
        <v>0.59405649067505895</v>
      </c>
      <c r="W133">
        <v>0.12607951989590399</v>
      </c>
      <c r="X133">
        <v>0.20398007033753399</v>
      </c>
      <c r="AA133">
        <v>0.53595687109560597</v>
      </c>
      <c r="AB133">
        <v>3.1560022710744602</v>
      </c>
      <c r="AC133">
        <v>4.9220229519500096</v>
      </c>
      <c r="AD133">
        <v>1.93968492147325E-2</v>
      </c>
      <c r="AE133">
        <v>3.9786138036558998</v>
      </c>
    </row>
    <row r="134" spans="1:31" x14ac:dyDescent="0.2">
      <c r="A134">
        <v>133</v>
      </c>
      <c r="B134">
        <v>770</v>
      </c>
      <c r="C134">
        <v>125</v>
      </c>
      <c r="D134">
        <v>0.47038345396155901</v>
      </c>
      <c r="E134">
        <v>13.2721306607008</v>
      </c>
      <c r="F134">
        <v>2.2171652334886001</v>
      </c>
      <c r="G134">
        <v>-215.83444157854154</v>
      </c>
      <c r="H134">
        <v>-181.45732371909364</v>
      </c>
      <c r="I134">
        <v>32.955105075442603</v>
      </c>
      <c r="J134">
        <v>17.633382278888</v>
      </c>
      <c r="K134">
        <v>5.9860809921765599</v>
      </c>
      <c r="L134">
        <v>1.2577432551629395E-4</v>
      </c>
      <c r="M134">
        <v>1.6511135129556475E-5</v>
      </c>
      <c r="N134" s="1">
        <v>3.07415043007509E-7</v>
      </c>
      <c r="O134" s="1">
        <v>9.63194303007699E-9</v>
      </c>
      <c r="P134" s="1">
        <v>-4.7737864180029703E-8</v>
      </c>
      <c r="Q134">
        <v>73.699768620348195</v>
      </c>
      <c r="R134">
        <v>0.20269712122160699</v>
      </c>
      <c r="S134">
        <v>12.333099654801201</v>
      </c>
      <c r="T134">
        <v>0.246548792217647</v>
      </c>
      <c r="V134">
        <v>0.57264630427798902</v>
      </c>
      <c r="W134">
        <v>0.19589921667190799</v>
      </c>
      <c r="X134">
        <v>0.20863253570199999</v>
      </c>
      <c r="AA134">
        <v>0.54418981519701304</v>
      </c>
      <c r="AB134">
        <v>3.0396407070909399</v>
      </c>
      <c r="AC134">
        <v>4.9565312242237498</v>
      </c>
      <c r="AD134">
        <v>3.0138341026406501E-2</v>
      </c>
      <c r="AE134">
        <v>3.9702076672211999</v>
      </c>
    </row>
    <row r="135" spans="1:31" x14ac:dyDescent="0.2">
      <c r="A135">
        <v>134</v>
      </c>
      <c r="B135">
        <v>769</v>
      </c>
      <c r="C135">
        <v>125</v>
      </c>
      <c r="D135">
        <v>0.46980808904668597</v>
      </c>
      <c r="E135">
        <v>9.7659334241576001</v>
      </c>
      <c r="F135">
        <v>2.21918937872233</v>
      </c>
      <c r="G135">
        <v>-158.77715297809982</v>
      </c>
      <c r="H135">
        <v>-133.53174929722482</v>
      </c>
      <c r="I135">
        <v>24.224347436429401</v>
      </c>
      <c r="J135">
        <v>12.978944064175099</v>
      </c>
      <c r="K135">
        <v>4.4006759935829303</v>
      </c>
      <c r="L135">
        <v>1.2574097132917491E-4</v>
      </c>
      <c r="M135">
        <v>1.6512535453126601E-5</v>
      </c>
      <c r="N135" s="1">
        <v>2.26235721244182E-7</v>
      </c>
      <c r="O135" s="1">
        <v>7.0756730900464199E-9</v>
      </c>
      <c r="P135" s="1">
        <v>-3.5004896302278598E-8</v>
      </c>
      <c r="Q135">
        <v>73.500791452736493</v>
      </c>
      <c r="R135">
        <v>0.219797494841379</v>
      </c>
      <c r="S135">
        <v>12.5347053327919</v>
      </c>
      <c r="T135">
        <v>0.239231718201455</v>
      </c>
      <c r="V135">
        <v>0.55826238503032699</v>
      </c>
      <c r="W135">
        <v>0.26623159170497601</v>
      </c>
      <c r="X135">
        <v>0.21146424321169499</v>
      </c>
      <c r="AA135">
        <v>0.545993185264389</v>
      </c>
      <c r="AB135">
        <v>2.9380994363558002</v>
      </c>
      <c r="AC135">
        <v>4.9781881072159999</v>
      </c>
      <c r="AD135">
        <v>4.09587064160849E-2</v>
      </c>
      <c r="AE135">
        <v>3.9662763462293902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59CFC-F610-446A-94FC-6A3D27371994}">
  <sheetPr codeName="Sheet5"/>
  <dimension ref="A1:P135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763</v>
      </c>
      <c r="C2">
        <v>275</v>
      </c>
      <c r="D2">
        <v>0.30708922453313198</v>
      </c>
      <c r="E2">
        <v>4.0877764558780099</v>
      </c>
      <c r="F2">
        <v>0.54996166268446101</v>
      </c>
      <c r="G2">
        <v>-88.792932028672908</v>
      </c>
      <c r="H2">
        <v>-51.942625939948172</v>
      </c>
      <c r="I2">
        <v>35.566901863080602</v>
      </c>
      <c r="J2">
        <v>15.7415385060097</v>
      </c>
      <c r="K2">
        <v>7.4328389290352304</v>
      </c>
      <c r="L2">
        <v>1.1953593544791693E-3</v>
      </c>
      <c r="M2">
        <v>1.9636467237705462E-4</v>
      </c>
      <c r="N2" s="1">
        <v>5.4859173085491399E-6</v>
      </c>
      <c r="O2" s="1">
        <v>1.19053913797938E-6</v>
      </c>
      <c r="P2" s="1">
        <v>-4.3395834829167301E-6</v>
      </c>
    </row>
    <row r="3" spans="1:16" x14ac:dyDescent="0.2">
      <c r="A3">
        <v>2</v>
      </c>
      <c r="B3">
        <v>762</v>
      </c>
      <c r="C3">
        <v>275</v>
      </c>
      <c r="D3">
        <v>0.306352219485102</v>
      </c>
      <c r="E3">
        <v>4.1472502143230399</v>
      </c>
      <c r="F3">
        <v>0.556484828920772</v>
      </c>
      <c r="G3">
        <v>-89.747669319457927</v>
      </c>
      <c r="H3">
        <v>-52.801441936337774</v>
      </c>
      <c r="I3">
        <v>35.6939272283091</v>
      </c>
      <c r="J3">
        <v>15.827205005479</v>
      </c>
      <c r="K3">
        <v>7.45258450686981</v>
      </c>
      <c r="L3">
        <v>1.1925281625357834E-3</v>
      </c>
      <c r="M3">
        <v>1.9544204507963535E-4</v>
      </c>
      <c r="N3" s="1">
        <v>5.5348269457737398E-6</v>
      </c>
      <c r="O3" s="1">
        <v>1.18757829227812E-6</v>
      </c>
      <c r="P3" s="1">
        <v>-4.3417369393806504E-6</v>
      </c>
    </row>
    <row r="4" spans="1:16" x14ac:dyDescent="0.2">
      <c r="A4">
        <v>3</v>
      </c>
      <c r="B4">
        <v>761</v>
      </c>
      <c r="C4">
        <v>275</v>
      </c>
      <c r="D4">
        <v>0.30561378910216402</v>
      </c>
      <c r="E4">
        <v>4.3747850392876497</v>
      </c>
      <c r="F4">
        <v>0.57941127983826801</v>
      </c>
      <c r="G4">
        <v>-93.489509435650618</v>
      </c>
      <c r="H4">
        <v>-56.046065811644205</v>
      </c>
      <c r="I4">
        <v>36.209246201725001</v>
      </c>
      <c r="J4">
        <v>16.130499371599001</v>
      </c>
      <c r="K4">
        <v>7.5503967415145796</v>
      </c>
      <c r="L4">
        <v>1.1798343809671919E-3</v>
      </c>
      <c r="M4">
        <v>1.9291990560427226E-4</v>
      </c>
      <c r="N4" s="1">
        <v>5.5954049849587999E-6</v>
      </c>
      <c r="O4" s="1">
        <v>1.1870534590758199E-6</v>
      </c>
      <c r="P4" s="1">
        <v>-4.3528059789209496E-6</v>
      </c>
    </row>
    <row r="5" spans="1:16" x14ac:dyDescent="0.2">
      <c r="A5">
        <v>4</v>
      </c>
      <c r="B5">
        <v>760</v>
      </c>
      <c r="C5">
        <v>275</v>
      </c>
      <c r="D5">
        <v>0.30487392924551299</v>
      </c>
      <c r="E5">
        <v>4.6011778943622597</v>
      </c>
      <c r="F5">
        <v>0.60164952277166495</v>
      </c>
      <c r="G5">
        <v>-97.211266054804526</v>
      </c>
      <c r="H5">
        <v>-59.275106671815813</v>
      </c>
      <c r="I5">
        <v>36.721206623622898</v>
      </c>
      <c r="J5">
        <v>16.432232401561699</v>
      </c>
      <c r="K5">
        <v>7.6476049929627798</v>
      </c>
      <c r="L5">
        <v>1.1675257889427284E-3</v>
      </c>
      <c r="M5">
        <v>1.9047060277279721E-4</v>
      </c>
      <c r="N5" s="1">
        <v>5.6562005238952601E-6</v>
      </c>
      <c r="O5" s="1">
        <v>1.1864805967592701E-6</v>
      </c>
      <c r="P5" s="1">
        <v>-4.3637349423147102E-6</v>
      </c>
    </row>
    <row r="6" spans="1:16" x14ac:dyDescent="0.2">
      <c r="A6">
        <v>5</v>
      </c>
      <c r="B6">
        <v>759</v>
      </c>
      <c r="C6">
        <v>275</v>
      </c>
      <c r="D6">
        <v>0.30413263576031102</v>
      </c>
      <c r="E6">
        <v>4.8264382937974197</v>
      </c>
      <c r="F6">
        <v>0.62323149209976902</v>
      </c>
      <c r="G6">
        <v>-100.91310658986586</v>
      </c>
      <c r="H6">
        <v>-62.488694825167116</v>
      </c>
      <c r="I6">
        <v>37.229834681381597</v>
      </c>
      <c r="J6">
        <v>16.732416262136301</v>
      </c>
      <c r="K6">
        <v>7.7442143970234198</v>
      </c>
      <c r="L6">
        <v>1.1555843767350536E-3</v>
      </c>
      <c r="M6">
        <v>1.8809076212081161E-4</v>
      </c>
      <c r="N6" s="1">
        <v>5.71721054417919E-6</v>
      </c>
      <c r="O6" s="1">
        <v>1.18586014597635E-6</v>
      </c>
      <c r="P6" s="1">
        <v>-4.3745239307860504E-6</v>
      </c>
    </row>
    <row r="7" spans="1:16" x14ac:dyDescent="0.2">
      <c r="A7">
        <v>6</v>
      </c>
      <c r="B7">
        <v>758</v>
      </c>
      <c r="C7">
        <v>275</v>
      </c>
      <c r="D7">
        <v>0.303389904475587</v>
      </c>
      <c r="E7">
        <v>5.05057564947416</v>
      </c>
      <c r="F7">
        <v>0.64418717654469704</v>
      </c>
      <c r="G7">
        <v>-104.5951966496214</v>
      </c>
      <c r="H7">
        <v>-65.686959178908381</v>
      </c>
      <c r="I7">
        <v>37.735156273081799</v>
      </c>
      <c r="J7">
        <v>17.031062981109098</v>
      </c>
      <c r="K7">
        <v>7.8402300346376501</v>
      </c>
      <c r="L7">
        <v>1.1439932316176422E-3</v>
      </c>
      <c r="M7">
        <v>1.857772149375426E-4</v>
      </c>
      <c r="N7" s="1">
        <v>5.7784320009251604E-6</v>
      </c>
      <c r="O7" s="1">
        <v>1.18519254485917E-6</v>
      </c>
      <c r="P7" s="1">
        <v>-4.3851730438564898E-6</v>
      </c>
    </row>
    <row r="8" spans="1:16" x14ac:dyDescent="0.2">
      <c r="A8">
        <v>7</v>
      </c>
      <c r="B8">
        <v>757</v>
      </c>
      <c r="C8">
        <v>275</v>
      </c>
      <c r="D8">
        <v>0.30264573120419402</v>
      </c>
      <c r="E8">
        <v>5.2735992695910499</v>
      </c>
      <c r="F8">
        <v>0.66454476489089298</v>
      </c>
      <c r="G8">
        <v>-108.25770001769332</v>
      </c>
      <c r="H8">
        <v>-68.870027219981736</v>
      </c>
      <c r="I8">
        <v>38.237197004314702</v>
      </c>
      <c r="J8">
        <v>17.328184445301201</v>
      </c>
      <c r="K8">
        <v>7.9356569311878999</v>
      </c>
      <c r="L8">
        <v>1.1327364557223764E-3</v>
      </c>
      <c r="M8">
        <v>1.8352698285459379E-4</v>
      </c>
      <c r="N8" s="1">
        <v>5.8398618225778598E-6</v>
      </c>
      <c r="O8" s="1">
        <v>1.1844782289953099E-6</v>
      </c>
      <c r="P8" s="1">
        <v>-4.3956823792266997E-6</v>
      </c>
    </row>
    <row r="9" spans="1:16" x14ac:dyDescent="0.2">
      <c r="A9">
        <v>8</v>
      </c>
      <c r="B9">
        <v>756</v>
      </c>
      <c r="C9">
        <v>275</v>
      </c>
      <c r="D9">
        <v>0.30190011174270298</v>
      </c>
      <c r="E9">
        <v>5.4955183618836703</v>
      </c>
      <c r="F9">
        <v>0.68433077915917095</v>
      </c>
      <c r="G9">
        <v>-111.90077870787317</v>
      </c>
      <c r="H9">
        <v>-72.038025059909145</v>
      </c>
      <c r="I9">
        <v>38.735982196950097</v>
      </c>
      <c r="J9">
        <v>17.6237924050765</v>
      </c>
      <c r="K9">
        <v>8.0305000582261403</v>
      </c>
      <c r="L9">
        <v>1.1217990909559413E-3</v>
      </c>
      <c r="M9">
        <v>1.8133726376474464E-4</v>
      </c>
      <c r="N9" s="1">
        <v>5.9014969113800396E-6</v>
      </c>
      <c r="O9" s="1">
        <v>1.1837176315296E-6</v>
      </c>
      <c r="P9" s="1">
        <v>-4.4060520331442099E-6</v>
      </c>
    </row>
    <row r="10" spans="1:16" x14ac:dyDescent="0.2">
      <c r="A10">
        <v>9</v>
      </c>
      <c r="B10">
        <v>755</v>
      </c>
      <c r="C10">
        <v>275</v>
      </c>
      <c r="D10">
        <v>0.30115304187132302</v>
      </c>
      <c r="E10">
        <v>5.7163420351551197</v>
      </c>
      <c r="F10">
        <v>0.70357019600743997</v>
      </c>
      <c r="G10">
        <v>-115.52459299074573</v>
      </c>
      <c r="H10">
        <v>-75.191077455872957</v>
      </c>
      <c r="I10">
        <v>39.231536893148103</v>
      </c>
      <c r="J10">
        <v>17.9178984763074</v>
      </c>
      <c r="K10">
        <v>8.1247643342394706</v>
      </c>
      <c r="L10">
        <v>1.1111670505579109E-3</v>
      </c>
      <c r="M10">
        <v>1.7920541898439803E-4</v>
      </c>
      <c r="N10" s="1">
        <v>5.9633341435336799E-6</v>
      </c>
      <c r="O10" s="1">
        <v>1.1829111832034799E-6</v>
      </c>
      <c r="P10" s="1">
        <v>-4.4162821005412103E-6</v>
      </c>
    </row>
    <row r="11" spans="1:16" x14ac:dyDescent="0.2">
      <c r="A11">
        <v>10</v>
      </c>
      <c r="B11">
        <v>754</v>
      </c>
      <c r="C11">
        <v>275</v>
      </c>
      <c r="D11">
        <v>0.30040451735384299</v>
      </c>
      <c r="E11">
        <v>5.93607930045924</v>
      </c>
      <c r="F11">
        <v>0.72228655766040095</v>
      </c>
      <c r="G11">
        <v>-119.12930141398868</v>
      </c>
      <c r="H11">
        <v>-78.329307827028742</v>
      </c>
      <c r="I11">
        <v>39.723885857878898</v>
      </c>
      <c r="J11">
        <v>18.2105141416246</v>
      </c>
      <c r="K11">
        <v>8.2184546251104607</v>
      </c>
      <c r="L11">
        <v>1.1008270565630919E-3</v>
      </c>
      <c r="M11">
        <v>1.7712896152319895E-4</v>
      </c>
      <c r="N11" s="1">
        <v>6.0253703692237704E-6</v>
      </c>
      <c r="O11" s="1">
        <v>1.1820593123605801E-6</v>
      </c>
      <c r="P11" s="1">
        <v>-4.4263726750501898E-6</v>
      </c>
    </row>
    <row r="12" spans="1:16" x14ac:dyDescent="0.2">
      <c r="A12">
        <v>11</v>
      </c>
      <c r="B12">
        <v>753</v>
      </c>
      <c r="C12">
        <v>275</v>
      </c>
      <c r="D12">
        <v>0.29965453393753799</v>
      </c>
      <c r="E12">
        <v>6.1547390708126803</v>
      </c>
      <c r="F12">
        <v>0.740502073267577</v>
      </c>
      <c r="G12">
        <v>-122.71506080002568</v>
      </c>
      <c r="H12">
        <v>-81.452838249431807</v>
      </c>
      <c r="I12">
        <v>40.213053580229698</v>
      </c>
      <c r="J12">
        <v>18.501650750637499</v>
      </c>
      <c r="K12">
        <v>8.3115757443513498</v>
      </c>
      <c r="L12">
        <v>1.090766582666376E-3</v>
      </c>
      <c r="M12">
        <v>1.7510554536438551E-4</v>
      </c>
      <c r="N12" s="1">
        <v>6.0876024129877503E-6</v>
      </c>
      <c r="O12" s="1">
        <v>1.18116244502285E-6</v>
      </c>
      <c r="P12" s="1">
        <v>-4.43632384928345E-6</v>
      </c>
    </row>
    <row r="13" spans="1:16" x14ac:dyDescent="0.2">
      <c r="A13">
        <v>12</v>
      </c>
      <c r="B13">
        <v>752</v>
      </c>
      <c r="C13">
        <v>275</v>
      </c>
      <c r="D13">
        <v>0.29890308735307097</v>
      </c>
      <c r="E13">
        <v>6.3723301661799496</v>
      </c>
      <c r="F13">
        <v>0.75823771222778702</v>
      </c>
      <c r="G13">
        <v>-126.28202632925438</v>
      </c>
      <c r="H13">
        <v>-84.56178952638038</v>
      </c>
      <c r="I13">
        <v>40.699064284627397</v>
      </c>
      <c r="J13">
        <v>18.7913195260926</v>
      </c>
      <c r="K13">
        <v>8.4041324553184396</v>
      </c>
      <c r="L13">
        <v>1.0809738015975401E-3</v>
      </c>
      <c r="M13">
        <v>1.7313295559893559E-4</v>
      </c>
      <c r="N13" s="1">
        <v>6.1500270740182004E-6</v>
      </c>
      <c r="O13" s="1">
        <v>1.1802210049473499E-6</v>
      </c>
      <c r="P13" s="1">
        <v>-4.4461357150443504E-6</v>
      </c>
    </row>
    <row r="14" spans="1:16" x14ac:dyDescent="0.2">
      <c r="A14">
        <v>13</v>
      </c>
      <c r="B14">
        <v>751</v>
      </c>
      <c r="C14">
        <v>275</v>
      </c>
      <c r="D14">
        <v>0.29815017331445698</v>
      </c>
      <c r="E14">
        <v>6.5888613097515796</v>
      </c>
      <c r="F14">
        <v>0.77551328912083894</v>
      </c>
      <c r="G14">
        <v>-129.83035147973899</v>
      </c>
      <c r="H14">
        <v>-87.656281134877958</v>
      </c>
      <c r="I14">
        <v>41.181941922936602</v>
      </c>
      <c r="J14">
        <v>19.0795315591274</v>
      </c>
      <c r="K14">
        <v>8.4961294695814207</v>
      </c>
      <c r="L14">
        <v>1.071437537256584E-3</v>
      </c>
      <c r="M14">
        <v>1.7120909944061014E-4</v>
      </c>
      <c r="N14" s="1">
        <v>6.2126411260325302E-6</v>
      </c>
      <c r="O14" s="1">
        <v>1.17923541359807E-6</v>
      </c>
      <c r="P14" s="1">
        <v>-4.4558083632209499E-6</v>
      </c>
    </row>
    <row r="15" spans="1:16" x14ac:dyDescent="0.2">
      <c r="A15">
        <v>14</v>
      </c>
      <c r="B15">
        <v>750</v>
      </c>
      <c r="C15">
        <v>275</v>
      </c>
      <c r="D15">
        <v>0.29739578751893703</v>
      </c>
      <c r="E15">
        <v>6.8043411339873696</v>
      </c>
      <c r="F15">
        <v>0.79234754246211103</v>
      </c>
      <c r="G15">
        <v>-133.36018812868267</v>
      </c>
      <c r="H15">
        <v>-90.736431310815846</v>
      </c>
      <c r="I15">
        <v>41.661710189049103</v>
      </c>
      <c r="J15">
        <v>19.3662978171809</v>
      </c>
      <c r="K15">
        <v>8.5875714498259299</v>
      </c>
      <c r="L15">
        <v>1.0621472202998782E-3</v>
      </c>
      <c r="M15">
        <v>1.6933199790141549E-4</v>
      </c>
      <c r="N15" s="1">
        <v>6.2754413178645004E-6</v>
      </c>
      <c r="O15" s="1">
        <v>1.17820609025638E-6</v>
      </c>
      <c r="P15" s="1">
        <v>-4.4653418842019904E-6</v>
      </c>
    </row>
    <row r="16" spans="1:16" x14ac:dyDescent="0.2">
      <c r="A16">
        <v>15</v>
      </c>
      <c r="B16">
        <v>749</v>
      </c>
      <c r="C16">
        <v>275</v>
      </c>
      <c r="D16">
        <v>0.29663992564692099</v>
      </c>
      <c r="E16">
        <v>7.0187781783144603</v>
      </c>
      <c r="F16">
        <v>0.80875820650455099</v>
      </c>
      <c r="G16">
        <v>-136.87168651578787</v>
      </c>
      <c r="H16">
        <v>-93.802357015569029</v>
      </c>
      <c r="I16">
        <v>42.138392514456498</v>
      </c>
      <c r="J16">
        <v>19.651629141176599</v>
      </c>
      <c r="K16">
        <v>8.6784630089252293</v>
      </c>
      <c r="L16">
        <v>1.0530928476728573E-3</v>
      </c>
      <c r="M16">
        <v>1.6749977819610599E-4</v>
      </c>
      <c r="N16" s="1">
        <v>6.3384243735090697E-6</v>
      </c>
      <c r="O16" s="1">
        <v>1.17713345202099E-6</v>
      </c>
      <c r="P16" s="1">
        <v>-4.4747363678811201E-6</v>
      </c>
    </row>
    <row r="17" spans="1:16" x14ac:dyDescent="0.2">
      <c r="A17">
        <v>16</v>
      </c>
      <c r="B17">
        <v>748</v>
      </c>
      <c r="C17">
        <v>275</v>
      </c>
      <c r="D17">
        <v>0.29588258336189799</v>
      </c>
      <c r="E17">
        <v>7.2321808937973699</v>
      </c>
      <c r="F17">
        <v>0.82476207787481204</v>
      </c>
      <c r="G17">
        <v>-140.36499532115693</v>
      </c>
      <c r="H17">
        <v>-96.85417400192317</v>
      </c>
      <c r="I17">
        <v>42.612012078690697</v>
      </c>
      <c r="J17">
        <v>19.935536251267301</v>
      </c>
      <c r="K17">
        <v>8.7688087120018103</v>
      </c>
      <c r="L17">
        <v>1.0442649450320765E-3</v>
      </c>
      <c r="M17">
        <v>1.6571066669826307E-4</v>
      </c>
      <c r="N17" s="1">
        <v>6.4015869924231498E-6</v>
      </c>
      <c r="O17" s="1">
        <v>1.17601791385739E-6</v>
      </c>
      <c r="P17" s="1">
        <v>-4.48399190384785E-6</v>
      </c>
    </row>
    <row r="18" spans="1:16" x14ac:dyDescent="0.2">
      <c r="A18">
        <v>17</v>
      </c>
      <c r="B18">
        <v>747</v>
      </c>
      <c r="C18">
        <v>275</v>
      </c>
      <c r="D18">
        <v>0.29512375631034898</v>
      </c>
      <c r="E18">
        <v>7.4445576406548897</v>
      </c>
      <c r="F18">
        <v>0.840375076453304</v>
      </c>
      <c r="G18">
        <v>-143.8402616262351</v>
      </c>
      <c r="H18">
        <v>-99.891996777931411</v>
      </c>
      <c r="I18">
        <v>43.082591805233399</v>
      </c>
      <c r="J18">
        <v>20.218029744087399</v>
      </c>
      <c r="K18">
        <v>8.8586130755729897</v>
      </c>
      <c r="L18">
        <v>1.0356545324359452E-3</v>
      </c>
      <c r="M18">
        <v>1.6396298249951095E-4</v>
      </c>
      <c r="N18" s="1">
        <v>6.46492584972805E-6</v>
      </c>
      <c r="O18" s="1">
        <v>1.17485988862571E-6</v>
      </c>
      <c r="P18" s="1">
        <v>-4.4931085814995401E-6</v>
      </c>
    </row>
    <row r="19" spans="1:16" x14ac:dyDescent="0.2">
      <c r="A19">
        <v>18</v>
      </c>
      <c r="B19">
        <v>746</v>
      </c>
      <c r="C19">
        <v>275</v>
      </c>
      <c r="D19">
        <v>0.29436344012167098</v>
      </c>
      <c r="E19">
        <v>7.6559166926645696</v>
      </c>
      <c r="F19">
        <v>0.85561230205561301</v>
      </c>
      <c r="G19">
        <v>-147.2976309876546</v>
      </c>
      <c r="H19">
        <v>-102.91593866898094</v>
      </c>
      <c r="I19">
        <v>43.5501543718158</v>
      </c>
      <c r="J19">
        <v>20.499120098355199</v>
      </c>
      <c r="K19">
        <v>8.9478805695888006</v>
      </c>
      <c r="L19">
        <v>1.0272530923802752E-3</v>
      </c>
      <c r="M19">
        <v>1.6225513141798032E-4</v>
      </c>
      <c r="N19" s="1">
        <v>6.52843759663336E-6</v>
      </c>
      <c r="O19" s="1">
        <v>1.17365978714545E-6</v>
      </c>
      <c r="P19" s="1">
        <v>-4.50208649029665E-6</v>
      </c>
    </row>
    <row r="20" spans="1:16" x14ac:dyDescent="0.2">
      <c r="A20">
        <v>19</v>
      </c>
      <c r="B20">
        <v>745</v>
      </c>
      <c r="C20">
        <v>275</v>
      </c>
      <c r="D20">
        <v>0.29360163040809401</v>
      </c>
      <c r="E20">
        <v>7.8662662352049901</v>
      </c>
      <c r="F20">
        <v>0.87048808637594099</v>
      </c>
      <c r="G20">
        <v>-150.73724740512819</v>
      </c>
      <c r="H20">
        <v>-105.92611178962333</v>
      </c>
      <c r="I20">
        <v>44.014722205344903</v>
      </c>
      <c r="J20">
        <v>20.778817671920599</v>
      </c>
      <c r="K20">
        <v>9.0366156163655305</v>
      </c>
      <c r="L20">
        <v>1.0190525405232812E-3</v>
      </c>
      <c r="M20">
        <v>1.6058560050339005E-4</v>
      </c>
      <c r="N20" s="1">
        <v>6.5921188601919497E-6</v>
      </c>
      <c r="O20" s="1">
        <v>1.1724180181397E-6</v>
      </c>
      <c r="P20" s="1">
        <v>-4.5109257195573097E-6</v>
      </c>
    </row>
    <row r="21" spans="1:16" x14ac:dyDescent="0.2">
      <c r="A21">
        <v>20</v>
      </c>
      <c r="B21">
        <v>744</v>
      </c>
      <c r="C21">
        <v>275</v>
      </c>
      <c r="D21">
        <v>0.29283832276459099</v>
      </c>
      <c r="E21">
        <v>8.0756143705010608</v>
      </c>
      <c r="F21">
        <v>0.88501604143225299</v>
      </c>
      <c r="G21">
        <v>-154.15925341114692</v>
      </c>
      <c r="H21">
        <v>-108.92262711704883</v>
      </c>
      <c r="I21">
        <v>44.476317496621199</v>
      </c>
      <c r="J21">
        <v>21.057132709474999</v>
      </c>
      <c r="K21">
        <v>9.1248225935340201</v>
      </c>
      <c r="L21">
        <v>1.0110451983642358E-3</v>
      </c>
      <c r="M21">
        <v>1.5895295291651262E-4</v>
      </c>
      <c r="N21" s="1">
        <v>6.6559662443751503E-6</v>
      </c>
      <c r="O21" s="1">
        <v>1.1711349884135799E-6</v>
      </c>
      <c r="P21" s="1">
        <v>-4.5196263591522503E-6</v>
      </c>
    </row>
    <row r="22" spans="1:16" x14ac:dyDescent="0.2">
      <c r="A22">
        <v>21</v>
      </c>
      <c r="B22">
        <v>743</v>
      </c>
      <c r="C22">
        <v>275</v>
      </c>
      <c r="D22">
        <v>0.29207351276878402</v>
      </c>
      <c r="E22">
        <v>8.2839691148730807</v>
      </c>
      <c r="F22">
        <v>0.89920910396422005</v>
      </c>
      <c r="G22">
        <v>-157.56379002517613</v>
      </c>
      <c r="H22">
        <v>-111.90559445180959</v>
      </c>
      <c r="I22">
        <v>44.9349621927527</v>
      </c>
      <c r="J22">
        <v>21.3340753382966</v>
      </c>
      <c r="K22">
        <v>9.2125058324617406</v>
      </c>
      <c r="L22">
        <v>1.0032237682239028E-3</v>
      </c>
      <c r="M22">
        <v>1.573558232317823E-4</v>
      </c>
      <c r="N22" s="1">
        <v>6.7199763296340499E-6</v>
      </c>
      <c r="O22" s="1">
        <v>1.1698111027582701E-6</v>
      </c>
      <c r="P22" s="1">
        <v>-4.5281884991492099E-6</v>
      </c>
    </row>
    <row r="23" spans="1:16" x14ac:dyDescent="0.2">
      <c r="A23">
        <v>22</v>
      </c>
      <c r="B23">
        <v>742</v>
      </c>
      <c r="C23">
        <v>275</v>
      </c>
      <c r="D23">
        <v>0.291307195980888</v>
      </c>
      <c r="E23">
        <v>8.4913384009786306</v>
      </c>
      <c r="F23">
        <v>0.91307957684642005</v>
      </c>
      <c r="G23">
        <v>-160.95099679241272</v>
      </c>
      <c r="H23">
        <v>-114.87512244896421</v>
      </c>
      <c r="I23">
        <v>45.390678003454497</v>
      </c>
      <c r="J23">
        <v>21.609655571453899</v>
      </c>
      <c r="K23">
        <v>9.2996696194934891</v>
      </c>
      <c r="L23">
        <v>9.9558130989514182E-4</v>
      </c>
      <c r="M23">
        <v>1.5579291305859431E-4</v>
      </c>
      <c r="N23" s="1">
        <v>6.7841456734049003E-6</v>
      </c>
      <c r="O23" s="1">
        <v>1.1684467640245399E-6</v>
      </c>
      <c r="P23" s="1">
        <v>-4.5366122301085003E-6</v>
      </c>
    </row>
    <row r="24" spans="1:16" x14ac:dyDescent="0.2">
      <c r="A24">
        <v>23</v>
      </c>
      <c r="B24">
        <v>741</v>
      </c>
      <c r="C24">
        <v>275</v>
      </c>
      <c r="D24">
        <v>0.29053936794360102</v>
      </c>
      <c r="E24">
        <v>8.6977300812778502</v>
      </c>
      <c r="F24">
        <v>0.92663916759042597</v>
      </c>
      <c r="G24">
        <v>-164.32101184179669</v>
      </c>
      <c r="H24">
        <v>-117.83131866690597</v>
      </c>
      <c r="I24">
        <v>45.843486408933003</v>
      </c>
      <c r="J24">
        <v>21.8838833121014</v>
      </c>
      <c r="K24">
        <v>9.3863181975081709</v>
      </c>
      <c r="L24">
        <v>9.8811121892965529E-4</v>
      </c>
      <c r="M24">
        <v>1.5426298697145626E-4</v>
      </c>
      <c r="N24" s="1">
        <v>6.8484708104494801E-6</v>
      </c>
      <c r="O24" s="1">
        <v>1.1670423731626601E-6</v>
      </c>
      <c r="P24" s="1">
        <v>-4.5448976432517199E-6</v>
      </c>
    </row>
    <row r="25" spans="1:16" x14ac:dyDescent="0.2">
      <c r="A25">
        <v>24</v>
      </c>
      <c r="B25">
        <v>740</v>
      </c>
      <c r="C25">
        <v>275</v>
      </c>
      <c r="D25">
        <v>0.28977002418201098</v>
      </c>
      <c r="E25">
        <v>23.805681250035502</v>
      </c>
      <c r="F25">
        <v>1.43066689857519</v>
      </c>
      <c r="G25">
        <v>-411.37783223614366</v>
      </c>
      <c r="H25">
        <v>-327.56122630693022</v>
      </c>
      <c r="I25">
        <v>82.731710798562204</v>
      </c>
      <c r="J25">
        <v>42.441929096834599</v>
      </c>
      <c r="K25">
        <v>16.639569471931999</v>
      </c>
      <c r="L25">
        <v>6.8689941873899664E-4</v>
      </c>
      <c r="M25">
        <v>1.0644790141166156E-4</v>
      </c>
      <c r="N25" s="1">
        <v>8.2704111670311496E-6</v>
      </c>
      <c r="O25" s="1">
        <v>1.41999093143868E-6</v>
      </c>
      <c r="P25" s="1">
        <v>-5.5460955520200002E-6</v>
      </c>
    </row>
    <row r="26" spans="1:16" x14ac:dyDescent="0.2">
      <c r="A26">
        <v>25</v>
      </c>
      <c r="B26">
        <v>739</v>
      </c>
      <c r="C26">
        <v>275</v>
      </c>
      <c r="D26">
        <v>0.28899916020352701</v>
      </c>
      <c r="E26">
        <v>41.6164220216057</v>
      </c>
      <c r="F26">
        <v>1.65064500352439</v>
      </c>
      <c r="G26">
        <v>-702.85786001946212</v>
      </c>
      <c r="H26">
        <v>-574.98054168899807</v>
      </c>
      <c r="I26">
        <v>126.345900632813</v>
      </c>
      <c r="J26">
        <v>66.772169368430795</v>
      </c>
      <c r="K26">
        <v>25.2122182133335</v>
      </c>
      <c r="L26">
        <v>5.5584162923852701E-4</v>
      </c>
      <c r="M26">
        <v>8.5585983457816839E-5</v>
      </c>
      <c r="N26" s="1">
        <v>9.97267763670959E-6</v>
      </c>
      <c r="O26" s="1">
        <v>1.72237259617199E-6</v>
      </c>
      <c r="P26" s="1">
        <v>-6.7468432758043602E-6</v>
      </c>
    </row>
    <row r="27" spans="1:16" x14ac:dyDescent="0.2">
      <c r="A27">
        <v>26</v>
      </c>
      <c r="B27">
        <v>738</v>
      </c>
      <c r="C27">
        <v>275</v>
      </c>
      <c r="D27">
        <v>0.28822677149780002</v>
      </c>
      <c r="E27">
        <v>88.646684365634698</v>
      </c>
      <c r="F27">
        <v>1.85538765965565</v>
      </c>
      <c r="G27">
        <v>-1468.0050450688161</v>
      </c>
      <c r="H27">
        <v>-1223.7800475362508</v>
      </c>
      <c r="I27">
        <v>241.537291645598</v>
      </c>
      <c r="J27">
        <v>130.97135563363599</v>
      </c>
      <c r="K27">
        <v>47.7779853198371</v>
      </c>
      <c r="L27">
        <v>4.3729710928087353E-4</v>
      </c>
      <c r="M27">
        <v>6.6766507030148895E-5</v>
      </c>
      <c r="N27" s="1">
        <v>1.44291961329288E-5</v>
      </c>
      <c r="O27" s="1">
        <v>2.5309206553629302E-6</v>
      </c>
      <c r="P27" s="1">
        <v>-9.9426219766680002E-6</v>
      </c>
    </row>
    <row r="28" spans="1:16" x14ac:dyDescent="0.2">
      <c r="A28">
        <v>27</v>
      </c>
      <c r="B28">
        <v>737</v>
      </c>
      <c r="C28">
        <v>275</v>
      </c>
      <c r="D28">
        <v>0.28745285353660599</v>
      </c>
      <c r="E28">
        <v>98.362045576129404</v>
      </c>
      <c r="F28">
        <v>1.8763955921364599</v>
      </c>
      <c r="G28">
        <v>-1625.92704525815</v>
      </c>
      <c r="H28">
        <v>-1358.0261261815153</v>
      </c>
      <c r="I28">
        <v>265.21478595659198</v>
      </c>
      <c r="J28">
        <v>144.28274349063699</v>
      </c>
      <c r="K28">
        <v>52.420740055210999</v>
      </c>
      <c r="L28">
        <v>4.254739904306708E-4</v>
      </c>
      <c r="M28">
        <v>6.4751140418756759E-5</v>
      </c>
      <c r="N28" s="1">
        <v>1.5414576866081899E-5</v>
      </c>
      <c r="O28" s="1">
        <v>2.6894552094659798E-6</v>
      </c>
      <c r="P28" s="1">
        <v>-1.0597210823453899E-5</v>
      </c>
    </row>
    <row r="29" spans="1:16" x14ac:dyDescent="0.2">
      <c r="A29">
        <v>28</v>
      </c>
      <c r="B29">
        <v>736</v>
      </c>
      <c r="C29">
        <v>275</v>
      </c>
      <c r="D29">
        <v>0.28667740177377199</v>
      </c>
      <c r="E29">
        <v>101.73781382911299</v>
      </c>
      <c r="F29">
        <v>1.88339726378818</v>
      </c>
      <c r="G29">
        <v>-1680.6094756734476</v>
      </c>
      <c r="H29">
        <v>-1404.7763748659218</v>
      </c>
      <c r="I29">
        <v>273.33798106198901</v>
      </c>
      <c r="J29">
        <v>148.939622423392</v>
      </c>
      <c r="K29">
        <v>54.018244469826698</v>
      </c>
      <c r="L29">
        <v>4.2176728019222373E-4</v>
      </c>
      <c r="M29">
        <v>6.4014428162892362E-5</v>
      </c>
      <c r="N29" s="1">
        <v>1.58081353740959E-5</v>
      </c>
      <c r="O29" s="1">
        <v>2.7375432131616198E-6</v>
      </c>
      <c r="P29" s="1">
        <v>-1.0819310123740799E-5</v>
      </c>
    </row>
    <row r="30" spans="1:16" x14ac:dyDescent="0.2">
      <c r="A30">
        <v>29</v>
      </c>
      <c r="B30">
        <v>763</v>
      </c>
      <c r="C30">
        <v>250</v>
      </c>
      <c r="D30">
        <v>0.33362978333253301</v>
      </c>
      <c r="E30">
        <v>4.4984803082935203</v>
      </c>
      <c r="F30">
        <v>0.521433177309651</v>
      </c>
      <c r="G30">
        <v>-97.923947348183006</v>
      </c>
      <c r="H30">
        <v>-57.101208460970817</v>
      </c>
      <c r="I30">
        <v>39.400968193681301</v>
      </c>
      <c r="J30">
        <v>17.484752097068998</v>
      </c>
      <c r="K30">
        <v>8.6271463037767298</v>
      </c>
      <c r="L30">
        <v>1.2896603047046033E-3</v>
      </c>
      <c r="M30">
        <v>2.3142400221639906E-4</v>
      </c>
      <c r="N30" s="1">
        <v>6.3955857918781597E-6</v>
      </c>
      <c r="O30" s="1">
        <v>1.8535815308068599E-6</v>
      </c>
      <c r="P30" s="1">
        <v>-6.0825531002678298E-6</v>
      </c>
    </row>
    <row r="31" spans="1:16" x14ac:dyDescent="0.2">
      <c r="A31">
        <v>30</v>
      </c>
      <c r="B31">
        <v>762</v>
      </c>
      <c r="C31">
        <v>250</v>
      </c>
      <c r="D31">
        <v>0.33291841762063901</v>
      </c>
      <c r="E31">
        <v>4.5615168557812398</v>
      </c>
      <c r="F31">
        <v>0.52754717855306799</v>
      </c>
      <c r="G31">
        <v>-98.934549439490596</v>
      </c>
      <c r="H31">
        <v>-58.012915600635893</v>
      </c>
      <c r="I31">
        <v>39.534570199023698</v>
      </c>
      <c r="J31">
        <v>17.5770589376381</v>
      </c>
      <c r="K31">
        <v>8.6466519796245596</v>
      </c>
      <c r="L31">
        <v>1.2871046561773413E-3</v>
      </c>
      <c r="M31">
        <v>2.3039823141413534E-4</v>
      </c>
      <c r="N31" s="1">
        <v>6.4652591759495303E-6</v>
      </c>
      <c r="O31" s="1">
        <v>1.84903106742527E-6</v>
      </c>
      <c r="P31" s="1">
        <v>-6.0869494569862597E-6</v>
      </c>
    </row>
    <row r="32" spans="1:16" x14ac:dyDescent="0.2">
      <c r="A32">
        <v>31</v>
      </c>
      <c r="B32">
        <v>761</v>
      </c>
      <c r="C32">
        <v>250</v>
      </c>
      <c r="D32">
        <v>0.33220567615916602</v>
      </c>
      <c r="E32">
        <v>4.7819303336991004</v>
      </c>
      <c r="F32">
        <v>0.54715884896968503</v>
      </c>
      <c r="G32">
        <v>-102.55510917348442</v>
      </c>
      <c r="H32">
        <v>-61.160658364613759</v>
      </c>
      <c r="I32">
        <v>40.030009042585398</v>
      </c>
      <c r="J32">
        <v>17.8725580888607</v>
      </c>
      <c r="K32">
        <v>8.7395650142615899</v>
      </c>
      <c r="L32">
        <v>1.2759079929978105E-3</v>
      </c>
      <c r="M32">
        <v>2.2784082577323022E-4</v>
      </c>
      <c r="N32" s="1">
        <v>6.5461985261212799E-6</v>
      </c>
      <c r="O32" s="1">
        <v>1.8475699552939701E-6</v>
      </c>
      <c r="P32" s="1">
        <v>-6.1015302385026299E-6</v>
      </c>
    </row>
    <row r="33" spans="1:16" x14ac:dyDescent="0.2">
      <c r="A33">
        <v>32</v>
      </c>
      <c r="B33">
        <v>760</v>
      </c>
      <c r="C33">
        <v>250</v>
      </c>
      <c r="D33">
        <v>0.33149155495329902</v>
      </c>
      <c r="E33">
        <v>5.0012631232622704</v>
      </c>
      <c r="F33">
        <v>0.56627244609527805</v>
      </c>
      <c r="G33">
        <v>-106.15666303112293</v>
      </c>
      <c r="H33">
        <v>-64.293650927582888</v>
      </c>
      <c r="I33">
        <v>40.522287807191702</v>
      </c>
      <c r="J33">
        <v>18.166595912301698</v>
      </c>
      <c r="K33">
        <v>8.8319026605451008</v>
      </c>
      <c r="L33">
        <v>1.2649997171379596E-3</v>
      </c>
      <c r="M33">
        <v>2.2534515540445149E-4</v>
      </c>
      <c r="N33" s="1">
        <v>6.6275130126184398E-6</v>
      </c>
      <c r="O33" s="1">
        <v>1.84604341097001E-6</v>
      </c>
      <c r="P33" s="1">
        <v>-6.115941218807E-6</v>
      </c>
    </row>
    <row r="34" spans="1:16" x14ac:dyDescent="0.2">
      <c r="A34">
        <v>33</v>
      </c>
      <c r="B34">
        <v>759</v>
      </c>
      <c r="C34">
        <v>250</v>
      </c>
      <c r="D34">
        <v>0.33077604999273502</v>
      </c>
      <c r="E34">
        <v>5.21952397041197</v>
      </c>
      <c r="F34">
        <v>0.58490779183678498</v>
      </c>
      <c r="G34">
        <v>-109.73936516894025</v>
      </c>
      <c r="H34">
        <v>-67.412013070762299</v>
      </c>
      <c r="I34">
        <v>41.011430612763803</v>
      </c>
      <c r="J34">
        <v>18.459183460204699</v>
      </c>
      <c r="K34">
        <v>8.9236697531778493</v>
      </c>
      <c r="L34">
        <v>1.2543681925705308E-3</v>
      </c>
      <c r="M34">
        <v>2.2290876586945519E-4</v>
      </c>
      <c r="N34" s="1">
        <v>6.7091985412209796E-6</v>
      </c>
      <c r="O34" s="1">
        <v>1.8444519651640599E-6</v>
      </c>
      <c r="P34" s="1">
        <v>-6.1301821065969603E-6</v>
      </c>
    </row>
    <row r="35" spans="1:16" x14ac:dyDescent="0.2">
      <c r="A35">
        <v>34</v>
      </c>
      <c r="B35">
        <v>758</v>
      </c>
      <c r="C35">
        <v>250</v>
      </c>
      <c r="D35">
        <v>0.330059157251614</v>
      </c>
      <c r="E35">
        <v>5.4367215271602003</v>
      </c>
      <c r="F35">
        <v>0.60308366932067303</v>
      </c>
      <c r="G35">
        <v>-113.30336808939073</v>
      </c>
      <c r="H35">
        <v>-70.515863288154947</v>
      </c>
      <c r="I35">
        <v>41.497461317004003</v>
      </c>
      <c r="J35">
        <v>18.750331657873801</v>
      </c>
      <c r="K35">
        <v>9.0148710763205404</v>
      </c>
      <c r="L35">
        <v>1.2440023926313909E-3</v>
      </c>
      <c r="M35">
        <v>2.2052933155227526E-4</v>
      </c>
      <c r="N35" s="1">
        <v>6.7912509617481698E-6</v>
      </c>
      <c r="O35" s="1">
        <v>1.84279614662775E-6</v>
      </c>
      <c r="P35" s="1">
        <v>-6.1442526091078003E-6</v>
      </c>
    </row>
    <row r="36" spans="1:16" x14ac:dyDescent="0.2">
      <c r="A36">
        <v>35</v>
      </c>
      <c r="B36">
        <v>757</v>
      </c>
      <c r="C36">
        <v>250</v>
      </c>
      <c r="D36">
        <v>0.32934087268844398</v>
      </c>
      <c r="E36">
        <v>5.6528643529420197</v>
      </c>
      <c r="F36">
        <v>0.62081789003257404</v>
      </c>
      <c r="G36">
        <v>-116.84882266503807</v>
      </c>
      <c r="H36">
        <v>-73.605318804980911</v>
      </c>
      <c r="I36">
        <v>41.980403519710102</v>
      </c>
      <c r="J36">
        <v>19.040051305727001</v>
      </c>
      <c r="K36">
        <v>9.1055113644444408</v>
      </c>
      <c r="L36">
        <v>1.2338918606471354E-3</v>
      </c>
      <c r="M36">
        <v>2.1820464733425881E-4</v>
      </c>
      <c r="N36" s="1">
        <v>6.8736660684188003E-6</v>
      </c>
      <c r="O36" s="1">
        <v>1.84107648225469E-6</v>
      </c>
      <c r="P36" s="1">
        <v>-6.1581524325016104E-6</v>
      </c>
    </row>
    <row r="37" spans="1:16" x14ac:dyDescent="0.2">
      <c r="A37">
        <v>36</v>
      </c>
      <c r="B37">
        <v>756</v>
      </c>
      <c r="C37">
        <v>250</v>
      </c>
      <c r="D37">
        <v>0.32862119224602798</v>
      </c>
      <c r="E37">
        <v>5.8679609157901096</v>
      </c>
      <c r="F37">
        <v>0.63812735582422997</v>
      </c>
      <c r="G37">
        <v>-120.37587815862267</v>
      </c>
      <c r="H37">
        <v>-76.680495593930544</v>
      </c>
      <c r="I37">
        <v>42.4602805652287</v>
      </c>
      <c r="J37">
        <v>19.328353080551601</v>
      </c>
      <c r="K37">
        <v>9.1955953027759101</v>
      </c>
      <c r="L37">
        <v>1.2240266735727091E-3</v>
      </c>
      <c r="M37">
        <v>2.1593262090551237E-4</v>
      </c>
      <c r="N37" s="1">
        <v>6.9564395998977399E-6</v>
      </c>
      <c r="O37" s="1">
        <v>1.8392934970900101E-6</v>
      </c>
      <c r="P37" s="1">
        <v>-6.1718812819568299E-6</v>
      </c>
    </row>
    <row r="38" spans="1:16" x14ac:dyDescent="0.2">
      <c r="A38">
        <v>37</v>
      </c>
      <c r="B38">
        <v>755</v>
      </c>
      <c r="C38">
        <v>250</v>
      </c>
      <c r="D38">
        <v>0.32790011185138401</v>
      </c>
      <c r="E38">
        <v>6.0820195937783197</v>
      </c>
      <c r="F38">
        <v>0.65502811622232104</v>
      </c>
      <c r="G38">
        <v>-123.88468224929497</v>
      </c>
      <c r="H38">
        <v>-79.741508394750838</v>
      </c>
      <c r="I38">
        <v>42.937115547677998</v>
      </c>
      <c r="J38">
        <v>19.615247537964098</v>
      </c>
      <c r="K38">
        <v>9.2851275283487809</v>
      </c>
      <c r="L38">
        <v>1.2143974083842297E-3</v>
      </c>
      <c r="M38">
        <v>2.1371126565875956E-4</v>
      </c>
      <c r="N38" s="1">
        <v>7.0395672398646196E-6</v>
      </c>
      <c r="O38" s="1">
        <v>1.83744771447381E-6</v>
      </c>
      <c r="P38" s="1">
        <v>-6.1854388622077397E-6</v>
      </c>
    </row>
    <row r="39" spans="1:16" x14ac:dyDescent="0.2">
      <c r="A39">
        <v>38</v>
      </c>
      <c r="B39">
        <v>754</v>
      </c>
      <c r="C39">
        <v>250</v>
      </c>
      <c r="D39">
        <v>0.32717762741566497</v>
      </c>
      <c r="E39">
        <v>6.2950486761309996</v>
      </c>
      <c r="F39">
        <v>0.671535421478752</v>
      </c>
      <c r="G39">
        <v>-127.37538105089367</v>
      </c>
      <c r="H39">
        <v>-82.788470729783185</v>
      </c>
      <c r="I39">
        <v>43.410931312397999</v>
      </c>
      <c r="J39">
        <v>19.9007451132391</v>
      </c>
      <c r="K39">
        <v>9.3741126302303002</v>
      </c>
      <c r="L39">
        <v>1.2049951109685349E-3</v>
      </c>
      <c r="M39">
        <v>2.1153869411144326E-4</v>
      </c>
      <c r="N39" s="1">
        <v>7.1230446169039403E-6</v>
      </c>
      <c r="O39" s="1">
        <v>1.8355396559975001E-6</v>
      </c>
      <c r="P39" s="1">
        <v>-6.1988248774630502E-6</v>
      </c>
    </row>
    <row r="40" spans="1:16" x14ac:dyDescent="0.2">
      <c r="A40">
        <v>39</v>
      </c>
      <c r="B40">
        <v>753</v>
      </c>
      <c r="C40">
        <v>250</v>
      </c>
      <c r="D40">
        <v>0.32645373483409301</v>
      </c>
      <c r="E40">
        <v>6.5070563644056598</v>
      </c>
      <c r="F40">
        <v>0.68766377166339798</v>
      </c>
      <c r="G40">
        <v>-130.84811913420921</v>
      </c>
      <c r="H40">
        <v>-85.821494919748844</v>
      </c>
      <c r="I40">
        <v>43.8817504610507</v>
      </c>
      <c r="J40">
        <v>20.1848561236372</v>
      </c>
      <c r="K40">
        <v>9.4625551505580408</v>
      </c>
      <c r="L40">
        <v>1.1958112673360042E-3</v>
      </c>
      <c r="M40">
        <v>2.0941311181802249E-4</v>
      </c>
      <c r="N40" s="1">
        <v>7.2068673052167403E-6</v>
      </c>
      <c r="O40" s="1">
        <v>1.83356984166905E-6</v>
      </c>
      <c r="P40" s="1">
        <v>-6.2120390320295997E-6</v>
      </c>
    </row>
    <row r="41" spans="1:16" x14ac:dyDescent="0.2">
      <c r="A41">
        <v>40</v>
      </c>
      <c r="B41">
        <v>752</v>
      </c>
      <c r="C41">
        <v>250</v>
      </c>
      <c r="D41">
        <v>0.32572842998585799</v>
      </c>
      <c r="E41">
        <v>6.7180507737102104</v>
      </c>
      <c r="F41">
        <v>0.70342696223753998</v>
      </c>
      <c r="G41">
        <v>-134.30303954697249</v>
      </c>
      <c r="H41">
        <v>-88.840692100852422</v>
      </c>
      <c r="I41">
        <v>44.349595353246798</v>
      </c>
      <c r="J41">
        <v>20.4675907693493</v>
      </c>
      <c r="K41">
        <v>9.5504595848027591</v>
      </c>
      <c r="L41">
        <v>1.1868377768939847E-3</v>
      </c>
      <c r="M41">
        <v>2.0733281171929078E-4</v>
      </c>
      <c r="N41" s="1">
        <v>7.2910308245363101E-6</v>
      </c>
      <c r="O41" s="1">
        <v>1.83153878986682E-6</v>
      </c>
      <c r="P41" s="1">
        <v>-6.22508103022759E-6</v>
      </c>
    </row>
    <row r="42" spans="1:16" x14ac:dyDescent="0.2">
      <c r="A42">
        <v>41</v>
      </c>
      <c r="B42">
        <v>751</v>
      </c>
      <c r="C42">
        <v>250</v>
      </c>
      <c r="D42">
        <v>0.32500170873407402</v>
      </c>
      <c r="E42">
        <v>6.9280399345334702</v>
      </c>
      <c r="F42">
        <v>0.71883812634731103</v>
      </c>
      <c r="G42">
        <v>-137.74028384625947</v>
      </c>
      <c r="H42">
        <v>-91.84617224995587</v>
      </c>
      <c r="I42">
        <v>44.814488112423597</v>
      </c>
      <c r="J42">
        <v>20.748959136383402</v>
      </c>
      <c r="K42">
        <v>9.6378303829506908</v>
      </c>
      <c r="L42">
        <v>1.1780669276436871E-3</v>
      </c>
      <c r="M42">
        <v>2.0529616889839898E-4</v>
      </c>
      <c r="N42" s="1">
        <v>7.3755306407675399E-6</v>
      </c>
      <c r="O42" s="1">
        <v>1.82944701747352E-6</v>
      </c>
      <c r="P42" s="1">
        <v>-6.23795057691787E-6</v>
      </c>
    </row>
    <row r="43" spans="1:16" x14ac:dyDescent="0.2">
      <c r="A43">
        <v>42</v>
      </c>
      <c r="B43">
        <v>750</v>
      </c>
      <c r="C43">
        <v>250</v>
      </c>
      <c r="D43">
        <v>0.324273566925672</v>
      </c>
      <c r="E43">
        <v>7.13703179087371</v>
      </c>
      <c r="F43">
        <v>0.73390977387723999</v>
      </c>
      <c r="G43">
        <v>-141.15999206849102</v>
      </c>
      <c r="H43">
        <v>-94.838044157433288</v>
      </c>
      <c r="I43">
        <v>45.276450621900601</v>
      </c>
      <c r="J43">
        <v>21.0289711941344</v>
      </c>
      <c r="K43">
        <v>9.7246719486631399</v>
      </c>
      <c r="L43">
        <v>1.1694913732911696E-3</v>
      </c>
      <c r="M43">
        <v>2.033016357357589E-4</v>
      </c>
      <c r="N43" s="1">
        <v>7.4603621660556703E-6</v>
      </c>
      <c r="O43" s="1">
        <v>1.8272950398589401E-6</v>
      </c>
      <c r="P43" s="1">
        <v>-6.2506473775210101E-6</v>
      </c>
    </row>
    <row r="44" spans="1:16" x14ac:dyDescent="0.2">
      <c r="A44">
        <v>43</v>
      </c>
      <c r="B44">
        <v>749</v>
      </c>
      <c r="C44">
        <v>250</v>
      </c>
      <c r="D44">
        <v>0.32354400039133302</v>
      </c>
      <c r="E44">
        <v>7.3450342060509604</v>
      </c>
      <c r="F44">
        <v>0.74865382827753801</v>
      </c>
      <c r="G44">
        <v>-144.56230282679107</v>
      </c>
      <c r="H44">
        <v>-97.816415509259727</v>
      </c>
      <c r="I44">
        <v>45.735504538643802</v>
      </c>
      <c r="J44">
        <v>21.307636802920602</v>
      </c>
      <c r="K44">
        <v>9.8109886420403498</v>
      </c>
      <c r="L44">
        <v>1.1611041116320244E-3</v>
      </c>
      <c r="M44">
        <v>2.0134773734638552E-4</v>
      </c>
      <c r="N44" s="1">
        <v>7.5455207595004699E-6</v>
      </c>
      <c r="O44" s="1">
        <v>1.8250833710158499E-6</v>
      </c>
      <c r="P44" s="1">
        <v>-6.2631711385617198E-6</v>
      </c>
    </row>
    <row r="45" spans="1:16" x14ac:dyDescent="0.2">
      <c r="A45">
        <v>44</v>
      </c>
      <c r="B45">
        <v>748</v>
      </c>
      <c r="C45">
        <v>250</v>
      </c>
      <c r="D45">
        <v>0.32281300494540499</v>
      </c>
      <c r="E45">
        <v>7.5520549595381796</v>
      </c>
      <c r="F45">
        <v>0.76308166024667401</v>
      </c>
      <c r="G45">
        <v>-147.94735325901729</v>
      </c>
      <c r="H45">
        <v>-100.78139284156421</v>
      </c>
      <c r="I45">
        <v>46.191671285769601</v>
      </c>
      <c r="J45">
        <v>21.584965709647701</v>
      </c>
      <c r="K45">
        <v>9.8967847780497102</v>
      </c>
      <c r="L45">
        <v>1.1528984648168528E-3</v>
      </c>
      <c r="M45">
        <v>1.9943306739985805E-4</v>
      </c>
      <c r="N45" s="1">
        <v>7.63100172701322E-6</v>
      </c>
      <c r="O45" s="1">
        <v>1.82281252348343E-6</v>
      </c>
      <c r="P45" s="1">
        <v>-6.2755215674899801E-6</v>
      </c>
    </row>
    <row r="46" spans="1:16" x14ac:dyDescent="0.2">
      <c r="A46">
        <v>45</v>
      </c>
      <c r="B46">
        <v>747</v>
      </c>
      <c r="C46">
        <v>250</v>
      </c>
      <c r="D46">
        <v>0.32208057638582899</v>
      </c>
      <c r="E46">
        <v>7.7581017525662599</v>
      </c>
      <c r="F46">
        <v>0.77720411963156</v>
      </c>
      <c r="G46">
        <v>-151.31527912315508</v>
      </c>
      <c r="H46">
        <v>-103.73308161935954</v>
      </c>
      <c r="I46">
        <v>46.644972067734301</v>
      </c>
      <c r="J46">
        <v>21.860967555862299</v>
      </c>
      <c r="K46">
        <v>9.9820646296162803</v>
      </c>
      <c r="L46">
        <v>1.144868060628501E-3</v>
      </c>
      <c r="M46">
        <v>1.9755628416797376E-4</v>
      </c>
      <c r="N46" s="1">
        <v>7.7168003225143003E-6</v>
      </c>
      <c r="O46" s="1">
        <v>1.82048300858891E-6</v>
      </c>
      <c r="P46" s="1">
        <v>-6.2876983735971903E-6</v>
      </c>
    </row>
    <row r="47" spans="1:16" x14ac:dyDescent="0.2">
      <c r="A47">
        <v>46</v>
      </c>
      <c r="B47">
        <v>746</v>
      </c>
      <c r="C47">
        <v>250</v>
      </c>
      <c r="D47">
        <v>0.32134671049404001</v>
      </c>
      <c r="E47">
        <v>7.9631822026016597</v>
      </c>
      <c r="F47">
        <v>0.79103156451558998</v>
      </c>
      <c r="G47">
        <v>-154.66621470534415</v>
      </c>
      <c r="H47">
        <v>-106.6715861579184</v>
      </c>
      <c r="I47">
        <v>47.095427856162097</v>
      </c>
      <c r="J47">
        <v>22.135651869847202</v>
      </c>
      <c r="K47">
        <v>10.0668324246683</v>
      </c>
      <c r="L47">
        <v>1.1370068154491454E-3</v>
      </c>
      <c r="M47">
        <v>1.957161069127719E-4</v>
      </c>
      <c r="N47" s="1">
        <v>7.8029117473393593E-6</v>
      </c>
      <c r="O47" s="1">
        <v>1.81809533624905E-6</v>
      </c>
      <c r="P47" s="1">
        <v>-6.29970126742417E-6</v>
      </c>
    </row>
    <row r="48" spans="1:16" x14ac:dyDescent="0.2">
      <c r="A48">
        <v>47</v>
      </c>
      <c r="B48">
        <v>745</v>
      </c>
      <c r="C48">
        <v>250</v>
      </c>
      <c r="D48">
        <v>0.32061140303491598</v>
      </c>
      <c r="E48">
        <v>8.1673038510718108</v>
      </c>
      <c r="F48">
        <v>0.80457388913124706</v>
      </c>
      <c r="G48">
        <v>-158.00029295003219</v>
      </c>
      <c r="H48">
        <v>-109.59700973177755</v>
      </c>
      <c r="I48">
        <v>47.543059409474701</v>
      </c>
      <c r="J48">
        <v>22.409028077260501</v>
      </c>
      <c r="K48">
        <v>10.1510923501265</v>
      </c>
      <c r="L48">
        <v>1.1293089178675405E-3</v>
      </c>
      <c r="M48">
        <v>1.9391131243046137E-4</v>
      </c>
      <c r="N48" s="1">
        <v>7.8893311515477695E-6</v>
      </c>
      <c r="O48" s="1">
        <v>1.8156500152274401E-6</v>
      </c>
      <c r="P48" s="1">
        <v>-6.3115299617397098E-6</v>
      </c>
    </row>
    <row r="49" spans="1:16" x14ac:dyDescent="0.2">
      <c r="A49">
        <v>48</v>
      </c>
      <c r="B49">
        <v>744</v>
      </c>
      <c r="C49">
        <v>250</v>
      </c>
      <c r="D49">
        <v>0.31987464975667701</v>
      </c>
      <c r="E49">
        <v>8.37047416032763</v>
      </c>
      <c r="F49">
        <v>0.81784054928726302</v>
      </c>
      <c r="G49">
        <v>-161.31764541016082</v>
      </c>
      <c r="H49">
        <v>-112.5094545311658</v>
      </c>
      <c r="I49">
        <v>47.987887265706199</v>
      </c>
      <c r="J49">
        <v>22.6811054969751</v>
      </c>
      <c r="K49">
        <v>10.2348485503957</v>
      </c>
      <c r="L49">
        <v>1.1217688137842739E-3</v>
      </c>
      <c r="M49">
        <v>1.9214073189517149E-4</v>
      </c>
      <c r="N49" s="1">
        <v>7.9760536338734803E-6</v>
      </c>
      <c r="O49" s="1">
        <v>1.81314755305823E-6</v>
      </c>
      <c r="P49" s="1">
        <v>-6.3231841713744904E-6</v>
      </c>
    </row>
    <row r="50" spans="1:16" x14ac:dyDescent="0.2">
      <c r="A50">
        <v>49</v>
      </c>
      <c r="B50">
        <v>743</v>
      </c>
      <c r="C50">
        <v>250</v>
      </c>
      <c r="D50">
        <v>0.31913644639078897</v>
      </c>
      <c r="E50">
        <v>42.594657653884902</v>
      </c>
      <c r="F50">
        <v>1.59048391044163</v>
      </c>
      <c r="G50">
        <v>-721.85151421904266</v>
      </c>
      <c r="H50">
        <v>-588.29821870514354</v>
      </c>
      <c r="I50">
        <v>131.434516247603</v>
      </c>
      <c r="J50">
        <v>69.1603418219144</v>
      </c>
      <c r="K50">
        <v>26.780942186367401</v>
      </c>
      <c r="L50">
        <v>6.2908748045501124E-4</v>
      </c>
      <c r="M50">
        <v>1.0658379083222975E-4</v>
      </c>
      <c r="N50" s="1">
        <v>1.13084566837121E-5</v>
      </c>
      <c r="O50" s="1">
        <v>2.61271479870353E-6</v>
      </c>
      <c r="P50" s="1">
        <v>-9.1396354826269495E-6</v>
      </c>
    </row>
    <row r="51" spans="1:16" x14ac:dyDescent="0.2">
      <c r="A51">
        <v>50</v>
      </c>
      <c r="B51">
        <v>742</v>
      </c>
      <c r="C51">
        <v>250</v>
      </c>
      <c r="D51">
        <v>0.318396788651924</v>
      </c>
      <c r="E51">
        <v>89.005278541100694</v>
      </c>
      <c r="F51">
        <v>1.8137258572985999</v>
      </c>
      <c r="G51">
        <v>-1476.5885309305381</v>
      </c>
      <c r="H51">
        <v>-1228.7227933268803</v>
      </c>
      <c r="I51">
        <v>244.17203339210499</v>
      </c>
      <c r="J51">
        <v>131.978337685138</v>
      </c>
      <c r="K51">
        <v>49.073170668508297</v>
      </c>
      <c r="L51">
        <v>4.9037103645172019E-4</v>
      </c>
      <c r="M51">
        <v>8.2417771054584581E-5</v>
      </c>
      <c r="N51" s="1">
        <v>1.5825882250515701E-5</v>
      </c>
      <c r="O51" s="1">
        <v>3.6839289880608899E-6</v>
      </c>
      <c r="P51" s="1">
        <v>-1.29272058506136E-5</v>
      </c>
    </row>
    <row r="52" spans="1:16" x14ac:dyDescent="0.2">
      <c r="A52">
        <v>51</v>
      </c>
      <c r="B52">
        <v>741</v>
      </c>
      <c r="C52">
        <v>250</v>
      </c>
      <c r="D52">
        <v>0.31765567223783697</v>
      </c>
      <c r="E52">
        <v>98.384318441313297</v>
      </c>
      <c r="F52">
        <v>1.83711560244692</v>
      </c>
      <c r="G52">
        <v>-1628.9882786404598</v>
      </c>
      <c r="H52">
        <v>-1358.4008722092128</v>
      </c>
      <c r="I52">
        <v>266.81776263439599</v>
      </c>
      <c r="J52">
        <v>144.71196175367999</v>
      </c>
      <c r="K52">
        <v>53.553689441356603</v>
      </c>
      <c r="L52">
        <v>4.7625796641313263E-4</v>
      </c>
      <c r="M52">
        <v>7.9782552649596052E-5</v>
      </c>
      <c r="N52" s="1">
        <v>1.6839683049526099E-5</v>
      </c>
      <c r="O52" s="1">
        <v>3.8876812554522499E-6</v>
      </c>
      <c r="P52" s="1">
        <v>-1.36860582719472E-5</v>
      </c>
    </row>
    <row r="53" spans="1:16" x14ac:dyDescent="0.2">
      <c r="A53">
        <v>52</v>
      </c>
      <c r="B53">
        <v>740</v>
      </c>
      <c r="C53">
        <v>250</v>
      </c>
      <c r="D53">
        <v>0.31691309282929903</v>
      </c>
      <c r="E53">
        <v>101.695718695965</v>
      </c>
      <c r="F53">
        <v>1.8450635168040901</v>
      </c>
      <c r="G53">
        <v>-1682.6044677902066</v>
      </c>
      <c r="H53">
        <v>-1404.2887297584066</v>
      </c>
      <c r="I53">
        <v>274.70925375093998</v>
      </c>
      <c r="J53">
        <v>149.236809420957</v>
      </c>
      <c r="K53">
        <v>55.117733221518598</v>
      </c>
      <c r="L53">
        <v>4.7176193442831512E-4</v>
      </c>
      <c r="M53">
        <v>7.8809117503614746E-5</v>
      </c>
      <c r="N53" s="1">
        <v>1.72788231712367E-5</v>
      </c>
      <c r="O53" s="1">
        <v>3.9498572011354704E-6</v>
      </c>
      <c r="P53" s="1">
        <v>-1.3949806754443801E-5</v>
      </c>
    </row>
    <row r="54" spans="1:16" x14ac:dyDescent="0.2">
      <c r="A54">
        <v>53</v>
      </c>
      <c r="B54">
        <v>763</v>
      </c>
      <c r="C54">
        <v>225</v>
      </c>
      <c r="D54">
        <v>0.360170342131933</v>
      </c>
      <c r="E54">
        <v>4.9020798396410203</v>
      </c>
      <c r="F54">
        <v>0.48937938642464501</v>
      </c>
      <c r="G54">
        <v>-106.95200143443989</v>
      </c>
      <c r="H54">
        <v>-62.129197063960774</v>
      </c>
      <c r="I54">
        <v>43.261699214964501</v>
      </c>
      <c r="J54">
        <v>19.233889836629</v>
      </c>
      <c r="K54">
        <v>10.0169315987236</v>
      </c>
      <c r="L54">
        <v>1.3991225925674422E-3</v>
      </c>
      <c r="M54">
        <v>2.7853131249827378E-4</v>
      </c>
      <c r="N54" s="1">
        <v>6.8270003405472197E-6</v>
      </c>
      <c r="O54" s="1">
        <v>2.9739412455158198E-6</v>
      </c>
      <c r="P54" s="1">
        <v>-8.6059787681971803E-6</v>
      </c>
    </row>
    <row r="55" spans="1:16" x14ac:dyDescent="0.2">
      <c r="A55">
        <v>54</v>
      </c>
      <c r="B55">
        <v>762</v>
      </c>
      <c r="C55">
        <v>225</v>
      </c>
      <c r="D55">
        <v>0.35948461575617302</v>
      </c>
      <c r="E55">
        <v>5.0238809827356201</v>
      </c>
      <c r="F55">
        <v>0.49932414640566603</v>
      </c>
      <c r="G55">
        <v>-108.93348298739987</v>
      </c>
      <c r="H55">
        <v>-63.878901351723393</v>
      </c>
      <c r="I55">
        <v>43.527402372208002</v>
      </c>
      <c r="J55">
        <v>19.404266676866101</v>
      </c>
      <c r="K55">
        <v>10.0613619807884</v>
      </c>
      <c r="L55">
        <v>1.3940768336401963E-3</v>
      </c>
      <c r="M55">
        <v>2.7681201150950595E-4</v>
      </c>
      <c r="N55" s="1">
        <v>6.9297072798316997E-6</v>
      </c>
      <c r="O55" s="1">
        <v>2.9684961778337498E-6</v>
      </c>
      <c r="P55" s="1">
        <v>-8.6195723022605797E-6</v>
      </c>
    </row>
    <row r="56" spans="1:16" x14ac:dyDescent="0.2">
      <c r="A56">
        <v>55</v>
      </c>
      <c r="B56">
        <v>761</v>
      </c>
      <c r="C56">
        <v>225</v>
      </c>
      <c r="D56">
        <v>0.35879756321617101</v>
      </c>
      <c r="E56">
        <v>5.2364991096858402</v>
      </c>
      <c r="F56">
        <v>0.51599469647945495</v>
      </c>
      <c r="G56">
        <v>-112.420667515403</v>
      </c>
      <c r="H56">
        <v>-66.920263602736767</v>
      </c>
      <c r="I56">
        <v>44.000598456006401</v>
      </c>
      <c r="J56">
        <v>19.691502788926901</v>
      </c>
      <c r="K56">
        <v>10.1483583947927</v>
      </c>
      <c r="L56">
        <v>1.3844144351481942E-3</v>
      </c>
      <c r="M56">
        <v>2.7418860529080161E-4</v>
      </c>
      <c r="N56" s="1">
        <v>7.0389982706989501E-6</v>
      </c>
      <c r="O56" s="1">
        <v>2.96552758706036E-6</v>
      </c>
      <c r="P56" s="1">
        <v>-8.6404044790414201E-6</v>
      </c>
    </row>
    <row r="57" spans="1:16" x14ac:dyDescent="0.2">
      <c r="A57">
        <v>56</v>
      </c>
      <c r="B57">
        <v>760</v>
      </c>
      <c r="C57">
        <v>225</v>
      </c>
      <c r="D57">
        <v>0.35810918066108399</v>
      </c>
      <c r="E57">
        <v>5.4481045508750103</v>
      </c>
      <c r="F57">
        <v>0.53231128903206104</v>
      </c>
      <c r="G57">
        <v>-115.89003607020939</v>
      </c>
      <c r="H57">
        <v>-69.947805097868155</v>
      </c>
      <c r="I57">
        <v>44.4708435086484</v>
      </c>
      <c r="J57">
        <v>19.977387423542901</v>
      </c>
      <c r="K57">
        <v>10.2348093364348</v>
      </c>
      <c r="L57">
        <v>1.3749614388863496E-3</v>
      </c>
      <c r="M57">
        <v>2.7161723250234381E-4</v>
      </c>
      <c r="N57" s="1">
        <v>7.1489673252131004E-6</v>
      </c>
      <c r="O57" s="1">
        <v>2.9624653675754101E-6</v>
      </c>
      <c r="P57" s="1">
        <v>-8.6610352693357601E-6</v>
      </c>
    </row>
    <row r="58" spans="1:16" x14ac:dyDescent="0.2">
      <c r="A58">
        <v>57</v>
      </c>
      <c r="B58">
        <v>759</v>
      </c>
      <c r="C58">
        <v>225</v>
      </c>
      <c r="D58">
        <v>0.35741946422516302</v>
      </c>
      <c r="E58">
        <v>5.6587052529057997</v>
      </c>
      <c r="F58">
        <v>0.54828593580329699</v>
      </c>
      <c r="G58">
        <v>-119.34172895254247</v>
      </c>
      <c r="H58">
        <v>-72.961634668616995</v>
      </c>
      <c r="I58">
        <v>44.938159442062499</v>
      </c>
      <c r="J58">
        <v>20.261930409565998</v>
      </c>
      <c r="K58">
        <v>10.320719324334201</v>
      </c>
      <c r="L58">
        <v>1.3657105456017255E-3</v>
      </c>
      <c r="M58">
        <v>2.6909612438241103E-4</v>
      </c>
      <c r="N58" s="1">
        <v>7.2596095336439903E-6</v>
      </c>
      <c r="O58" s="1">
        <v>2.9593101102092301E-6</v>
      </c>
      <c r="P58" s="1">
        <v>-8.6814635686997998E-6</v>
      </c>
    </row>
    <row r="59" spans="1:16" x14ac:dyDescent="0.2">
      <c r="A59">
        <v>58</v>
      </c>
      <c r="B59">
        <v>758</v>
      </c>
      <c r="C59">
        <v>225</v>
      </c>
      <c r="D59">
        <v>0.356728410027642</v>
      </c>
      <c r="E59">
        <v>5.8683090799876796</v>
      </c>
      <c r="F59">
        <v>0.56393011041112995</v>
      </c>
      <c r="G59">
        <v>-122.77588501065073</v>
      </c>
      <c r="H59">
        <v>-75.96186001719181</v>
      </c>
      <c r="I59">
        <v>45.402567939753702</v>
      </c>
      <c r="J59">
        <v>20.545141463571799</v>
      </c>
      <c r="K59">
        <v>10.406092832513201</v>
      </c>
      <c r="L59">
        <v>1.3566547822077644E-3</v>
      </c>
      <c r="M59">
        <v>2.6662359165580563E-4</v>
      </c>
      <c r="N59" s="1">
        <v>7.3709198662448203E-6</v>
      </c>
      <c r="O59" s="1">
        <v>2.9560624051981899E-6</v>
      </c>
      <c r="P59" s="1">
        <v>-8.7016882669138804E-6</v>
      </c>
    </row>
    <row r="60" spans="1:16" x14ac:dyDescent="0.2">
      <c r="A60">
        <v>59</v>
      </c>
      <c r="B60">
        <v>757</v>
      </c>
      <c r="C60">
        <v>225</v>
      </c>
      <c r="D60">
        <v>0.35603601417269398</v>
      </c>
      <c r="E60">
        <v>6.0769238125547203</v>
      </c>
      <c r="F60">
        <v>0.57925477794407398</v>
      </c>
      <c r="G60">
        <v>-126.1926416189451</v>
      </c>
      <c r="H60">
        <v>-78.948587696160757</v>
      </c>
      <c r="I60">
        <v>45.864090454711302</v>
      </c>
      <c r="J60">
        <v>20.827030188371101</v>
      </c>
      <c r="K60">
        <v>10.4909342899566</v>
      </c>
      <c r="L60">
        <v>1.3477874838789582E-3</v>
      </c>
      <c r="M60">
        <v>2.6419802016288649E-4</v>
      </c>
      <c r="N60" s="1">
        <v>7.4828931729536102E-6</v>
      </c>
      <c r="O60" s="1">
        <v>2.95272284227147E-6</v>
      </c>
      <c r="P60" s="1">
        <v>-8.7217082483587508E-6</v>
      </c>
    </row>
    <row r="61" spans="1:16" x14ac:dyDescent="0.2">
      <c r="A61">
        <v>60</v>
      </c>
      <c r="B61">
        <v>756</v>
      </c>
      <c r="C61">
        <v>225</v>
      </c>
      <c r="D61">
        <v>0.35534227274935698</v>
      </c>
      <c r="E61">
        <v>6.2845571509427902</v>
      </c>
      <c r="F61">
        <v>0.59427042297292099</v>
      </c>
      <c r="G61">
        <v>-129.59213473987626</v>
      </c>
      <c r="H61">
        <v>-81.921923160249889</v>
      </c>
      <c r="I61">
        <v>46.322748218082403</v>
      </c>
      <c r="J61">
        <v>21.1076060777281</v>
      </c>
      <c r="K61">
        <v>10.5752480823518</v>
      </c>
      <c r="L61">
        <v>1.3391022770739486E-3</v>
      </c>
      <c r="M61">
        <v>2.6181786672702486E-4</v>
      </c>
      <c r="N61" s="1">
        <v>7.5955241833215901E-6</v>
      </c>
      <c r="O61" s="1">
        <v>2.94929201080811E-6</v>
      </c>
      <c r="P61" s="1">
        <v>-8.7415223926087405E-6</v>
      </c>
    </row>
    <row r="62" spans="1:16" x14ac:dyDescent="0.2">
      <c r="A62">
        <v>61</v>
      </c>
      <c r="B62">
        <v>755</v>
      </c>
      <c r="C62">
        <v>225</v>
      </c>
      <c r="D62">
        <v>0.354647181831445</v>
      </c>
      <c r="E62">
        <v>6.4912167150637599</v>
      </c>
      <c r="F62">
        <v>0.60898707545838004</v>
      </c>
      <c r="G62">
        <v>-132.97449892003885</v>
      </c>
      <c r="H62">
        <v>-84.88197076104089</v>
      </c>
      <c r="I62">
        <v>46.7785622394615</v>
      </c>
      <c r="J62">
        <v>21.386878516228698</v>
      </c>
      <c r="K62">
        <v>10.659038552136501</v>
      </c>
      <c r="L62">
        <v>1.330593063856247E-3</v>
      </c>
      <c r="M62">
        <v>2.5948165532864827E-4</v>
      </c>
      <c r="N62" s="1">
        <v>7.7088075063736708E-6</v>
      </c>
      <c r="O62" s="1">
        <v>2.94577049994961E-6</v>
      </c>
      <c r="P62" s="1">
        <v>-8.7611295749034494E-6</v>
      </c>
    </row>
    <row r="63" spans="1:16" x14ac:dyDescent="0.2">
      <c r="A63">
        <v>62</v>
      </c>
      <c r="B63">
        <v>754</v>
      </c>
      <c r="C63">
        <v>225</v>
      </c>
      <c r="D63">
        <v>0.35395073747748601</v>
      </c>
      <c r="E63">
        <v>6.6969100444560796</v>
      </c>
      <c r="F63">
        <v>0.62341433504127597</v>
      </c>
      <c r="G63">
        <v>-136.33986729141782</v>
      </c>
      <c r="H63">
        <v>-87.828833747340582</v>
      </c>
      <c r="I63">
        <v>47.231553306665198</v>
      </c>
      <c r="J63">
        <v>21.6648567790808</v>
      </c>
      <c r="K63">
        <v>10.742309998393999</v>
      </c>
      <c r="L63">
        <v>1.3222540071902542E-3</v>
      </c>
      <c r="M63">
        <v>2.5718797351859097E-4</v>
      </c>
      <c r="N63" s="1">
        <v>7.8227376302267007E-6</v>
      </c>
      <c r="O63" s="1">
        <v>2.9421588986004101E-6</v>
      </c>
      <c r="P63" s="1">
        <v>-8.7805286662946697E-6</v>
      </c>
    </row>
    <row r="64" spans="1:16" x14ac:dyDescent="0.2">
      <c r="A64">
        <v>63</v>
      </c>
      <c r="B64">
        <v>753</v>
      </c>
      <c r="C64">
        <v>225</v>
      </c>
      <c r="D64">
        <v>0.35325293573064698</v>
      </c>
      <c r="E64">
        <v>6.9016446028306797</v>
      </c>
      <c r="F64">
        <v>0.63756139406154699</v>
      </c>
      <c r="G64">
        <v>-139.68837164843305</v>
      </c>
      <c r="H64">
        <v>-90.762614329130386</v>
      </c>
      <c r="I64">
        <v>47.681741997413198</v>
      </c>
      <c r="J64">
        <v>21.941550038373801</v>
      </c>
      <c r="K64">
        <v>10.825066679248099</v>
      </c>
      <c r="L64">
        <v>1.3140795169850434E-3</v>
      </c>
      <c r="M64">
        <v>2.5493546902315823E-4</v>
      </c>
      <c r="N64" s="1">
        <v>7.9373089224322707E-6</v>
      </c>
      <c r="O64" s="1">
        <v>2.9384577956961402E-6</v>
      </c>
      <c r="P64" s="1">
        <v>-8.7997185345971594E-6</v>
      </c>
    </row>
    <row r="65" spans="1:16" x14ac:dyDescent="0.2">
      <c r="A65">
        <v>64</v>
      </c>
      <c r="B65">
        <v>752</v>
      </c>
      <c r="C65">
        <v>225</v>
      </c>
      <c r="D65">
        <v>0.35255377261864101</v>
      </c>
      <c r="E65">
        <v>7.1054277740541698</v>
      </c>
      <c r="F65">
        <v>0.65143705859610701</v>
      </c>
      <c r="G65">
        <v>-143.02014238183756</v>
      </c>
      <c r="H65">
        <v>-93.683413620061685</v>
      </c>
      <c r="I65">
        <v>48.129148669917598</v>
      </c>
      <c r="J65">
        <v>22.216967357691701</v>
      </c>
      <c r="K65">
        <v>10.9073128098773</v>
      </c>
      <c r="L65">
        <v>1.306064237382856E-3</v>
      </c>
      <c r="M65">
        <v>2.5272284663377365E-4</v>
      </c>
      <c r="N65" s="1">
        <v>8.0525156294190706E-6</v>
      </c>
      <c r="O65" s="1">
        <v>2.9346677801012298E-6</v>
      </c>
      <c r="P65" s="1">
        <v>-8.8186980442461504E-6</v>
      </c>
    </row>
    <row r="66" spans="1:16" x14ac:dyDescent="0.2">
      <c r="A66">
        <v>65</v>
      </c>
      <c r="B66">
        <v>751</v>
      </c>
      <c r="C66">
        <v>225</v>
      </c>
      <c r="D66">
        <v>0.35185324415369101</v>
      </c>
      <c r="E66">
        <v>7.3693791332723597</v>
      </c>
      <c r="F66">
        <v>0.66875011407223195</v>
      </c>
      <c r="G66">
        <v>-147.34987212147257</v>
      </c>
      <c r="H66">
        <v>-97.448761364197452</v>
      </c>
      <c r="I66">
        <v>48.7272243935384</v>
      </c>
      <c r="J66">
        <v>22.576000755574999</v>
      </c>
      <c r="K66">
        <v>11.019630469141701</v>
      </c>
      <c r="L66">
        <v>1.2957125231477724E-3</v>
      </c>
      <c r="M66">
        <v>2.5006312245973183E-4</v>
      </c>
      <c r="N66" s="1">
        <v>8.1744340577644102E-6</v>
      </c>
      <c r="O66" s="1">
        <v>2.9332094057879099E-6</v>
      </c>
      <c r="P66" s="1">
        <v>-8.8447605217504295E-6</v>
      </c>
    </row>
    <row r="67" spans="1:16" x14ac:dyDescent="0.2">
      <c r="A67">
        <v>66</v>
      </c>
      <c r="B67">
        <v>750</v>
      </c>
      <c r="C67">
        <v>225</v>
      </c>
      <c r="D67">
        <v>0.35115134633240402</v>
      </c>
      <c r="E67">
        <v>9.7578720749307308</v>
      </c>
      <c r="F67">
        <v>0.80022398924309401</v>
      </c>
      <c r="G67">
        <v>-186.92612132619001</v>
      </c>
      <c r="H67">
        <v>-131.01127983343309</v>
      </c>
      <c r="I67">
        <v>54.652600151459197</v>
      </c>
      <c r="J67">
        <v>25.884985546510201</v>
      </c>
      <c r="K67">
        <v>12.1939259583562</v>
      </c>
      <c r="L67">
        <v>1.2083743039614573E-3</v>
      </c>
      <c r="M67">
        <v>2.3243557355469234E-4</v>
      </c>
      <c r="N67" s="1">
        <v>8.5098306170623804E-6</v>
      </c>
      <c r="O67" s="1">
        <v>3.01517310192887E-6</v>
      </c>
      <c r="P67" s="1">
        <v>-9.1232509624947792E-6</v>
      </c>
    </row>
    <row r="68" spans="1:16" x14ac:dyDescent="0.2">
      <c r="A68">
        <v>67</v>
      </c>
      <c r="B68">
        <v>749</v>
      </c>
      <c r="C68">
        <v>225</v>
      </c>
      <c r="D68">
        <v>0.350448075135744</v>
      </c>
      <c r="E68">
        <v>12.373109363066</v>
      </c>
      <c r="F68">
        <v>0.91797564086855099</v>
      </c>
      <c r="G68">
        <v>-230.20353965405187</v>
      </c>
      <c r="H68">
        <v>-167.72366528810065</v>
      </c>
      <c r="I68">
        <v>61.128932808810802</v>
      </c>
      <c r="J68">
        <v>29.504381372556299</v>
      </c>
      <c r="K68">
        <v>13.4786902965738</v>
      </c>
      <c r="L68">
        <v>1.1300004914287741E-3</v>
      </c>
      <c r="M68">
        <v>2.1663229581308222E-4</v>
      </c>
      <c r="N68" s="1">
        <v>8.8704786448474896E-6</v>
      </c>
      <c r="O68" s="1">
        <v>3.1043109881751102E-6</v>
      </c>
      <c r="P68" s="1">
        <v>-9.4253607608264606E-6</v>
      </c>
    </row>
    <row r="69" spans="1:16" x14ac:dyDescent="0.2">
      <c r="A69">
        <v>68</v>
      </c>
      <c r="B69">
        <v>748</v>
      </c>
      <c r="C69">
        <v>225</v>
      </c>
      <c r="D69">
        <v>0.34974342652891699</v>
      </c>
      <c r="E69">
        <v>32.1983761467961</v>
      </c>
      <c r="F69">
        <v>1.3948303469466199</v>
      </c>
      <c r="G69">
        <v>-554.74834490050807</v>
      </c>
      <c r="H69">
        <v>-443.38910349482745</v>
      </c>
      <c r="I69">
        <v>109.05640769714999</v>
      </c>
      <c r="J69">
        <v>56.190941859342097</v>
      </c>
      <c r="K69">
        <v>23.084080596095799</v>
      </c>
      <c r="L69">
        <v>8.0419219866259702E-4</v>
      </c>
      <c r="M69">
        <v>1.5309978349102677E-4</v>
      </c>
      <c r="N69" s="1">
        <v>1.0726060128104E-5</v>
      </c>
      <c r="O69" s="1">
        <v>3.7451366880714701E-6</v>
      </c>
      <c r="P69" s="1">
        <v>-1.14097890098448E-5</v>
      </c>
    </row>
    <row r="70" spans="1:16" x14ac:dyDescent="0.2">
      <c r="A70">
        <v>69</v>
      </c>
      <c r="B70">
        <v>747</v>
      </c>
      <c r="C70">
        <v>225</v>
      </c>
      <c r="D70">
        <v>0.34903739646130499</v>
      </c>
      <c r="E70">
        <v>67.870602740334903</v>
      </c>
      <c r="F70">
        <v>1.6840221970357201</v>
      </c>
      <c r="G70">
        <v>-1135.6805184235589</v>
      </c>
      <c r="H70">
        <v>-936.63307435549302</v>
      </c>
      <c r="I70">
        <v>195.12063100899999</v>
      </c>
      <c r="J70">
        <v>104.10568890289299</v>
      </c>
      <c r="K70">
        <v>40.302677042976597</v>
      </c>
      <c r="L70">
        <v>6.0917976217546039E-4</v>
      </c>
      <c r="M70">
        <v>1.1510586915905574E-4</v>
      </c>
      <c r="N70" s="1">
        <v>1.40280805186884E-5</v>
      </c>
      <c r="O70" s="1">
        <v>4.8981006457816499E-6</v>
      </c>
      <c r="P70" s="1">
        <v>-1.49731174832326E-5</v>
      </c>
    </row>
    <row r="71" spans="1:16" x14ac:dyDescent="0.2">
      <c r="A71">
        <v>70</v>
      </c>
      <c r="B71">
        <v>746</v>
      </c>
      <c r="C71">
        <v>225</v>
      </c>
      <c r="D71">
        <v>0.34832998086640898</v>
      </c>
      <c r="E71">
        <v>92.208606519137106</v>
      </c>
      <c r="F71">
        <v>1.77282606789452</v>
      </c>
      <c r="G71">
        <v>-1531.4794904946316</v>
      </c>
      <c r="H71">
        <v>-1272.9256448886874</v>
      </c>
      <c r="I71">
        <v>253.701125115953</v>
      </c>
      <c r="J71">
        <v>136.80428193087499</v>
      </c>
      <c r="K71">
        <v>52.012212697575897</v>
      </c>
      <c r="L71">
        <v>5.5023583704180343E-4</v>
      </c>
      <c r="M71">
        <v>1.0346512715754025E-4</v>
      </c>
      <c r="N71" s="1">
        <v>1.6369073807599601E-5</v>
      </c>
      <c r="O71" s="1">
        <v>5.6721065129619196E-6</v>
      </c>
      <c r="P71" s="1">
        <v>-1.7398804010768101E-5</v>
      </c>
    </row>
    <row r="72" spans="1:16" x14ac:dyDescent="0.2">
      <c r="A72">
        <v>71</v>
      </c>
      <c r="B72">
        <v>745</v>
      </c>
      <c r="C72">
        <v>225</v>
      </c>
      <c r="D72">
        <v>0.347621175661739</v>
      </c>
      <c r="E72">
        <v>99.221873136103994</v>
      </c>
      <c r="F72">
        <v>1.79228254034755</v>
      </c>
      <c r="G72">
        <v>-1645.3388464763616</v>
      </c>
      <c r="H72">
        <v>-1369.9826799907207</v>
      </c>
      <c r="I72">
        <v>270.45332114625398</v>
      </c>
      <c r="J72">
        <v>146.254865758855</v>
      </c>
      <c r="K72">
        <v>55.360620271881302</v>
      </c>
      <c r="L72">
        <v>5.3782123978603669E-4</v>
      </c>
      <c r="M72">
        <v>1.0080872979062324E-4</v>
      </c>
      <c r="N72" s="1">
        <v>1.7179282108347499E-5</v>
      </c>
      <c r="O72" s="1">
        <v>5.8789701923569696E-6</v>
      </c>
      <c r="P72" s="1">
        <v>-1.8095778839596002E-5</v>
      </c>
    </row>
    <row r="73" spans="1:16" x14ac:dyDescent="0.2">
      <c r="A73">
        <v>72</v>
      </c>
      <c r="B73">
        <v>764</v>
      </c>
      <c r="C73">
        <v>200</v>
      </c>
      <c r="D73">
        <v>0.38736971508460899</v>
      </c>
      <c r="E73">
        <v>5.3043750625850503</v>
      </c>
      <c r="F73">
        <v>0.45228805448552301</v>
      </c>
      <c r="G73">
        <v>-116.05772495726906</v>
      </c>
      <c r="H73">
        <v>-67.062324542560006</v>
      </c>
      <c r="I73">
        <v>47.243345614275398</v>
      </c>
      <c r="J73">
        <v>20.973127997363399</v>
      </c>
      <c r="K73">
        <v>11.727869020592999</v>
      </c>
      <c r="L73">
        <v>1.5221493354871563E-3</v>
      </c>
      <c r="M73">
        <v>3.4394199512921059E-4</v>
      </c>
      <c r="N73" s="1">
        <v>5.7522617140399501E-6</v>
      </c>
      <c r="O73" s="1">
        <v>4.9727356842263197E-6</v>
      </c>
      <c r="P73" s="1">
        <v>-1.2287636347063701E-5</v>
      </c>
    </row>
    <row r="74" spans="1:16" x14ac:dyDescent="0.2">
      <c r="A74">
        <v>73</v>
      </c>
      <c r="B74">
        <v>763</v>
      </c>
      <c r="C74">
        <v>200</v>
      </c>
      <c r="D74">
        <v>0.38671090093133698</v>
      </c>
      <c r="E74">
        <v>5.3640992962344098</v>
      </c>
      <c r="F74">
        <v>0.45692956815903601</v>
      </c>
      <c r="G74">
        <v>-117.0048877825522</v>
      </c>
      <c r="H74">
        <v>-67.932002199888203</v>
      </c>
      <c r="I74">
        <v>47.3637243069196</v>
      </c>
      <c r="J74">
        <v>21.066771577313698</v>
      </c>
      <c r="K74">
        <v>11.7394444790392</v>
      </c>
      <c r="L74">
        <v>1.5210887164539054E-3</v>
      </c>
      <c r="M74">
        <v>3.4276895661003058E-4</v>
      </c>
      <c r="N74" s="1">
        <v>5.8881541205118902E-6</v>
      </c>
      <c r="O74" s="1">
        <v>4.9617865638616004E-6</v>
      </c>
      <c r="P74" s="1">
        <v>-1.2305603022761801E-5</v>
      </c>
    </row>
    <row r="75" spans="1:16" x14ac:dyDescent="0.2">
      <c r="A75">
        <v>74</v>
      </c>
      <c r="B75">
        <v>762</v>
      </c>
      <c r="C75">
        <v>200</v>
      </c>
      <c r="D75">
        <v>0.38605081389170998</v>
      </c>
      <c r="E75">
        <v>5.5689366951418302</v>
      </c>
      <c r="F75">
        <v>0.47116025251926102</v>
      </c>
      <c r="G75">
        <v>-120.35888185490722</v>
      </c>
      <c r="H75">
        <v>-70.866733528666984</v>
      </c>
      <c r="I75">
        <v>47.814511128044103</v>
      </c>
      <c r="J75">
        <v>21.346508745790899</v>
      </c>
      <c r="K75">
        <v>11.8196232924256</v>
      </c>
      <c r="L75">
        <v>1.513006305013461E-3</v>
      </c>
      <c r="M75">
        <v>3.4002596440272373E-4</v>
      </c>
      <c r="N75" s="1">
        <v>6.0322665824274297E-6</v>
      </c>
      <c r="O75" s="1">
        <v>4.9567085559838001E-6</v>
      </c>
      <c r="P75" s="1">
        <v>-1.2338217103783199E-5</v>
      </c>
    </row>
    <row r="76" spans="1:16" x14ac:dyDescent="0.2">
      <c r="A76">
        <v>75</v>
      </c>
      <c r="B76">
        <v>761</v>
      </c>
      <c r="C76">
        <v>200</v>
      </c>
      <c r="D76">
        <v>0.38538945027317301</v>
      </c>
      <c r="E76">
        <v>5.7728298512451302</v>
      </c>
      <c r="F76">
        <v>0.48514096869983198</v>
      </c>
      <c r="G76">
        <v>-123.69625198716095</v>
      </c>
      <c r="H76">
        <v>-73.788584268942316</v>
      </c>
      <c r="I76">
        <v>48.262549986132903</v>
      </c>
      <c r="J76">
        <v>21.625011873490799</v>
      </c>
      <c r="K76">
        <v>11.8992833499842</v>
      </c>
      <c r="L76">
        <v>1.5050715042828368E-3</v>
      </c>
      <c r="M76">
        <v>3.3732689010130981E-4</v>
      </c>
      <c r="N76" s="1">
        <v>6.1776427980830596E-6</v>
      </c>
      <c r="O76" s="1">
        <v>4.9514908077307499E-6</v>
      </c>
      <c r="P76" s="1">
        <v>-1.23706222358609E-5</v>
      </c>
    </row>
    <row r="77" spans="1:16" x14ac:dyDescent="0.2">
      <c r="A77">
        <v>76</v>
      </c>
      <c r="B77">
        <v>760</v>
      </c>
      <c r="C77">
        <v>200</v>
      </c>
      <c r="D77">
        <v>0.38472680636887402</v>
      </c>
      <c r="E77">
        <v>5.97578595399583</v>
      </c>
      <c r="F77">
        <v>0.498878944300919</v>
      </c>
      <c r="G77">
        <v>-127.0171253264066</v>
      </c>
      <c r="H77">
        <v>-76.697652887369628</v>
      </c>
      <c r="I77">
        <v>48.707860662227297</v>
      </c>
      <c r="J77">
        <v>21.902289582211999</v>
      </c>
      <c r="K77">
        <v>11.9784288799154</v>
      </c>
      <c r="L77">
        <v>1.4972798084876922E-3</v>
      </c>
      <c r="M77">
        <v>3.3467044966946884E-4</v>
      </c>
      <c r="N77" s="1">
        <v>6.3242798467591199E-6</v>
      </c>
      <c r="O77" s="1">
        <v>4.9461338244879696E-6</v>
      </c>
      <c r="P77" s="1">
        <v>-1.24028159176805E-5</v>
      </c>
    </row>
    <row r="78" spans="1:16" x14ac:dyDescent="0.2">
      <c r="A78">
        <v>77</v>
      </c>
      <c r="B78">
        <v>759</v>
      </c>
      <c r="C78">
        <v>200</v>
      </c>
      <c r="D78">
        <v>0.38406287845759102</v>
      </c>
      <c r="E78">
        <v>6.1778121169508902</v>
      </c>
      <c r="F78">
        <v>0.51238113037275501</v>
      </c>
      <c r="G78">
        <v>-130.32162768434134</v>
      </c>
      <c r="H78">
        <v>-79.594036808204137</v>
      </c>
      <c r="I78">
        <v>49.150462730156498</v>
      </c>
      <c r="J78">
        <v>22.1783503868838</v>
      </c>
      <c r="K78">
        <v>12.0570640695853</v>
      </c>
      <c r="L78">
        <v>1.4896268825086462E-3</v>
      </c>
      <c r="M78">
        <v>3.32055408466083E-4</v>
      </c>
      <c r="N78" s="1">
        <v>6.4721745775402097E-6</v>
      </c>
      <c r="O78" s="1">
        <v>4.9406381118411897E-6</v>
      </c>
      <c r="P78" s="1">
        <v>-1.2434795620231E-5</v>
      </c>
    </row>
    <row r="79" spans="1:16" x14ac:dyDescent="0.2">
      <c r="A79">
        <v>78</v>
      </c>
      <c r="B79">
        <v>758</v>
      </c>
      <c r="C79">
        <v>200</v>
      </c>
      <c r="D79">
        <v>0.383397662803666</v>
      </c>
      <c r="E79">
        <v>6.3789153838619503</v>
      </c>
      <c r="F79">
        <v>0.52565421478714303</v>
      </c>
      <c r="G79">
        <v>-133.6098836401647</v>
      </c>
      <c r="H79">
        <v>-82.477832499184387</v>
      </c>
      <c r="I79">
        <v>49.590375572034198</v>
      </c>
      <c r="J79">
        <v>22.453202703920901</v>
      </c>
      <c r="K79">
        <v>12.135193068783799</v>
      </c>
      <c r="L79">
        <v>1.4821085536120763E-3</v>
      </c>
      <c r="M79">
        <v>3.294805788673437E-4</v>
      </c>
      <c r="N79" s="1">
        <v>6.6213236071478803E-6</v>
      </c>
      <c r="O79" s="1">
        <v>4.9350041761713303E-6</v>
      </c>
      <c r="P79" s="1">
        <v>-1.2466558788291501E-5</v>
      </c>
    </row>
    <row r="80" spans="1:16" x14ac:dyDescent="0.2">
      <c r="A80">
        <v>79</v>
      </c>
      <c r="B80">
        <v>757</v>
      </c>
      <c r="C80">
        <v>200</v>
      </c>
      <c r="D80">
        <v>0.38273115565694399</v>
      </c>
      <c r="E80">
        <v>6.8506398017460501</v>
      </c>
      <c r="F80">
        <v>0.55472136521226301</v>
      </c>
      <c r="G80">
        <v>-141.39118802130523</v>
      </c>
      <c r="H80">
        <v>-89.161632993240232</v>
      </c>
      <c r="I80">
        <v>50.703911887999503</v>
      </c>
      <c r="J80">
        <v>23.100320946362501</v>
      </c>
      <c r="K80">
        <v>12.3496952368594</v>
      </c>
      <c r="L80">
        <v>1.4631995065275717E-3</v>
      </c>
      <c r="M80">
        <v>3.2436630823212334E-4</v>
      </c>
      <c r="N80" s="1">
        <v>6.7909563395121601E-6</v>
      </c>
      <c r="O80" s="1">
        <v>4.9449697560088101E-6</v>
      </c>
      <c r="P80" s="1">
        <v>-1.2537994748903401E-5</v>
      </c>
    </row>
    <row r="81" spans="1:16" x14ac:dyDescent="0.2">
      <c r="A81">
        <v>80</v>
      </c>
      <c r="B81">
        <v>756</v>
      </c>
      <c r="C81">
        <v>200</v>
      </c>
      <c r="D81">
        <v>0.38206335325268598</v>
      </c>
      <c r="E81">
        <v>9.1456953408206498</v>
      </c>
      <c r="F81">
        <v>0.67834843689371405</v>
      </c>
      <c r="G81">
        <v>-179.42877494683259</v>
      </c>
      <c r="H81">
        <v>-121.43631272278485</v>
      </c>
      <c r="I81">
        <v>56.352934707339401</v>
      </c>
      <c r="J81">
        <v>26.254728869970801</v>
      </c>
      <c r="K81">
        <v>13.4822973613686</v>
      </c>
      <c r="L81">
        <v>1.3760778690704173E-3</v>
      </c>
      <c r="M81">
        <v>3.0404861695258024E-4</v>
      </c>
      <c r="N81" s="1">
        <v>7.0937191507265999E-6</v>
      </c>
      <c r="O81" s="1">
        <v>5.0596974770267003E-6</v>
      </c>
      <c r="P81" s="1">
        <v>-1.28763958492617E-5</v>
      </c>
    </row>
    <row r="82" spans="1:16" x14ac:dyDescent="0.2">
      <c r="A82">
        <v>81</v>
      </c>
      <c r="B82">
        <v>755</v>
      </c>
      <c r="C82">
        <v>200</v>
      </c>
      <c r="D82">
        <v>0.38139425181150599</v>
      </c>
      <c r="E82">
        <v>11.591779189366401</v>
      </c>
      <c r="F82">
        <v>0.78916346615896904</v>
      </c>
      <c r="G82">
        <v>-219.92605878481379</v>
      </c>
      <c r="H82">
        <v>-155.80870888100893</v>
      </c>
      <c r="I82">
        <v>62.365020593895899</v>
      </c>
      <c r="J82">
        <v>29.6145272843792</v>
      </c>
      <c r="K82">
        <v>14.688692123301299</v>
      </c>
      <c r="L82">
        <v>1.2978734078643358E-3</v>
      </c>
      <c r="M82">
        <v>2.858189641643224E-4</v>
      </c>
      <c r="N82" s="1">
        <v>7.4132000898705604E-6</v>
      </c>
      <c r="O82" s="1">
        <v>5.1812215411694698E-6</v>
      </c>
      <c r="P82" s="1">
        <v>-1.3234554667123499E-5</v>
      </c>
    </row>
    <row r="83" spans="1:16" x14ac:dyDescent="0.2">
      <c r="A83">
        <v>82</v>
      </c>
      <c r="B83">
        <v>754</v>
      </c>
      <c r="C83">
        <v>200</v>
      </c>
      <c r="D83">
        <v>0.38072384753930699</v>
      </c>
      <c r="E83">
        <v>14.293259872944899</v>
      </c>
      <c r="F83">
        <v>0.89221744930050195</v>
      </c>
      <c r="G83">
        <v>-264.59038123110696</v>
      </c>
      <c r="H83">
        <v>-193.72894031425002</v>
      </c>
      <c r="I83">
        <v>68.991656883177299</v>
      </c>
      <c r="J83">
        <v>33.319460421780903</v>
      </c>
      <c r="K83">
        <v>16.019928644245599</v>
      </c>
      <c r="L83">
        <v>1.2249463445588216E-3</v>
      </c>
      <c r="M83">
        <v>2.6885402866023397E-4</v>
      </c>
      <c r="N83" s="1">
        <v>7.7567079825821007E-6</v>
      </c>
      <c r="O83" s="1">
        <v>5.3145285214745698E-6</v>
      </c>
      <c r="P83" s="1">
        <v>-1.36254634977196E-5</v>
      </c>
    </row>
    <row r="84" spans="1:16" x14ac:dyDescent="0.2">
      <c r="A84">
        <v>83</v>
      </c>
      <c r="B84">
        <v>753</v>
      </c>
      <c r="C84">
        <v>200</v>
      </c>
      <c r="D84">
        <v>0.380052136627202</v>
      </c>
      <c r="E84">
        <v>28.9637168731863</v>
      </c>
      <c r="F84">
        <v>1.24962654299853</v>
      </c>
      <c r="G84">
        <v>-504.88659565089858</v>
      </c>
      <c r="H84">
        <v>-397.89292923326616</v>
      </c>
      <c r="I84">
        <v>104.270773728458</v>
      </c>
      <c r="J84">
        <v>52.947661033059603</v>
      </c>
      <c r="K84">
        <v>23.177898257255801</v>
      </c>
      <c r="L84">
        <v>9.642870741594379E-4</v>
      </c>
      <c r="M84">
        <v>2.1047082200495096E-4</v>
      </c>
      <c r="N84" s="1">
        <v>8.8871438616365298E-6</v>
      </c>
      <c r="O84" s="1">
        <v>6.0104589005422797E-6</v>
      </c>
      <c r="P84" s="1">
        <v>-1.5466688630719899E-5</v>
      </c>
    </row>
    <row r="85" spans="1:16" x14ac:dyDescent="0.2">
      <c r="A85">
        <v>84</v>
      </c>
      <c r="B85">
        <v>752</v>
      </c>
      <c r="C85">
        <v>200</v>
      </c>
      <c r="D85">
        <v>0.37937911525142798</v>
      </c>
      <c r="E85">
        <v>59.533897887767303</v>
      </c>
      <c r="F85">
        <v>1.5652761338808601</v>
      </c>
      <c r="G85">
        <v>-1003.1464691800048</v>
      </c>
      <c r="H85">
        <v>-821.14189299429711</v>
      </c>
      <c r="I85">
        <v>177.544055923119</v>
      </c>
      <c r="J85">
        <v>93.699813264632795</v>
      </c>
      <c r="K85">
        <v>38.0341184530565</v>
      </c>
      <c r="L85">
        <v>7.3557778705964538E-4</v>
      </c>
      <c r="M85">
        <v>1.5945483232759769E-4</v>
      </c>
      <c r="N85" s="1">
        <v>1.11180932810357E-5</v>
      </c>
      <c r="O85" s="1">
        <v>7.4552595984304297E-6</v>
      </c>
      <c r="P85" s="1">
        <v>-1.92553961606953E-5</v>
      </c>
    </row>
    <row r="86" spans="1:16" x14ac:dyDescent="0.2">
      <c r="A86">
        <v>85</v>
      </c>
      <c r="B86">
        <v>751</v>
      </c>
      <c r="C86">
        <v>200</v>
      </c>
      <c r="D86">
        <v>0.378704779573308</v>
      </c>
      <c r="E86">
        <v>86.675372208144296</v>
      </c>
      <c r="F86">
        <v>1.6935963314760001</v>
      </c>
      <c r="G86">
        <v>-1444.4960664993505</v>
      </c>
      <c r="H86">
        <v>-1196.2022083808638</v>
      </c>
      <c r="I86">
        <v>242.44435794702801</v>
      </c>
      <c r="J86">
        <v>129.855929691808</v>
      </c>
      <c r="K86">
        <v>51.178294731309897</v>
      </c>
      <c r="L86">
        <v>6.4386272648725277E-4</v>
      </c>
      <c r="M86">
        <v>1.3884292936535119E-4</v>
      </c>
      <c r="N86" s="1">
        <v>1.31848369702557E-5</v>
      </c>
      <c r="O86" s="1">
        <v>8.7233911267539698E-6</v>
      </c>
      <c r="P86" s="1">
        <v>-2.2614303244492899E-5</v>
      </c>
    </row>
    <row r="87" spans="1:16" x14ac:dyDescent="0.2">
      <c r="A87">
        <v>86</v>
      </c>
      <c r="B87">
        <v>750</v>
      </c>
      <c r="C87">
        <v>200</v>
      </c>
      <c r="D87">
        <v>0.37802912573913899</v>
      </c>
      <c r="E87">
        <v>97.210633228173194</v>
      </c>
      <c r="F87">
        <v>1.72823281536913</v>
      </c>
      <c r="G87">
        <v>-1615.6524344712948</v>
      </c>
      <c r="H87">
        <v>-1341.961993527279</v>
      </c>
      <c r="I87">
        <v>267.50358015281898</v>
      </c>
      <c r="J87">
        <v>143.91300295319999</v>
      </c>
      <c r="K87">
        <v>56.248575055213202</v>
      </c>
      <c r="L87">
        <v>6.1981536439467862E-4</v>
      </c>
      <c r="M87">
        <v>1.3318206319353314E-4</v>
      </c>
      <c r="N87" s="1">
        <v>1.41575395815771E-5</v>
      </c>
      <c r="O87" s="1">
        <v>9.1937632418129008E-6</v>
      </c>
      <c r="P87" s="1">
        <v>-2.3922584046352001E-5</v>
      </c>
    </row>
    <row r="88" spans="1:16" x14ac:dyDescent="0.2">
      <c r="A88">
        <v>87</v>
      </c>
      <c r="B88">
        <v>749</v>
      </c>
      <c r="C88">
        <v>200</v>
      </c>
      <c r="D88">
        <v>0.37735214988015597</v>
      </c>
      <c r="E88">
        <v>101.018564233432</v>
      </c>
      <c r="F88">
        <v>1.7400072487185101</v>
      </c>
      <c r="G88">
        <v>-1677.3272176383573</v>
      </c>
      <c r="H88">
        <v>-1394.755177823562</v>
      </c>
      <c r="I88">
        <v>276.45453294318401</v>
      </c>
      <c r="J88">
        <v>149.02148747939901</v>
      </c>
      <c r="K88">
        <v>58.056404252241499</v>
      </c>
      <c r="L88">
        <v>6.122217755484187E-4</v>
      </c>
      <c r="M88">
        <v>1.3114975190098036E-4</v>
      </c>
      <c r="N88" s="1">
        <v>1.4680876187556799E-5</v>
      </c>
      <c r="O88" s="1">
        <v>9.3442474020035898E-6</v>
      </c>
      <c r="P88" s="1">
        <v>-2.4405071293905601E-5</v>
      </c>
    </row>
    <row r="89" spans="1:16" x14ac:dyDescent="0.2">
      <c r="A89">
        <v>88</v>
      </c>
      <c r="B89">
        <v>765</v>
      </c>
      <c r="C89">
        <v>175</v>
      </c>
      <c r="D89">
        <v>0.41451668833983701</v>
      </c>
      <c r="E89">
        <v>5.7141064731692097</v>
      </c>
      <c r="F89">
        <v>0.40990071422263102</v>
      </c>
      <c r="G89">
        <v>-125.40492165383414</v>
      </c>
      <c r="H89">
        <v>-72.004854516744246</v>
      </c>
      <c r="I89">
        <v>51.440867986032998</v>
      </c>
      <c r="J89">
        <v>22.682203896200299</v>
      </c>
      <c r="K89">
        <v>13.9402208264162</v>
      </c>
      <c r="L89">
        <v>1.6546654349248423E-3</v>
      </c>
      <c r="M89">
        <v>4.3594582259703311E-4</v>
      </c>
      <c r="N89" s="1">
        <v>1.41328535137927E-6</v>
      </c>
      <c r="O89" s="1">
        <v>8.7069777796221099E-6</v>
      </c>
      <c r="P89" s="1">
        <v>-1.7643633843704401E-5</v>
      </c>
    </row>
    <row r="90" spans="1:16" x14ac:dyDescent="0.2">
      <c r="A90">
        <v>89</v>
      </c>
      <c r="B90">
        <v>764</v>
      </c>
      <c r="C90">
        <v>175</v>
      </c>
      <c r="D90">
        <v>0.41388468398978101</v>
      </c>
      <c r="E90">
        <v>6.0396506254234401</v>
      </c>
      <c r="F90">
        <v>0.42896265181041499</v>
      </c>
      <c r="G90">
        <v>-130.76095701849991</v>
      </c>
      <c r="H90">
        <v>-76.626721914566033</v>
      </c>
      <c r="I90">
        <v>52.198346266844503</v>
      </c>
      <c r="J90">
        <v>23.1350275087688</v>
      </c>
      <c r="K90">
        <v>14.079665443910701</v>
      </c>
      <c r="L90">
        <v>1.6431625341205938E-3</v>
      </c>
      <c r="M90">
        <v>4.3167172498546555E-4</v>
      </c>
      <c r="N90" s="1">
        <v>1.58654664233142E-6</v>
      </c>
      <c r="O90" s="1">
        <v>8.7123213817196993E-6</v>
      </c>
      <c r="P90" s="1">
        <v>-1.7723580176083099E-5</v>
      </c>
    </row>
    <row r="91" spans="1:16" x14ac:dyDescent="0.2">
      <c r="A91">
        <v>90</v>
      </c>
      <c r="B91">
        <v>763</v>
      </c>
      <c r="C91">
        <v>175</v>
      </c>
      <c r="D91">
        <v>0.41325145973073701</v>
      </c>
      <c r="E91">
        <v>8.2398980131886095</v>
      </c>
      <c r="F91">
        <v>0.54307338320910303</v>
      </c>
      <c r="G91">
        <v>-167.2414455022419</v>
      </c>
      <c r="H91">
        <v>-107.59030227557707</v>
      </c>
      <c r="I91">
        <v>57.573222520671997</v>
      </c>
      <c r="J91">
        <v>26.1333172555562</v>
      </c>
      <c r="K91">
        <v>15.172715636509</v>
      </c>
      <c r="L91">
        <v>1.5589411066130585E-3</v>
      </c>
      <c r="M91">
        <v>4.0820425536925537E-4</v>
      </c>
      <c r="N91" s="1">
        <v>1.7826856116483001E-6</v>
      </c>
      <c r="O91" s="1">
        <v>8.88123204201176E-6</v>
      </c>
      <c r="P91" s="1">
        <v>-1.81380331349752E-5</v>
      </c>
    </row>
    <row r="92" spans="1:16" x14ac:dyDescent="0.2">
      <c r="A92">
        <v>91</v>
      </c>
      <c r="B92">
        <v>762</v>
      </c>
      <c r="C92">
        <v>175</v>
      </c>
      <c r="D92">
        <v>0.41261701202724399</v>
      </c>
      <c r="E92">
        <v>10.5402006604878</v>
      </c>
      <c r="F92">
        <v>0.64604889840097202</v>
      </c>
      <c r="G92">
        <v>-205.34623557419408</v>
      </c>
      <c r="H92">
        <v>-139.94290692281135</v>
      </c>
      <c r="I92">
        <v>63.185774439614399</v>
      </c>
      <c r="J92">
        <v>29.266802458430298</v>
      </c>
      <c r="K92">
        <v>16.314865154287499</v>
      </c>
      <c r="L92">
        <v>1.4828652424630003E-3</v>
      </c>
      <c r="M92">
        <v>3.8700686835773063E-4</v>
      </c>
      <c r="N92" s="1">
        <v>1.9883247693708201E-6</v>
      </c>
      <c r="O92" s="1">
        <v>9.0568451784682996E-6</v>
      </c>
      <c r="P92" s="1">
        <v>-1.8569363620032899E-5</v>
      </c>
    </row>
    <row r="93" spans="1:16" x14ac:dyDescent="0.2">
      <c r="A93">
        <v>92</v>
      </c>
      <c r="B93">
        <v>761</v>
      </c>
      <c r="C93">
        <v>175</v>
      </c>
      <c r="D93">
        <v>0.411981337330175</v>
      </c>
      <c r="E93">
        <v>12.990047602295601</v>
      </c>
      <c r="F93">
        <v>0.74099600236413699</v>
      </c>
      <c r="G93">
        <v>-245.88460533119016</v>
      </c>
      <c r="H93">
        <v>-174.37222788590134</v>
      </c>
      <c r="I93">
        <v>69.154263859747701</v>
      </c>
      <c r="J93">
        <v>32.601071672451901</v>
      </c>
      <c r="K93">
        <v>17.530523188858002</v>
      </c>
      <c r="L93">
        <v>1.4125884598034098E-3</v>
      </c>
      <c r="M93">
        <v>3.6744535746414741E-4</v>
      </c>
      <c r="N93" s="1">
        <v>2.2046016279690299E-6</v>
      </c>
      <c r="O93" s="1">
        <v>9.2427482637452805E-6</v>
      </c>
      <c r="P93" s="1">
        <v>-1.9025144237805E-5</v>
      </c>
    </row>
    <row r="94" spans="1:16" x14ac:dyDescent="0.2">
      <c r="A94">
        <v>93</v>
      </c>
      <c r="B94">
        <v>760</v>
      </c>
      <c r="C94">
        <v>175</v>
      </c>
      <c r="D94">
        <v>0.41134443207665999</v>
      </c>
      <c r="E94">
        <v>15.689156193905299</v>
      </c>
      <c r="F94">
        <v>0.83148161546356203</v>
      </c>
      <c r="G94">
        <v>-290.48743857323393</v>
      </c>
      <c r="H94">
        <v>-212.26384512799143</v>
      </c>
      <c r="I94">
        <v>75.717159971513098</v>
      </c>
      <c r="J94">
        <v>36.268276605381097</v>
      </c>
      <c r="K94">
        <v>18.868915321908101</v>
      </c>
      <c r="L94">
        <v>1.3453769366587143E-3</v>
      </c>
      <c r="M94">
        <v>3.4879101052877348E-4</v>
      </c>
      <c r="N94" s="1">
        <v>2.43365521251646E-6</v>
      </c>
      <c r="O94" s="1">
        <v>9.4462057088483596E-6</v>
      </c>
      <c r="P94" s="1">
        <v>-1.9520663593038198E-5</v>
      </c>
    </row>
    <row r="95" spans="1:16" x14ac:dyDescent="0.2">
      <c r="A95">
        <v>94</v>
      </c>
      <c r="B95">
        <v>759</v>
      </c>
      <c r="C95">
        <v>175</v>
      </c>
      <c r="D95">
        <v>0.41070629269001901</v>
      </c>
      <c r="E95">
        <v>21.656402406819399</v>
      </c>
      <c r="F95">
        <v>0.99268259820527305</v>
      </c>
      <c r="G95">
        <v>-388.51573210197125</v>
      </c>
      <c r="H95">
        <v>-295.56103617868348</v>
      </c>
      <c r="I95">
        <v>90.062938954361599</v>
      </c>
      <c r="J95">
        <v>44.251101482864897</v>
      </c>
      <c r="K95">
        <v>21.816039130708202</v>
      </c>
      <c r="L95">
        <v>1.2224166160929835E-3</v>
      </c>
      <c r="M95">
        <v>3.1568460869614882E-4</v>
      </c>
      <c r="N95" s="1">
        <v>2.7252911073159501E-6</v>
      </c>
      <c r="O95" s="1">
        <v>9.8854347763274597E-6</v>
      </c>
      <c r="P95" s="1">
        <v>-2.0509050569893399E-5</v>
      </c>
    </row>
    <row r="96" spans="1:16" x14ac:dyDescent="0.2">
      <c r="A96">
        <v>95</v>
      </c>
      <c r="B96">
        <v>758</v>
      </c>
      <c r="C96">
        <v>175</v>
      </c>
      <c r="D96">
        <v>0.41006691557969399</v>
      </c>
      <c r="E96">
        <v>38.435667494533497</v>
      </c>
      <c r="F96">
        <v>1.27825360032914</v>
      </c>
      <c r="G96">
        <v>-663.13899687506478</v>
      </c>
      <c r="H96">
        <v>-529.02633010157774</v>
      </c>
      <c r="I96">
        <v>130.065367650415</v>
      </c>
      <c r="J96">
        <v>66.474264032556704</v>
      </c>
      <c r="K96">
        <v>30.068890464800202</v>
      </c>
      <c r="L96">
        <v>1.0011592203299691E-3</v>
      </c>
      <c r="M96">
        <v>2.571850729671029E-4</v>
      </c>
      <c r="N96" s="1">
        <v>3.2250549984823301E-6</v>
      </c>
      <c r="O96" s="1">
        <v>1.10931483992632E-5</v>
      </c>
      <c r="P96" s="1">
        <v>-2.3105597609620101E-5</v>
      </c>
    </row>
    <row r="97" spans="1:16" x14ac:dyDescent="0.2">
      <c r="A97">
        <v>96</v>
      </c>
      <c r="B97">
        <v>757</v>
      </c>
      <c r="C97">
        <v>175</v>
      </c>
      <c r="D97">
        <v>0.40942629714119499</v>
      </c>
      <c r="E97">
        <v>73.615554737451305</v>
      </c>
      <c r="F97">
        <v>1.55621145585162</v>
      </c>
      <c r="G97">
        <v>-1235.4122865161373</v>
      </c>
      <c r="H97">
        <v>-1015.2248708525539</v>
      </c>
      <c r="I97">
        <v>213.74813050484201</v>
      </c>
      <c r="J97">
        <v>112.918011778904</v>
      </c>
      <c r="K97">
        <v>47.304339304690203</v>
      </c>
      <c r="L97">
        <v>7.8824986360424463E-4</v>
      </c>
      <c r="M97">
        <v>2.0118637600175833E-4</v>
      </c>
      <c r="N97" s="1">
        <v>4.12668840758816E-6</v>
      </c>
      <c r="O97" s="1">
        <v>1.36353477287236E-5</v>
      </c>
      <c r="P97" s="1">
        <v>-2.8512899298360302E-5</v>
      </c>
    </row>
    <row r="98" spans="1:16" x14ac:dyDescent="0.2">
      <c r="A98">
        <v>97</v>
      </c>
      <c r="B98">
        <v>756</v>
      </c>
      <c r="C98">
        <v>175</v>
      </c>
      <c r="D98">
        <v>0.40878443375601398</v>
      </c>
      <c r="E98">
        <v>91.4828753874217</v>
      </c>
      <c r="F98">
        <v>1.63318590465409</v>
      </c>
      <c r="G98">
        <v>-1525.8453292080546</v>
      </c>
      <c r="H98">
        <v>-1262.2896131488419</v>
      </c>
      <c r="I98">
        <v>256.09622881645203</v>
      </c>
      <c r="J98">
        <v>136.51799128620399</v>
      </c>
      <c r="K98">
        <v>56.014979756268197</v>
      </c>
      <c r="L98">
        <v>7.3039519550502851E-4</v>
      </c>
      <c r="M98">
        <v>1.8563222153094433E-4</v>
      </c>
      <c r="N98" s="1">
        <v>4.7738475280344704E-6</v>
      </c>
      <c r="O98" s="1">
        <v>1.48957862897618E-5</v>
      </c>
      <c r="P98" s="1">
        <v>-3.12723934051238E-5</v>
      </c>
    </row>
    <row r="99" spans="1:16" x14ac:dyDescent="0.2">
      <c r="A99">
        <v>98</v>
      </c>
      <c r="B99">
        <v>755</v>
      </c>
      <c r="C99">
        <v>175</v>
      </c>
      <c r="D99">
        <v>0.40814132179156798</v>
      </c>
      <c r="E99">
        <v>98.479533793089203</v>
      </c>
      <c r="F99">
        <v>1.6580830868894401</v>
      </c>
      <c r="G99">
        <v>-1639.4032896564825</v>
      </c>
      <c r="H99">
        <v>-1359.175096165601</v>
      </c>
      <c r="I99">
        <v>272.56149867495998</v>
      </c>
      <c r="J99">
        <v>145.78455411837601</v>
      </c>
      <c r="K99">
        <v>59.393606129736298</v>
      </c>
      <c r="L99">
        <v>7.1257044110609863E-4</v>
      </c>
      <c r="M99">
        <v>1.8049458878655606E-4</v>
      </c>
      <c r="N99" s="1">
        <v>5.2351023409554698E-6</v>
      </c>
      <c r="O99" s="1">
        <v>1.5361403568299398E-5</v>
      </c>
      <c r="P99" s="1">
        <v>-3.2378527720501203E-5</v>
      </c>
    </row>
    <row r="100" spans="1:16" x14ac:dyDescent="0.2">
      <c r="A100">
        <v>99</v>
      </c>
      <c r="B100">
        <v>754</v>
      </c>
      <c r="C100">
        <v>175</v>
      </c>
      <c r="D100">
        <v>0.40749695760112897</v>
      </c>
      <c r="E100">
        <v>101.52018030727901</v>
      </c>
      <c r="F100">
        <v>1.66875901862231</v>
      </c>
      <c r="G100">
        <v>-1688.5846085780661</v>
      </c>
      <c r="H100">
        <v>-1401.3755206721751</v>
      </c>
      <c r="I100">
        <v>279.62331030246702</v>
      </c>
      <c r="J100">
        <v>149.83863089604799</v>
      </c>
      <c r="K100">
        <v>60.835734323756</v>
      </c>
      <c r="L100">
        <v>7.0566502960928926E-4</v>
      </c>
      <c r="M100">
        <v>1.781935087655381E-4</v>
      </c>
      <c r="N100" s="1">
        <v>5.6264764607784597E-6</v>
      </c>
      <c r="O100" s="1">
        <v>1.55401182138938E-5</v>
      </c>
      <c r="P100" s="1">
        <v>-3.2886173007144902E-5</v>
      </c>
    </row>
    <row r="101" spans="1:16" x14ac:dyDescent="0.2">
      <c r="A101">
        <v>100</v>
      </c>
      <c r="B101">
        <v>775</v>
      </c>
      <c r="C101">
        <v>150</v>
      </c>
      <c r="D101">
        <v>0.44700710776129698</v>
      </c>
      <c r="E101">
        <v>6.14035113228715</v>
      </c>
      <c r="F101">
        <v>0.35562462570499698</v>
      </c>
      <c r="G101">
        <v>-135.71801762026027</v>
      </c>
      <c r="H101">
        <v>-76.820902400121497</v>
      </c>
      <c r="I101">
        <v>56.1948472128201</v>
      </c>
      <c r="J101">
        <v>24.0292971032708</v>
      </c>
      <c r="K101">
        <v>17.266383395453499</v>
      </c>
      <c r="L101">
        <v>1.74863251799447E-3</v>
      </c>
      <c r="M101">
        <v>5.7157698103235167E-4</v>
      </c>
      <c r="N101" s="1">
        <v>-1.05455972696614E-5</v>
      </c>
      <c r="O101" s="1">
        <v>1.6366514905598101E-5</v>
      </c>
      <c r="P101" s="1">
        <v>-2.48227115060846E-5</v>
      </c>
    </row>
    <row r="102" spans="1:16" x14ac:dyDescent="0.2">
      <c r="A102">
        <v>101</v>
      </c>
      <c r="B102">
        <v>774</v>
      </c>
      <c r="C102">
        <v>150</v>
      </c>
      <c r="D102">
        <v>0.44641216635630598</v>
      </c>
      <c r="E102">
        <v>6.3958877151287998</v>
      </c>
      <c r="F102">
        <v>0.36814156139065102</v>
      </c>
      <c r="G102">
        <v>-139.91114032229063</v>
      </c>
      <c r="H102">
        <v>-80.410430828507359</v>
      </c>
      <c r="I102">
        <v>56.824936531901997</v>
      </c>
      <c r="J102">
        <v>24.408180265163701</v>
      </c>
      <c r="K102">
        <v>17.373446483380999</v>
      </c>
      <c r="L102">
        <v>1.7430343800750282E-3</v>
      </c>
      <c r="M102">
        <v>5.6807084202865801E-4</v>
      </c>
      <c r="N102" s="1">
        <v>-1.0427448130854101E-5</v>
      </c>
      <c r="O102" s="1">
        <v>1.6379574848369999E-5</v>
      </c>
      <c r="P102" s="1">
        <v>-2.4940026700020299E-5</v>
      </c>
    </row>
    <row r="103" spans="1:16" x14ac:dyDescent="0.2">
      <c r="A103">
        <v>102</v>
      </c>
      <c r="B103">
        <v>773</v>
      </c>
      <c r="C103">
        <v>150</v>
      </c>
      <c r="D103">
        <v>0.44581608755914398</v>
      </c>
      <c r="E103">
        <v>6.8297991577203003</v>
      </c>
      <c r="F103">
        <v>0.38858532558426301</v>
      </c>
      <c r="G103">
        <v>-147.06737935240793</v>
      </c>
      <c r="H103">
        <v>-86.488654025427095</v>
      </c>
      <c r="I103">
        <v>57.909729226806597</v>
      </c>
      <c r="J103">
        <v>25.033740736535901</v>
      </c>
      <c r="K103">
        <v>17.576060412088999</v>
      </c>
      <c r="L103">
        <v>1.7312016935326746E-3</v>
      </c>
      <c r="M103">
        <v>5.6252021002947271E-4</v>
      </c>
      <c r="N103" s="1">
        <v>-1.03255313372351E-5</v>
      </c>
      <c r="O103" s="1">
        <v>1.6421149526065999E-5</v>
      </c>
      <c r="P103" s="1">
        <v>-2.51017978675748E-5</v>
      </c>
    </row>
    <row r="104" spans="1:16" x14ac:dyDescent="0.2">
      <c r="A104">
        <v>103</v>
      </c>
      <c r="B104">
        <v>772</v>
      </c>
      <c r="C104">
        <v>150</v>
      </c>
      <c r="D104">
        <v>0.44521886810505501</v>
      </c>
      <c r="E104">
        <v>7.2643380734863099</v>
      </c>
      <c r="F104">
        <v>0.408597422246821</v>
      </c>
      <c r="G104">
        <v>-154.23024606334735</v>
      </c>
      <c r="H104">
        <v>-92.575395304741264</v>
      </c>
      <c r="I104">
        <v>58.9947890486308</v>
      </c>
      <c r="J104">
        <v>25.660546367833302</v>
      </c>
      <c r="K104">
        <v>17.778717333899699</v>
      </c>
      <c r="L104">
        <v>1.7196339897146927E-3</v>
      </c>
      <c r="M104">
        <v>5.5708025289791653E-4</v>
      </c>
      <c r="N104" s="1">
        <v>-1.0219887028979401E-5</v>
      </c>
      <c r="O104" s="1">
        <v>1.64623833221909E-5</v>
      </c>
      <c r="P104" s="1">
        <v>-2.5264271472012602E-5</v>
      </c>
    </row>
    <row r="105" spans="1:16" x14ac:dyDescent="0.2">
      <c r="A105">
        <v>104</v>
      </c>
      <c r="B105">
        <v>771</v>
      </c>
      <c r="C105">
        <v>150</v>
      </c>
      <c r="D105">
        <v>0.44462050471675502</v>
      </c>
      <c r="E105">
        <v>8.1942187802058299</v>
      </c>
      <c r="F105">
        <v>0.44938494093458797</v>
      </c>
      <c r="G105">
        <v>-169.61405129900481</v>
      </c>
      <c r="H105">
        <v>-105.64268546707953</v>
      </c>
      <c r="I105">
        <v>61.269882689102602</v>
      </c>
      <c r="J105">
        <v>26.943837020746201</v>
      </c>
      <c r="K105">
        <v>18.234297667305601</v>
      </c>
      <c r="L105">
        <v>1.6914123665788309E-3</v>
      </c>
      <c r="M105">
        <v>5.4625248530339925E-4</v>
      </c>
      <c r="N105" s="1">
        <v>-1.0152249828220899E-5</v>
      </c>
      <c r="O105" s="1">
        <v>1.65682419982721E-5</v>
      </c>
      <c r="P105" s="1">
        <v>-2.5527539491777401E-5</v>
      </c>
    </row>
    <row r="106" spans="1:16" x14ac:dyDescent="0.2">
      <c r="A106">
        <v>105</v>
      </c>
      <c r="B106">
        <v>770</v>
      </c>
      <c r="C106">
        <v>150</v>
      </c>
      <c r="D106">
        <v>0.44402099410439499</v>
      </c>
      <c r="E106">
        <v>10.4111930825608</v>
      </c>
      <c r="F106">
        <v>0.53813400382763898</v>
      </c>
      <c r="G106">
        <v>-206.34594602576541</v>
      </c>
      <c r="H106">
        <v>-136.83722590955867</v>
      </c>
      <c r="I106">
        <v>66.636982110966699</v>
      </c>
      <c r="J106">
        <v>29.932591712841401</v>
      </c>
      <c r="K106">
        <v>19.346841137166699</v>
      </c>
      <c r="L106">
        <v>1.6246381033438494E-3</v>
      </c>
      <c r="M106">
        <v>5.2298894179212438E-4</v>
      </c>
      <c r="N106" s="1">
        <v>-1.01866049622835E-5</v>
      </c>
      <c r="O106" s="1">
        <v>1.6841716811427201E-5</v>
      </c>
      <c r="P106" s="1">
        <v>-2.6052101493489002E-5</v>
      </c>
    </row>
    <row r="107" spans="1:16" x14ac:dyDescent="0.2">
      <c r="A107">
        <v>106</v>
      </c>
      <c r="B107">
        <v>769</v>
      </c>
      <c r="C107">
        <v>150</v>
      </c>
      <c r="D107">
        <v>0.44342033296550898</v>
      </c>
      <c r="E107">
        <v>12.7373741004577</v>
      </c>
      <c r="F107">
        <v>0.62092476639828398</v>
      </c>
      <c r="G107">
        <v>-244.85054869637466</v>
      </c>
      <c r="H107">
        <v>-169.54739223517316</v>
      </c>
      <c r="I107">
        <v>72.261068634517699</v>
      </c>
      <c r="J107">
        <v>33.066464765530199</v>
      </c>
      <c r="K107">
        <v>20.5135546039525</v>
      </c>
      <c r="L107">
        <v>1.5622444116719751E-3</v>
      </c>
      <c r="M107">
        <v>5.0126819145704079E-4</v>
      </c>
      <c r="N107" s="1">
        <v>-1.0221224905393501E-5</v>
      </c>
      <c r="O107" s="1">
        <v>1.71271202421153E-5</v>
      </c>
      <c r="P107" s="1">
        <v>-2.6599312305060499E-5</v>
      </c>
    </row>
    <row r="108" spans="1:16" x14ac:dyDescent="0.2">
      <c r="A108">
        <v>107</v>
      </c>
      <c r="B108">
        <v>768</v>
      </c>
      <c r="C108">
        <v>150</v>
      </c>
      <c r="D108">
        <v>0.442818517984921</v>
      </c>
      <c r="E108">
        <v>15.2297916725389</v>
      </c>
      <c r="F108">
        <v>0.69980220107188496</v>
      </c>
      <c r="G108">
        <v>-286.06044398459682</v>
      </c>
      <c r="H108">
        <v>-204.56561507536429</v>
      </c>
      <c r="I108">
        <v>78.2774987983057</v>
      </c>
      <c r="J108">
        <v>36.4201479732696</v>
      </c>
      <c r="K108">
        <v>21.762994813693702</v>
      </c>
      <c r="L108">
        <v>1.5026149970801185E-3</v>
      </c>
      <c r="M108">
        <v>4.8055629657581836E-4</v>
      </c>
      <c r="N108" s="1">
        <v>-1.02597323219223E-5</v>
      </c>
      <c r="O108" s="1">
        <v>1.7431074223837701E-5</v>
      </c>
      <c r="P108" s="1">
        <v>-2.7179761927626699E-5</v>
      </c>
    </row>
    <row r="109" spans="1:16" x14ac:dyDescent="0.2">
      <c r="A109">
        <v>108</v>
      </c>
      <c r="B109">
        <v>767</v>
      </c>
      <c r="C109">
        <v>150</v>
      </c>
      <c r="D109">
        <v>0.44221554583473799</v>
      </c>
      <c r="E109">
        <v>18.0042760180946</v>
      </c>
      <c r="F109">
        <v>0.77761502078012001</v>
      </c>
      <c r="G109">
        <v>-331.86991189310555</v>
      </c>
      <c r="H109">
        <v>-243.50126483319835</v>
      </c>
      <c r="I109">
        <v>84.961319079719601</v>
      </c>
      <c r="J109">
        <v>40.145336092218002</v>
      </c>
      <c r="K109">
        <v>23.1531998957947</v>
      </c>
      <c r="L109">
        <v>1.4434576756319085E-3</v>
      </c>
      <c r="M109">
        <v>4.6010775355528156E-4</v>
      </c>
      <c r="N109" s="1">
        <v>-1.03096962263088E-5</v>
      </c>
      <c r="O109" s="1">
        <v>1.7767069620250199E-5</v>
      </c>
      <c r="P109" s="1">
        <v>-2.7814962480504701E-5</v>
      </c>
    </row>
    <row r="110" spans="1:16" x14ac:dyDescent="0.2">
      <c r="A110">
        <v>109</v>
      </c>
      <c r="B110">
        <v>766</v>
      </c>
      <c r="C110">
        <v>150</v>
      </c>
      <c r="D110">
        <v>0.44161141317423203</v>
      </c>
      <c r="E110">
        <v>21.365353902331101</v>
      </c>
      <c r="F110">
        <v>0.86023148753239997</v>
      </c>
      <c r="G110">
        <v>-387.25872736186835</v>
      </c>
      <c r="H110">
        <v>-290.58483619496138</v>
      </c>
      <c r="I110">
        <v>93.035514802616007</v>
      </c>
      <c r="J110">
        <v>44.640624848097197</v>
      </c>
      <c r="K110">
        <v>24.836749423830401</v>
      </c>
      <c r="L110">
        <v>1.3799816111385377E-3</v>
      </c>
      <c r="M110">
        <v>4.383836371835018E-4</v>
      </c>
      <c r="N110" s="1">
        <v>-1.03913699457011E-5</v>
      </c>
      <c r="O110" s="1">
        <v>1.8170556858720699E-5</v>
      </c>
      <c r="P110" s="1">
        <v>-2.8561285927361099E-5</v>
      </c>
    </row>
    <row r="111" spans="1:16" x14ac:dyDescent="0.2">
      <c r="A111">
        <v>110</v>
      </c>
      <c r="B111">
        <v>765</v>
      </c>
      <c r="C111">
        <v>150</v>
      </c>
      <c r="D111">
        <v>0.44100611664981298</v>
      </c>
      <c r="E111">
        <v>36.113919950313502</v>
      </c>
      <c r="F111">
        <v>1.1214849443741099</v>
      </c>
      <c r="G111">
        <v>-628.73910230310355</v>
      </c>
      <c r="H111">
        <v>-495.86140337565638</v>
      </c>
      <c r="I111">
        <v>127.998886075557</v>
      </c>
      <c r="J111">
        <v>63.9852364292476</v>
      </c>
      <c r="K111">
        <v>32.201876745183</v>
      </c>
      <c r="L111">
        <v>1.1698382949146145E-3</v>
      </c>
      <c r="M111">
        <v>3.6985979628850659E-4</v>
      </c>
      <c r="N111" s="1">
        <v>-1.1228533525251E-5</v>
      </c>
      <c r="O111" s="1">
        <v>1.9878880902766101E-5</v>
      </c>
      <c r="P111" s="1">
        <v>-3.1372681716889601E-5</v>
      </c>
    </row>
    <row r="112" spans="1:16" x14ac:dyDescent="0.2">
      <c r="A112">
        <v>111</v>
      </c>
      <c r="B112">
        <v>764</v>
      </c>
      <c r="C112">
        <v>150</v>
      </c>
      <c r="D112">
        <v>0.44039965289495597</v>
      </c>
      <c r="E112">
        <v>65.545707038220499</v>
      </c>
      <c r="F112">
        <v>1.39910131838173</v>
      </c>
      <c r="G112">
        <v>-1107.8884982524291</v>
      </c>
      <c r="H112">
        <v>-902.96540600528567</v>
      </c>
      <c r="I112">
        <v>197.58780529953299</v>
      </c>
      <c r="J112">
        <v>102.448053400573</v>
      </c>
      <c r="K112">
        <v>46.848434903938099</v>
      </c>
      <c r="L112">
        <v>9.4782860537007238E-4</v>
      </c>
      <c r="M112">
        <v>2.9795108653036254E-4</v>
      </c>
      <c r="N112" s="1">
        <v>-1.3018542004499501E-5</v>
      </c>
      <c r="O112" s="1">
        <v>2.3292231580607599E-5</v>
      </c>
      <c r="P112" s="1">
        <v>-3.6908372584688599E-5</v>
      </c>
    </row>
    <row r="113" spans="1:16" x14ac:dyDescent="0.2">
      <c r="A113">
        <v>112</v>
      </c>
      <c r="B113">
        <v>763</v>
      </c>
      <c r="C113">
        <v>150</v>
      </c>
      <c r="D113">
        <v>0.43979201853014099</v>
      </c>
      <c r="E113">
        <v>84.507812901818099</v>
      </c>
      <c r="F113">
        <v>1.5026438465501699</v>
      </c>
      <c r="G113">
        <v>-1416.1346149583399</v>
      </c>
      <c r="H113">
        <v>-1165.1096188107849</v>
      </c>
      <c r="I113">
        <v>242.27243156763299</v>
      </c>
      <c r="J113">
        <v>127.22201063425</v>
      </c>
      <c r="K113">
        <v>56.239416343290003</v>
      </c>
      <c r="L113">
        <v>8.6636505899200878E-4</v>
      </c>
      <c r="M113">
        <v>2.711651643227727E-4</v>
      </c>
      <c r="N113" s="1">
        <v>-1.40277478178577E-5</v>
      </c>
      <c r="O113" s="1">
        <v>2.5454683019429098E-5</v>
      </c>
      <c r="P113" s="1">
        <v>-4.0498976228655603E-5</v>
      </c>
    </row>
    <row r="114" spans="1:16" x14ac:dyDescent="0.2">
      <c r="A114">
        <v>113</v>
      </c>
      <c r="B114">
        <v>762</v>
      </c>
      <c r="C114">
        <v>150</v>
      </c>
      <c r="D114">
        <v>0.439183210162781</v>
      </c>
      <c r="E114">
        <v>95.181132150216001</v>
      </c>
      <c r="F114">
        <v>1.54791630900565</v>
      </c>
      <c r="G114">
        <v>-1589.5090649607585</v>
      </c>
      <c r="H114">
        <v>-1312.8004559248352</v>
      </c>
      <c r="I114">
        <v>267.31822813176598</v>
      </c>
      <c r="J114">
        <v>141.18741945775301</v>
      </c>
      <c r="K114">
        <v>61.4898438607174</v>
      </c>
      <c r="L114">
        <v>8.318640783078644E-4</v>
      </c>
      <c r="M114">
        <v>2.594224969248533E-4</v>
      </c>
      <c r="N114" s="1">
        <v>-1.44446374645685E-5</v>
      </c>
      <c r="O114" s="1">
        <v>2.6640416865752301E-5</v>
      </c>
      <c r="P114" s="1">
        <v>-4.2558573828445801E-5</v>
      </c>
    </row>
    <row r="115" spans="1:16" x14ac:dyDescent="0.2">
      <c r="A115">
        <v>114</v>
      </c>
      <c r="B115">
        <v>761</v>
      </c>
      <c r="C115">
        <v>150</v>
      </c>
      <c r="D115">
        <v>0.43857322438717999</v>
      </c>
      <c r="E115">
        <v>99.745798794115601</v>
      </c>
      <c r="F115">
        <v>1.5658339294825501</v>
      </c>
      <c r="G115">
        <v>-1663.4866351615733</v>
      </c>
      <c r="H115">
        <v>-1376.0730788313288</v>
      </c>
      <c r="I115">
        <v>277.92827587536999</v>
      </c>
      <c r="J115">
        <v>147.187653904614</v>
      </c>
      <c r="K115">
        <v>63.701390623894298</v>
      </c>
      <c r="L115">
        <v>8.1934104683225998E-4</v>
      </c>
      <c r="M115">
        <v>2.5469381063340194E-4</v>
      </c>
      <c r="N115" s="1">
        <v>-1.4442223602255199E-5</v>
      </c>
      <c r="O115" s="1">
        <v>2.7114449792635E-5</v>
      </c>
      <c r="P115" s="1">
        <v>-4.3493375234539599E-5</v>
      </c>
    </row>
    <row r="116" spans="1:16" x14ac:dyDescent="0.2">
      <c r="A116">
        <v>115</v>
      </c>
      <c r="B116">
        <v>788</v>
      </c>
      <c r="C116">
        <v>125</v>
      </c>
      <c r="D116">
        <v>0.48055458700466802</v>
      </c>
      <c r="E116">
        <v>6.6040977758884196</v>
      </c>
      <c r="F116">
        <v>0.29456293014801499</v>
      </c>
      <c r="G116">
        <v>-147.27029486083245</v>
      </c>
      <c r="H116">
        <v>-81.851613939522338</v>
      </c>
      <c r="I116">
        <v>61.652415013518798</v>
      </c>
      <c r="J116">
        <v>24.930765903107702</v>
      </c>
      <c r="K116">
        <v>22.4199894147233</v>
      </c>
      <c r="L116">
        <v>1.7755161207574585E-3</v>
      </c>
      <c r="M116">
        <v>7.6194404098586799E-4</v>
      </c>
      <c r="N116" s="1">
        <v>-3.0106953161669001E-5</v>
      </c>
      <c r="O116" s="1">
        <v>3.28351496099056E-5</v>
      </c>
      <c r="P116" s="1">
        <v>-3.4420990962088001E-5</v>
      </c>
    </row>
    <row r="117" spans="1:16" x14ac:dyDescent="0.2">
      <c r="A117">
        <v>116</v>
      </c>
      <c r="B117">
        <v>787</v>
      </c>
      <c r="C117">
        <v>125</v>
      </c>
      <c r="D117">
        <v>0.479998585105882</v>
      </c>
      <c r="E117">
        <v>6.8615735692387601</v>
      </c>
      <c r="F117">
        <v>0.30466779347272299</v>
      </c>
      <c r="G117">
        <v>-151.49016308804698</v>
      </c>
      <c r="H117">
        <v>-85.469229429336593</v>
      </c>
      <c r="I117">
        <v>62.2786593648786</v>
      </c>
      <c r="J117">
        <v>25.307744182255298</v>
      </c>
      <c r="K117">
        <v>22.521492971173</v>
      </c>
      <c r="L117">
        <v>1.7726294164857033E-3</v>
      </c>
      <c r="M117">
        <v>7.5854919660584821E-4</v>
      </c>
      <c r="N117" s="1">
        <v>-3.01499152413886E-5</v>
      </c>
      <c r="O117" s="1">
        <v>3.2863337339781597E-5</v>
      </c>
      <c r="P117" s="1">
        <v>-3.4572621720838298E-5</v>
      </c>
    </row>
    <row r="118" spans="1:16" x14ac:dyDescent="0.2">
      <c r="A118">
        <v>117</v>
      </c>
      <c r="B118">
        <v>786</v>
      </c>
      <c r="C118">
        <v>125</v>
      </c>
      <c r="D118">
        <v>0.47944153330501299</v>
      </c>
      <c r="E118">
        <v>7.2726571169315601</v>
      </c>
      <c r="F118">
        <v>0.32027266580180203</v>
      </c>
      <c r="G118">
        <v>-158.26287475763766</v>
      </c>
      <c r="H118">
        <v>-91.229734877655488</v>
      </c>
      <c r="I118">
        <v>63.293149704833198</v>
      </c>
      <c r="J118">
        <v>25.893067044032701</v>
      </c>
      <c r="K118">
        <v>22.707704695074298</v>
      </c>
      <c r="L118">
        <v>1.7654625426837863E-3</v>
      </c>
      <c r="M118">
        <v>7.5330734628850605E-4</v>
      </c>
      <c r="N118" s="1">
        <v>-3.02295143417505E-5</v>
      </c>
      <c r="O118" s="1">
        <v>3.2932579490450399E-5</v>
      </c>
      <c r="P118" s="1">
        <v>-3.4768785177154302E-5</v>
      </c>
    </row>
    <row r="119" spans="1:16" x14ac:dyDescent="0.2">
      <c r="A119">
        <v>118</v>
      </c>
      <c r="B119">
        <v>785</v>
      </c>
      <c r="C119">
        <v>125</v>
      </c>
      <c r="D119">
        <v>0.47888342862543298</v>
      </c>
      <c r="E119">
        <v>7.6840212805636297</v>
      </c>
      <c r="F119">
        <v>0.33563820436952901</v>
      </c>
      <c r="G119">
        <v>-165.03684066706728</v>
      </c>
      <c r="H119">
        <v>-96.994011496734046</v>
      </c>
      <c r="I119">
        <v>64.307178907065605</v>
      </c>
      <c r="J119">
        <v>26.479144888011302</v>
      </c>
      <c r="K119">
        <v>22.893762332561199</v>
      </c>
      <c r="L119">
        <v>1.7584311250765788E-3</v>
      </c>
      <c r="M119">
        <v>7.4814169301852898E-4</v>
      </c>
      <c r="N119" s="1">
        <v>-3.0306957197280301E-5</v>
      </c>
      <c r="O119" s="1">
        <v>3.3001440161855103E-5</v>
      </c>
      <c r="P119" s="1">
        <v>-3.4966060616741102E-5</v>
      </c>
    </row>
    <row r="120" spans="1:16" x14ac:dyDescent="0.2">
      <c r="A120">
        <v>119</v>
      </c>
      <c r="B120">
        <v>784</v>
      </c>
      <c r="C120">
        <v>125</v>
      </c>
      <c r="D120">
        <v>0.47832426807926898</v>
      </c>
      <c r="E120">
        <v>8.0955185371881306</v>
      </c>
      <c r="F120">
        <v>0.35076542985137299</v>
      </c>
      <c r="G120">
        <v>-171.80958711961949</v>
      </c>
      <c r="H120">
        <v>-102.75999905474904</v>
      </c>
      <c r="I120">
        <v>65.320354545091206</v>
      </c>
      <c r="J120">
        <v>27.0657791925026</v>
      </c>
      <c r="K120">
        <v>23.079579252203899</v>
      </c>
      <c r="L120">
        <v>1.7515356863046793E-3</v>
      </c>
      <c r="M120">
        <v>7.4305197698821667E-4</v>
      </c>
      <c r="N120" s="1">
        <v>-3.03821412562264E-5</v>
      </c>
      <c r="O120" s="1">
        <v>3.3069870794948598E-5</v>
      </c>
      <c r="P120" s="1">
        <v>-3.51644090488884E-5</v>
      </c>
    </row>
    <row r="121" spans="1:16" x14ac:dyDescent="0.2">
      <c r="A121">
        <v>120</v>
      </c>
      <c r="B121">
        <v>783</v>
      </c>
      <c r="C121">
        <v>125</v>
      </c>
      <c r="D121">
        <v>0.47776404866733202</v>
      </c>
      <c r="E121">
        <v>8.5070051159431799</v>
      </c>
      <c r="F121">
        <v>0.36565566580194397</v>
      </c>
      <c r="G121">
        <v>-178.5787057246861</v>
      </c>
      <c r="H121">
        <v>-108.5256897896186</v>
      </c>
      <c r="I121">
        <v>66.332294860231002</v>
      </c>
      <c r="J121">
        <v>27.6527766803794</v>
      </c>
      <c r="K121">
        <v>23.2650712447895</v>
      </c>
      <c r="L121">
        <v>1.7447765118724355E-3</v>
      </c>
      <c r="M121">
        <v>7.3803783368098133E-4</v>
      </c>
      <c r="N121" s="1">
        <v>-3.0454964127563799E-5</v>
      </c>
      <c r="O121" s="1">
        <v>3.3137824241785499E-5</v>
      </c>
      <c r="P121" s="1">
        <v>-3.5363792380278003E-5</v>
      </c>
    </row>
    <row r="122" spans="1:16" x14ac:dyDescent="0.2">
      <c r="A122">
        <v>121</v>
      </c>
      <c r="B122">
        <v>782</v>
      </c>
      <c r="C122">
        <v>125</v>
      </c>
      <c r="D122">
        <v>0.47720276737904699</v>
      </c>
      <c r="E122">
        <v>8.9183414767052103</v>
      </c>
      <c r="F122">
        <v>0.38031052661071302</v>
      </c>
      <c r="G122">
        <v>-185.34186125979679</v>
      </c>
      <c r="H122">
        <v>-114.28913505405374</v>
      </c>
      <c r="I122">
        <v>67.342629965548099</v>
      </c>
      <c r="J122">
        <v>28.2399499824696</v>
      </c>
      <c r="K122">
        <v>23.4501567868355</v>
      </c>
      <c r="L122">
        <v>1.7381536558503758E-3</v>
      </c>
      <c r="M122">
        <v>7.3309879777263892E-4</v>
      </c>
      <c r="N122" s="1">
        <v>-3.0525323719182099E-5</v>
      </c>
      <c r="O122" s="1">
        <v>3.3205254889962799E-5</v>
      </c>
      <c r="P122" s="1">
        <v>-3.55641735611609E-5</v>
      </c>
    </row>
    <row r="123" spans="1:16" x14ac:dyDescent="0.2">
      <c r="A123">
        <v>122</v>
      </c>
      <c r="B123">
        <v>781</v>
      </c>
      <c r="C123">
        <v>125</v>
      </c>
      <c r="D123">
        <v>0.476640421192431</v>
      </c>
      <c r="E123">
        <v>9.3293927206352301</v>
      </c>
      <c r="F123">
        <v>0.39473190337379999</v>
      </c>
      <c r="G123">
        <v>-192.09679838783313</v>
      </c>
      <c r="H123">
        <v>-120.04845101313326</v>
      </c>
      <c r="I123">
        <v>68.351002869430602</v>
      </c>
      <c r="J123">
        <v>28.8271182080614</v>
      </c>
      <c r="K123">
        <v>23.634757264098099</v>
      </c>
      <c r="L123">
        <v>1.7316669483714727E-3</v>
      </c>
      <c r="M123">
        <v>7.282343077583826E-4</v>
      </c>
      <c r="N123" s="1">
        <v>-3.0593118356945403E-5</v>
      </c>
      <c r="O123" s="1">
        <v>3.3272118765787003E-5</v>
      </c>
      <c r="P123" s="1">
        <v>-3.5765516711896998E-5</v>
      </c>
    </row>
    <row r="124" spans="1:16" x14ac:dyDescent="0.2">
      <c r="A124">
        <v>123</v>
      </c>
      <c r="B124">
        <v>780</v>
      </c>
      <c r="C124">
        <v>125</v>
      </c>
      <c r="D124">
        <v>0.47607700707401701</v>
      </c>
      <c r="E124">
        <v>10.6544698256037</v>
      </c>
      <c r="F124">
        <v>0.438475827428497</v>
      </c>
      <c r="G124">
        <v>-214.02334401597724</v>
      </c>
      <c r="H124">
        <v>-138.68252525449637</v>
      </c>
      <c r="I124">
        <v>71.5422465898735</v>
      </c>
      <c r="J124">
        <v>30.608235860382699</v>
      </c>
      <c r="K124">
        <v>24.298876150341801</v>
      </c>
      <c r="L124">
        <v>1.7016775239013511E-3</v>
      </c>
      <c r="M124">
        <v>7.1346598072416707E-4</v>
      </c>
      <c r="N124" s="1">
        <v>-3.08465952751502E-5</v>
      </c>
      <c r="O124" s="1">
        <v>3.3540264413117602E-5</v>
      </c>
      <c r="P124" s="1">
        <v>-3.6185588080203397E-5</v>
      </c>
    </row>
    <row r="125" spans="1:16" x14ac:dyDescent="0.2">
      <c r="A125">
        <v>124</v>
      </c>
      <c r="B125">
        <v>779</v>
      </c>
      <c r="C125">
        <v>125</v>
      </c>
      <c r="D125">
        <v>0.475512521978807</v>
      </c>
      <c r="E125">
        <v>12.8819801670345</v>
      </c>
      <c r="F125">
        <v>0.50646133434798701</v>
      </c>
      <c r="G125">
        <v>-250.90445135387972</v>
      </c>
      <c r="H125">
        <v>-170.01341617692509</v>
      </c>
      <c r="I125">
        <v>76.885417797284504</v>
      </c>
      <c r="J125">
        <v>33.568100925742797</v>
      </c>
      <c r="K125">
        <v>25.435268782401</v>
      </c>
      <c r="L125">
        <v>1.6520318724207309E-3</v>
      </c>
      <c r="M125">
        <v>6.9049714169524797E-4</v>
      </c>
      <c r="N125" s="1">
        <v>-3.1281665130516102E-5</v>
      </c>
      <c r="O125" s="1">
        <v>3.40050943632818E-5</v>
      </c>
      <c r="P125" s="1">
        <v>-3.6821819798299902E-5</v>
      </c>
    </row>
    <row r="126" spans="1:16" x14ac:dyDescent="0.2">
      <c r="A126">
        <v>125</v>
      </c>
      <c r="B126">
        <v>778</v>
      </c>
      <c r="C126">
        <v>125</v>
      </c>
      <c r="D126">
        <v>0.47494696285021398</v>
      </c>
      <c r="E126">
        <v>15.230462419287599</v>
      </c>
      <c r="F126">
        <v>0.57186684244637298</v>
      </c>
      <c r="G126">
        <v>-289.74999767037468</v>
      </c>
      <c r="H126">
        <v>-203.02257512318579</v>
      </c>
      <c r="I126">
        <v>82.511003595601593</v>
      </c>
      <c r="J126">
        <v>36.685722622846498</v>
      </c>
      <c r="K126">
        <v>26.632882497844498</v>
      </c>
      <c r="L126">
        <v>1.6041260383672486E-3</v>
      </c>
      <c r="M126">
        <v>6.6837786082277586E-4</v>
      </c>
      <c r="N126" s="1">
        <v>-3.1735943599420402E-5</v>
      </c>
      <c r="O126" s="1">
        <v>3.4492589347054402E-5</v>
      </c>
      <c r="P126" s="1">
        <v>-3.7487489003311302E-5</v>
      </c>
    </row>
    <row r="127" spans="1:16" x14ac:dyDescent="0.2">
      <c r="A127">
        <v>126</v>
      </c>
      <c r="B127">
        <v>777</v>
      </c>
      <c r="C127">
        <v>125</v>
      </c>
      <c r="D127">
        <v>0.47438032662001101</v>
      </c>
      <c r="E127">
        <v>17.765533846932001</v>
      </c>
      <c r="F127">
        <v>0.63617951568501996</v>
      </c>
      <c r="G127">
        <v>-331.63315763422963</v>
      </c>
      <c r="H127">
        <v>-238.62156342223591</v>
      </c>
      <c r="I127">
        <v>88.573707686377801</v>
      </c>
      <c r="J127">
        <v>40.045817150979502</v>
      </c>
      <c r="K127">
        <v>27.9253471841239</v>
      </c>
      <c r="L127">
        <v>1.556767996677969E-3</v>
      </c>
      <c r="M127">
        <v>6.46602184821524E-4</v>
      </c>
      <c r="N127" s="1">
        <v>-3.22212629180918E-5</v>
      </c>
      <c r="O127" s="1">
        <v>3.5015584542242602E-5</v>
      </c>
      <c r="P127" s="1">
        <v>-3.81969275931153E-5</v>
      </c>
    </row>
    <row r="128" spans="1:16" x14ac:dyDescent="0.2">
      <c r="A128">
        <v>127</v>
      </c>
      <c r="B128">
        <v>776</v>
      </c>
      <c r="C128">
        <v>125</v>
      </c>
      <c r="D128">
        <v>0.47381261020826598</v>
      </c>
      <c r="E128">
        <v>20.619564846674201</v>
      </c>
      <c r="F128">
        <v>0.70181061111336696</v>
      </c>
      <c r="G128">
        <v>-378.71884089755673</v>
      </c>
      <c r="H128">
        <v>-278.64913839302852</v>
      </c>
      <c r="I128">
        <v>95.385655821063096</v>
      </c>
      <c r="J128">
        <v>43.819256713955198</v>
      </c>
      <c r="K128">
        <v>29.380525914196301</v>
      </c>
      <c r="L128">
        <v>1.5079935845978183E-3</v>
      </c>
      <c r="M128">
        <v>6.2434697271214403E-4</v>
      </c>
      <c r="N128" s="1">
        <v>-3.27616311851139E-5</v>
      </c>
      <c r="O128" s="1">
        <v>3.5599995540516699E-5</v>
      </c>
      <c r="P128" s="1">
        <v>-3.8979002328472397E-5</v>
      </c>
    </row>
    <row r="129" spans="1:16" x14ac:dyDescent="0.2">
      <c r="A129">
        <v>128</v>
      </c>
      <c r="B129">
        <v>775</v>
      </c>
      <c r="C129">
        <v>125</v>
      </c>
      <c r="D129">
        <v>0.473243810523307</v>
      </c>
      <c r="E129">
        <v>24.1285498877408</v>
      </c>
      <c r="F129">
        <v>0.77408010019078</v>
      </c>
      <c r="G129">
        <v>-436.50133897741404</v>
      </c>
      <c r="H129">
        <v>-327.77180638654664</v>
      </c>
      <c r="I129">
        <v>103.738758130107</v>
      </c>
      <c r="J129">
        <v>48.439508806084703</v>
      </c>
      <c r="K129">
        <v>31.170611260765</v>
      </c>
      <c r="L129">
        <v>1.4534243801699522E-3</v>
      </c>
      <c r="M129">
        <v>5.9979189751784229E-4</v>
      </c>
      <c r="N129" s="1">
        <v>-3.3418023617519403E-5</v>
      </c>
      <c r="O129" s="1">
        <v>3.6311459320603598E-5</v>
      </c>
      <c r="P129" s="1">
        <v>-3.9906663974607399E-5</v>
      </c>
    </row>
    <row r="130" spans="1:16" x14ac:dyDescent="0.2">
      <c r="A130">
        <v>129</v>
      </c>
      <c r="B130">
        <v>774</v>
      </c>
      <c r="C130">
        <v>125</v>
      </c>
      <c r="D130">
        <v>0.47267392446163797</v>
      </c>
      <c r="E130">
        <v>34.037817918796797</v>
      </c>
      <c r="F130">
        <v>0.93949140310102397</v>
      </c>
      <c r="G130">
        <v>-598.89637835631959</v>
      </c>
      <c r="H130">
        <v>-465.79190605110716</v>
      </c>
      <c r="I130">
        <v>127.115458588923</v>
      </c>
      <c r="J130">
        <v>61.2971874857381</v>
      </c>
      <c r="K130">
        <v>36.230047243057797</v>
      </c>
      <c r="L130">
        <v>1.3218967580529606E-3</v>
      </c>
      <c r="M130">
        <v>5.4338187998324069E-4</v>
      </c>
      <c r="N130" s="1">
        <v>-3.5220856156588501E-5</v>
      </c>
      <c r="O130" s="1">
        <v>3.8258894439318399E-5</v>
      </c>
      <c r="P130" s="1">
        <v>-4.2204780449918902E-5</v>
      </c>
    </row>
    <row r="131" spans="1:16" x14ac:dyDescent="0.2">
      <c r="A131">
        <v>130</v>
      </c>
      <c r="B131">
        <v>773</v>
      </c>
      <c r="C131">
        <v>125</v>
      </c>
      <c r="D131">
        <v>0.472102948907902</v>
      </c>
      <c r="E131">
        <v>45.3200511001953</v>
      </c>
      <c r="F131">
        <v>1.0797524366559901</v>
      </c>
      <c r="G131">
        <v>-783.55929675125742</v>
      </c>
      <c r="H131">
        <v>-622.8362311015336</v>
      </c>
      <c r="I131">
        <v>153.637439876987</v>
      </c>
      <c r="J131">
        <v>75.903771432929602</v>
      </c>
      <c r="K131">
        <v>41.972631467775997</v>
      </c>
      <c r="L131">
        <v>1.2102466043138133E-3</v>
      </c>
      <c r="M131">
        <v>4.9553354991993277E-4</v>
      </c>
      <c r="N131" s="1">
        <v>-3.7240558171123297E-5</v>
      </c>
      <c r="O131" s="1">
        <v>4.0444294174857902E-5</v>
      </c>
      <c r="P131" s="1">
        <v>-4.4783845804470598E-5</v>
      </c>
    </row>
    <row r="132" spans="1:16" x14ac:dyDescent="0.2">
      <c r="A132">
        <v>131</v>
      </c>
      <c r="B132">
        <v>772</v>
      </c>
      <c r="C132">
        <v>125</v>
      </c>
      <c r="D132">
        <v>0.47153088073482102</v>
      </c>
      <c r="E132">
        <v>75.961937960689397</v>
      </c>
      <c r="F132">
        <v>1.3200195565881501</v>
      </c>
      <c r="G132">
        <v>-1281.570964731131</v>
      </c>
      <c r="H132">
        <v>-1045.8597450630366</v>
      </c>
      <c r="I132">
        <v>225.53381846552799</v>
      </c>
      <c r="J132">
        <v>115.376638862623</v>
      </c>
      <c r="K132">
        <v>57.546070118103202</v>
      </c>
      <c r="L132">
        <v>1.0183596414080824E-3</v>
      </c>
      <c r="M132">
        <v>4.1480137292135028E-4</v>
      </c>
      <c r="N132" s="1">
        <v>-4.2788557837727702E-5</v>
      </c>
      <c r="O132" s="1">
        <v>4.6428897652789397E-5</v>
      </c>
      <c r="P132" s="1">
        <v>-5.1605163048387703E-5</v>
      </c>
    </row>
    <row r="133" spans="1:16" x14ac:dyDescent="0.2">
      <c r="A133">
        <v>132</v>
      </c>
      <c r="B133">
        <v>771</v>
      </c>
      <c r="C133">
        <v>125</v>
      </c>
      <c r="D133">
        <v>0.47095771680314102</v>
      </c>
      <c r="E133">
        <v>89.142993234296398</v>
      </c>
      <c r="F133">
        <v>1.38867221631089</v>
      </c>
      <c r="G133">
        <v>-1495.7624469823281</v>
      </c>
      <c r="H133">
        <v>-1228.1295385664957</v>
      </c>
      <c r="I133">
        <v>256.32204347455797</v>
      </c>
      <c r="J133">
        <v>132.37896391903499</v>
      </c>
      <c r="K133">
        <v>64.192969505151396</v>
      </c>
      <c r="L133">
        <v>9.652917657516026E-4</v>
      </c>
      <c r="M133">
        <v>3.9172942788046305E-4</v>
      </c>
      <c r="N133" s="1">
        <v>-4.5103693103003998E-5</v>
      </c>
      <c r="O133" s="1">
        <v>4.8943622790326399E-5</v>
      </c>
      <c r="P133" s="1">
        <v>-5.4607330979289698E-5</v>
      </c>
    </row>
    <row r="134" spans="1:16" x14ac:dyDescent="0.2">
      <c r="A134">
        <v>133</v>
      </c>
      <c r="B134">
        <v>770</v>
      </c>
      <c r="C134">
        <v>125</v>
      </c>
      <c r="D134">
        <v>0.47038345396155901</v>
      </c>
      <c r="E134">
        <v>96.492782706285894</v>
      </c>
      <c r="F134">
        <v>1.4218867030731299</v>
      </c>
      <c r="G134">
        <v>-1615.060258580085</v>
      </c>
      <c r="H134">
        <v>-1329.869304604827</v>
      </c>
      <c r="I134">
        <v>273.39967907975802</v>
      </c>
      <c r="J134">
        <v>141.88165355760901</v>
      </c>
      <c r="K134">
        <v>67.862497411175994</v>
      </c>
      <c r="L134">
        <v>9.4093805469630499E-4</v>
      </c>
      <c r="M134">
        <v>3.8058026460860423E-4</v>
      </c>
      <c r="N134" s="1">
        <v>-4.63448244095545E-5</v>
      </c>
      <c r="O134" s="1">
        <v>5.03079896440449E-5</v>
      </c>
      <c r="P134" s="1">
        <v>-5.6344282970833202E-5</v>
      </c>
    </row>
    <row r="135" spans="1:16" x14ac:dyDescent="0.2">
      <c r="A135">
        <v>134</v>
      </c>
      <c r="B135">
        <v>769</v>
      </c>
      <c r="C135">
        <v>125</v>
      </c>
      <c r="D135">
        <v>0.46980808904668597</v>
      </c>
      <c r="E135">
        <v>99.9988522452973</v>
      </c>
      <c r="F135">
        <v>1.43725236845201</v>
      </c>
      <c r="G135">
        <v>-1671.8094719724108</v>
      </c>
      <c r="H135">
        <v>-1378.4914967885306</v>
      </c>
      <c r="I135">
        <v>281.46041963351098</v>
      </c>
      <c r="J135">
        <v>146.44214641275599</v>
      </c>
      <c r="K135">
        <v>69.576404562130307</v>
      </c>
      <c r="L135">
        <v>9.3103971554117345E-4</v>
      </c>
      <c r="M135">
        <v>3.7541070669882436E-4</v>
      </c>
      <c r="N135" s="1">
        <v>-4.6883419179962501E-5</v>
      </c>
      <c r="O135" s="1">
        <v>5.0920954502559098E-5</v>
      </c>
      <c r="P135" s="1">
        <v>-5.7249975573690903E-5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CAD18-19AB-4F3B-8592-192910378A20}">
  <sheetPr codeName="Sheet6"/>
  <dimension ref="A1:AN1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26</v>
      </c>
      <c r="B2">
        <v>738</v>
      </c>
      <c r="C2">
        <v>275</v>
      </c>
      <c r="D2">
        <v>0.28822677149780002</v>
      </c>
      <c r="E2">
        <v>2.3371201583182101E-2</v>
      </c>
      <c r="F2">
        <v>4.6577549989315497</v>
      </c>
      <c r="G2">
        <v>-0.22137645484645482</v>
      </c>
      <c r="H2">
        <v>-0.17991771499710349</v>
      </c>
      <c r="I2">
        <v>4.1001572318005497E-2</v>
      </c>
      <c r="J2">
        <v>2.1424529725169401E-2</v>
      </c>
      <c r="K2">
        <v>5.01769663465409E-3</v>
      </c>
      <c r="L2">
        <v>3.1680632845857486E-5</v>
      </c>
      <c r="M2">
        <v>5.5280913412421867E-7</v>
      </c>
      <c r="N2" s="1">
        <v>2.4471427340214401E-11</v>
      </c>
      <c r="O2" s="1">
        <v>1.09591092637293E-14</v>
      </c>
      <c r="P2" s="1">
        <v>4.0193532277625603E-14</v>
      </c>
      <c r="R2">
        <v>47.316391721984402</v>
      </c>
      <c r="S2">
        <v>2.2291375172833101</v>
      </c>
      <c r="T2">
        <v>9.8094717436480696</v>
      </c>
      <c r="V2">
        <v>37.5951909326822</v>
      </c>
      <c r="W2">
        <v>0.62879491319963299</v>
      </c>
      <c r="X2">
        <v>2.42101317120231</v>
      </c>
      <c r="AJ2">
        <v>8.8924862197582805E-2</v>
      </c>
      <c r="AK2">
        <v>9.09369586989658E-2</v>
      </c>
      <c r="AL2">
        <v>0.77465047574573798</v>
      </c>
      <c r="AM2">
        <v>1.3122369487659999E-2</v>
      </c>
      <c r="AN2">
        <v>3.2365333870052498E-2</v>
      </c>
    </row>
    <row r="3" spans="1:40" x14ac:dyDescent="0.2">
      <c r="A3">
        <v>27</v>
      </c>
      <c r="B3">
        <v>737</v>
      </c>
      <c r="C3">
        <v>275</v>
      </c>
      <c r="D3">
        <v>0.28745285353660599</v>
      </c>
      <c r="E3">
        <v>4.0730725257820698E-2</v>
      </c>
      <c r="F3">
        <v>4.6607588271761902</v>
      </c>
      <c r="G3">
        <v>-0.38631862517996562</v>
      </c>
      <c r="H3">
        <v>-0.3140586779595978</v>
      </c>
      <c r="I3">
        <v>7.1533878355063904E-2</v>
      </c>
      <c r="J3">
        <v>3.7289600887731998E-2</v>
      </c>
      <c r="K3">
        <v>8.7390759247884496E-3</v>
      </c>
      <c r="L3">
        <v>3.1572160312089187E-5</v>
      </c>
      <c r="M3">
        <v>5.5251195987404925E-7</v>
      </c>
      <c r="N3" s="1">
        <v>4.7649701459652899E-11</v>
      </c>
      <c r="O3" s="1">
        <v>1.90816219831923E-14</v>
      </c>
      <c r="P3" s="1">
        <v>6.32422213932083E-14</v>
      </c>
      <c r="R3">
        <v>47.2649443154381</v>
      </c>
      <c r="S3">
        <v>2.2934466482964702</v>
      </c>
      <c r="T3">
        <v>9.8535885368775293</v>
      </c>
      <c r="V3">
        <v>37.136438497604303</v>
      </c>
      <c r="W3">
        <v>1.0233359468523999</v>
      </c>
      <c r="X3">
        <v>2.4282460549310798</v>
      </c>
      <c r="AJ3">
        <v>8.9155806858012596E-2</v>
      </c>
      <c r="AK3">
        <v>9.1310374163303898E-2</v>
      </c>
      <c r="AL3">
        <v>0.76489996758968204</v>
      </c>
      <c r="AM3">
        <v>2.13477626947071E-2</v>
      </c>
      <c r="AN3">
        <v>3.32860886942941E-2</v>
      </c>
    </row>
    <row r="4" spans="1:40" x14ac:dyDescent="0.2">
      <c r="A4">
        <v>28</v>
      </c>
      <c r="B4">
        <v>736</v>
      </c>
      <c r="C4">
        <v>275</v>
      </c>
      <c r="D4">
        <v>0.28667740177377199</v>
      </c>
      <c r="E4">
        <v>4.7925828286769001E-2</v>
      </c>
      <c r="F4">
        <v>4.6630973679196703</v>
      </c>
      <c r="G4">
        <v>-0.45498508213371774</v>
      </c>
      <c r="H4">
        <v>-0.36998509146987918</v>
      </c>
      <c r="I4">
        <v>8.4229292636217104E-2</v>
      </c>
      <c r="J4">
        <v>4.3835849781824601E-2</v>
      </c>
      <c r="K4">
        <v>1.0277681228893099E-2</v>
      </c>
      <c r="L4">
        <v>3.1483690629612387E-5</v>
      </c>
      <c r="M4">
        <v>5.5223243608563536E-7</v>
      </c>
      <c r="N4" s="1">
        <v>5.8878273495482905E-11</v>
      </c>
      <c r="O4" s="1">
        <v>2.2426506824834199E-14</v>
      </c>
      <c r="P4" s="1">
        <v>7.0953443996116597E-14</v>
      </c>
      <c r="R4">
        <v>47.210147017927802</v>
      </c>
      <c r="S4">
        <v>2.3552066239640701</v>
      </c>
      <c r="T4">
        <v>9.9004157321697495</v>
      </c>
      <c r="V4">
        <v>36.784964144288502</v>
      </c>
      <c r="W4">
        <v>1.32011026984802</v>
      </c>
      <c r="X4">
        <v>2.42915621180176</v>
      </c>
      <c r="AJ4">
        <v>8.91611046820006E-2</v>
      </c>
      <c r="AK4">
        <v>9.1715383143847404E-2</v>
      </c>
      <c r="AL4">
        <v>0.75742176771754</v>
      </c>
      <c r="AM4">
        <v>2.75300753520261E-2</v>
      </c>
      <c r="AN4">
        <v>3.4171669104584801E-2</v>
      </c>
    </row>
    <row r="5" spans="1:40" x14ac:dyDescent="0.2">
      <c r="A5">
        <v>50</v>
      </c>
      <c r="B5">
        <v>742</v>
      </c>
      <c r="C5">
        <v>250</v>
      </c>
      <c r="D5">
        <v>0.318396788651924</v>
      </c>
      <c r="E5">
        <v>1.4445884360027901E-2</v>
      </c>
      <c r="F5">
        <v>4.6542409992975999</v>
      </c>
      <c r="G5">
        <v>-0.13719557693878398</v>
      </c>
      <c r="H5">
        <v>-0.1113960958224585</v>
      </c>
      <c r="I5">
        <v>2.54144521660103E-2</v>
      </c>
      <c r="J5">
        <v>1.3256999991902701E-2</v>
      </c>
      <c r="K5">
        <v>3.1038109892049001E-3</v>
      </c>
      <c r="L5">
        <v>3.165268946198854E-5</v>
      </c>
      <c r="M5">
        <v>5.5307312591338418E-7</v>
      </c>
      <c r="N5" s="1">
        <v>1.4729224454146699E-11</v>
      </c>
      <c r="O5" s="1">
        <v>6.7700489148149102E-15</v>
      </c>
      <c r="P5" s="1">
        <v>2.6301136115713001E-14</v>
      </c>
      <c r="R5">
        <v>47.321967777328901</v>
      </c>
      <c r="S5">
        <v>2.1950118020879699</v>
      </c>
      <c r="T5">
        <v>9.9253949405282906</v>
      </c>
      <c r="V5">
        <v>37.339532567873498</v>
      </c>
      <c r="W5">
        <v>0.67986292253112601</v>
      </c>
      <c r="X5">
        <v>2.5382299896501399</v>
      </c>
      <c r="AJ5">
        <v>9.3166702094596904E-2</v>
      </c>
      <c r="AK5">
        <v>9.1948850582235703E-2</v>
      </c>
      <c r="AL5">
        <v>0.768857892746316</v>
      </c>
      <c r="AM5">
        <v>1.4178435180784901E-2</v>
      </c>
      <c r="AN5">
        <v>3.1848119396065099E-2</v>
      </c>
    </row>
    <row r="6" spans="1:40" x14ac:dyDescent="0.2">
      <c r="A6">
        <v>51</v>
      </c>
      <c r="B6">
        <v>741</v>
      </c>
      <c r="C6">
        <v>250</v>
      </c>
      <c r="D6">
        <v>0.31765567223783697</v>
      </c>
      <c r="E6">
        <v>3.4320187371085803E-2</v>
      </c>
      <c r="F6">
        <v>4.6573756295096098</v>
      </c>
      <c r="G6">
        <v>-0.32637962422124828</v>
      </c>
      <c r="H6">
        <v>-0.26507732038425419</v>
      </c>
      <c r="I6">
        <v>6.0446979082969997E-2</v>
      </c>
      <c r="J6">
        <v>3.1453314054219701E-2</v>
      </c>
      <c r="K6">
        <v>7.36899707071716E-3</v>
      </c>
      <c r="L6">
        <v>3.1541268165083477E-5</v>
      </c>
      <c r="M6">
        <v>5.5276396384590116E-7</v>
      </c>
      <c r="N6" s="1">
        <v>3.90580295653303E-11</v>
      </c>
      <c r="O6" s="1">
        <v>1.60671675898936E-14</v>
      </c>
      <c r="P6" s="1">
        <v>5.70802963130006E-14</v>
      </c>
      <c r="R6">
        <v>47.267144535309399</v>
      </c>
      <c r="S6">
        <v>2.2585129745739301</v>
      </c>
      <c r="T6">
        <v>9.9776487932017002</v>
      </c>
      <c r="V6">
        <v>36.8616361419692</v>
      </c>
      <c r="W6">
        <v>1.0886554534073101</v>
      </c>
      <c r="X6">
        <v>2.54640210153834</v>
      </c>
      <c r="AJ6">
        <v>9.3430192739750298E-2</v>
      </c>
      <c r="AK6">
        <v>9.2396863737750606E-2</v>
      </c>
      <c r="AL6">
        <v>0.75872137107473803</v>
      </c>
      <c r="AM6">
        <v>2.2694880840855899E-2</v>
      </c>
      <c r="AN6">
        <v>3.2756691606904302E-2</v>
      </c>
    </row>
    <row r="7" spans="1:40" x14ac:dyDescent="0.2">
      <c r="A7">
        <v>52</v>
      </c>
      <c r="B7">
        <v>740</v>
      </c>
      <c r="C7">
        <v>250</v>
      </c>
      <c r="D7">
        <v>0.31691309282929903</v>
      </c>
      <c r="E7">
        <v>4.25371153727531E-2</v>
      </c>
      <c r="F7">
        <v>4.6598058489614296</v>
      </c>
      <c r="G7">
        <v>-0.40489779173349288</v>
      </c>
      <c r="H7">
        <v>-0.32893839034197186</v>
      </c>
      <c r="I7">
        <v>7.4973499868253399E-2</v>
      </c>
      <c r="J7">
        <v>3.8947280951030498E-2</v>
      </c>
      <c r="K7">
        <v>9.1285166703316007E-3</v>
      </c>
      <c r="L7">
        <v>3.1452822844577763E-5</v>
      </c>
      <c r="M7">
        <v>5.5247995517863854E-7</v>
      </c>
      <c r="N7" s="1">
        <v>5.0691751901427903E-11</v>
      </c>
      <c r="O7" s="1">
        <v>1.9889100185174901E-14</v>
      </c>
      <c r="P7" s="1">
        <v>6.8057548814195194E-14</v>
      </c>
      <c r="R7">
        <v>47.209949598481899</v>
      </c>
      <c r="S7">
        <v>2.3194237727570601</v>
      </c>
      <c r="T7">
        <v>10.030442524786199</v>
      </c>
      <c r="V7">
        <v>36.497638723604801</v>
      </c>
      <c r="W7">
        <v>1.39466399981906</v>
      </c>
      <c r="X7">
        <v>2.54788138055082</v>
      </c>
      <c r="AJ7">
        <v>9.3455149940636806E-2</v>
      </c>
      <c r="AK7">
        <v>9.2856622646744699E-2</v>
      </c>
      <c r="AL7">
        <v>0.75099362420690197</v>
      </c>
      <c r="AM7">
        <v>2.9065032833725898E-2</v>
      </c>
      <c r="AN7">
        <v>3.36295703719902E-2</v>
      </c>
    </row>
    <row r="8" spans="1:40" x14ac:dyDescent="0.2">
      <c r="A8">
        <v>70</v>
      </c>
      <c r="B8">
        <v>746</v>
      </c>
      <c r="C8">
        <v>225</v>
      </c>
      <c r="D8">
        <v>0.34832998086640898</v>
      </c>
      <c r="E8">
        <v>1.2291934826355501E-2</v>
      </c>
      <c r="F8">
        <v>4.6513428407518802</v>
      </c>
      <c r="G8">
        <v>-0.11709405328895457</v>
      </c>
      <c r="H8">
        <v>-9.4984651529237518E-2</v>
      </c>
      <c r="I8">
        <v>2.1693962380137401E-2</v>
      </c>
      <c r="J8">
        <v>1.12896633290844E-2</v>
      </c>
      <c r="K8">
        <v>2.6426636881422701E-3</v>
      </c>
      <c r="L8">
        <v>3.1599989080005025E-5</v>
      </c>
      <c r="M8">
        <v>5.5325602852068789E-7</v>
      </c>
      <c r="N8" s="1">
        <v>1.25331806443671E-11</v>
      </c>
      <c r="O8" s="1">
        <v>5.7558835507068203E-15</v>
      </c>
      <c r="P8" s="1">
        <v>2.3189865370336399E-14</v>
      </c>
      <c r="R8">
        <v>47.314868020870101</v>
      </c>
      <c r="S8">
        <v>2.17591843609399</v>
      </c>
      <c r="T8">
        <v>10.055651299536899</v>
      </c>
      <c r="V8">
        <v>36.965823496770099</v>
      </c>
      <c r="W8">
        <v>0.82710534735428098</v>
      </c>
      <c r="X8">
        <v>2.66063339937444</v>
      </c>
      <c r="AJ8">
        <v>9.7581675799856105E-2</v>
      </c>
      <c r="AK8">
        <v>9.3081247410860296E-2</v>
      </c>
      <c r="AL8">
        <v>0.76055577360150195</v>
      </c>
      <c r="AM8">
        <v>1.72353955889584E-2</v>
      </c>
      <c r="AN8">
        <v>3.1545907598822899E-2</v>
      </c>
    </row>
    <row r="9" spans="1:40" x14ac:dyDescent="0.2">
      <c r="A9">
        <v>71</v>
      </c>
      <c r="B9">
        <v>745</v>
      </c>
      <c r="C9">
        <v>225</v>
      </c>
      <c r="D9">
        <v>0.347621175661739</v>
      </c>
      <c r="E9">
        <v>3.00255182825424E-2</v>
      </c>
      <c r="F9">
        <v>4.6544014377315097</v>
      </c>
      <c r="G9">
        <v>-0.28637464472611779</v>
      </c>
      <c r="H9">
        <v>-0.2323644524394613</v>
      </c>
      <c r="I9">
        <v>5.30473822979486E-2</v>
      </c>
      <c r="J9">
        <v>2.75418615299843E-2</v>
      </c>
      <c r="K9">
        <v>6.4509945444620699E-3</v>
      </c>
      <c r="L9">
        <v>3.1491787477882741E-5</v>
      </c>
      <c r="M9">
        <v>5.5294196122288761E-7</v>
      </c>
      <c r="N9" s="1">
        <v>3.35152252403519E-11</v>
      </c>
      <c r="O9" s="1">
        <v>1.40425879749249E-14</v>
      </c>
      <c r="P9" s="1">
        <v>5.2954744458551202E-14</v>
      </c>
      <c r="R9">
        <v>47.255937337013002</v>
      </c>
      <c r="S9">
        <v>2.2377632971027999</v>
      </c>
      <c r="T9">
        <v>10.116295024744501</v>
      </c>
      <c r="V9">
        <v>36.502743588153997</v>
      </c>
      <c r="W9">
        <v>1.21955146672113</v>
      </c>
      <c r="X9">
        <v>2.6677092862643801</v>
      </c>
      <c r="AJ9">
        <v>9.7805229867877305E-2</v>
      </c>
      <c r="AK9">
        <v>9.3608184044319101E-2</v>
      </c>
      <c r="AL9">
        <v>0.75075206212009205</v>
      </c>
      <c r="AM9">
        <v>2.5403929806878799E-2</v>
      </c>
      <c r="AN9">
        <v>3.2430594160832299E-2</v>
      </c>
    </row>
    <row r="10" spans="1:40" x14ac:dyDescent="0.2">
      <c r="A10">
        <v>86</v>
      </c>
      <c r="B10">
        <v>750</v>
      </c>
      <c r="C10">
        <v>200</v>
      </c>
      <c r="D10">
        <v>0.37802912573913899</v>
      </c>
      <c r="E10">
        <v>1.7368930645302701E-2</v>
      </c>
      <c r="F10">
        <v>4.6495577721339902</v>
      </c>
      <c r="G10">
        <v>-0.16605877319298507</v>
      </c>
      <c r="H10">
        <v>-0.13457507987410716</v>
      </c>
      <c r="I10">
        <v>3.0771336870329801E-2</v>
      </c>
      <c r="J10">
        <v>1.5958940113617998E-2</v>
      </c>
      <c r="K10">
        <v>3.7356091689836101E-3</v>
      </c>
      <c r="L10">
        <v>3.1503414069964324E-5</v>
      </c>
      <c r="M10">
        <v>5.5327995538280191E-7</v>
      </c>
      <c r="N10" s="1">
        <v>1.8207621480418801E-11</v>
      </c>
      <c r="O10" s="1">
        <v>8.12104502482424E-15</v>
      </c>
      <c r="P10" s="1">
        <v>3.3400807628500202E-14</v>
      </c>
      <c r="R10">
        <v>47.278145738806302</v>
      </c>
      <c r="S10">
        <v>2.1830478145413799</v>
      </c>
      <c r="T10">
        <v>10.2231790110558</v>
      </c>
      <c r="V10">
        <v>36.391698753703402</v>
      </c>
      <c r="W10">
        <v>1.13426613542483</v>
      </c>
      <c r="X10">
        <v>2.7896625464680902</v>
      </c>
      <c r="AJ10">
        <v>0.102214334384667</v>
      </c>
      <c r="AK10">
        <v>9.4539838263877005E-2</v>
      </c>
      <c r="AL10">
        <v>0.74801431712705702</v>
      </c>
      <c r="AM10">
        <v>2.3613061207028701E-2</v>
      </c>
      <c r="AN10">
        <v>3.1618449017369703E-2</v>
      </c>
    </row>
    <row r="11" spans="1:40" x14ac:dyDescent="0.2">
      <c r="A11">
        <v>87</v>
      </c>
      <c r="B11">
        <v>749</v>
      </c>
      <c r="C11">
        <v>200</v>
      </c>
      <c r="D11">
        <v>0.37735214988015597</v>
      </c>
      <c r="E11">
        <v>2.92714551739423E-2</v>
      </c>
      <c r="F11">
        <v>4.6522697218631102</v>
      </c>
      <c r="G11">
        <v>-0.28012887825359906</v>
      </c>
      <c r="H11">
        <v>-0.22707830061456866</v>
      </c>
      <c r="I11">
        <v>5.1900971128533299E-2</v>
      </c>
      <c r="J11">
        <v>2.68677084801686E-2</v>
      </c>
      <c r="K11">
        <v>6.2918654600748001E-3</v>
      </c>
      <c r="L11">
        <v>3.1411380764517899E-5</v>
      </c>
      <c r="M11">
        <v>5.5298441893437534E-7</v>
      </c>
      <c r="N11" s="1">
        <v>3.2279753336784502E-11</v>
      </c>
      <c r="O11" s="1">
        <v>1.36670958344424E-14</v>
      </c>
      <c r="P11" s="1">
        <v>5.4490390229988903E-14</v>
      </c>
      <c r="R11">
        <v>47.216755389023902</v>
      </c>
      <c r="S11">
        <v>2.2420066964703</v>
      </c>
      <c r="T11">
        <v>10.28792602231</v>
      </c>
      <c r="V11">
        <v>35.987568631298501</v>
      </c>
      <c r="W11">
        <v>1.4725313712480901</v>
      </c>
      <c r="X11">
        <v>2.7932118896490099</v>
      </c>
      <c r="AJ11">
        <v>0.102311846996732</v>
      </c>
      <c r="AK11">
        <v>9.5108346625219206E-2</v>
      </c>
      <c r="AL11">
        <v>0.73947244834950498</v>
      </c>
      <c r="AM11">
        <v>3.0645294019757099E-2</v>
      </c>
      <c r="AN11">
        <v>3.2462064008785499E-2</v>
      </c>
    </row>
    <row r="12" spans="1:40" x14ac:dyDescent="0.2">
      <c r="A12">
        <v>98</v>
      </c>
      <c r="B12">
        <v>755</v>
      </c>
      <c r="C12">
        <v>175</v>
      </c>
      <c r="D12">
        <v>0.40814132179156798</v>
      </c>
      <c r="E12">
        <v>1.37094055087216E-2</v>
      </c>
      <c r="F12">
        <v>4.6464638598595096</v>
      </c>
      <c r="G12">
        <v>-0.1315090601377456</v>
      </c>
      <c r="H12">
        <v>-0.10644337485947751</v>
      </c>
      <c r="I12">
        <v>2.4379405026764601E-2</v>
      </c>
      <c r="J12">
        <v>1.2609707331298599E-2</v>
      </c>
      <c r="K12">
        <v>2.9505029894144399E-3</v>
      </c>
      <c r="L12">
        <v>3.144823450190787E-5</v>
      </c>
      <c r="M12">
        <v>5.5336757384977624E-7</v>
      </c>
      <c r="N12" s="1">
        <v>1.4041212375705E-11</v>
      </c>
      <c r="O12" s="1">
        <v>6.4013622068222E-15</v>
      </c>
      <c r="P12" s="1">
        <v>2.7909540102531901E-14</v>
      </c>
      <c r="R12">
        <v>47.252640568899601</v>
      </c>
      <c r="S12">
        <v>2.1726920928224698</v>
      </c>
      <c r="T12">
        <v>10.386163659221101</v>
      </c>
      <c r="V12">
        <v>35.970588685181099</v>
      </c>
      <c r="W12">
        <v>1.29779719753943</v>
      </c>
      <c r="X12">
        <v>2.9201177963361298</v>
      </c>
      <c r="AJ12">
        <v>0.106899572766413</v>
      </c>
      <c r="AK12">
        <v>9.59620498675504E-2</v>
      </c>
      <c r="AL12">
        <v>0.73870424093695597</v>
      </c>
      <c r="AM12">
        <v>2.6993526411876901E-2</v>
      </c>
      <c r="AN12">
        <v>3.1440610017202997E-2</v>
      </c>
    </row>
    <row r="13" spans="1:40" x14ac:dyDescent="0.2">
      <c r="A13">
        <v>99</v>
      </c>
      <c r="B13">
        <v>754</v>
      </c>
      <c r="C13">
        <v>175</v>
      </c>
      <c r="D13">
        <v>0.40749695760112897</v>
      </c>
      <c r="E13">
        <v>2.4817515982200399E-2</v>
      </c>
      <c r="F13">
        <v>4.6490896293961104</v>
      </c>
      <c r="G13">
        <v>-0.23827644251500391</v>
      </c>
      <c r="H13">
        <v>-0.19291141243424106</v>
      </c>
      <c r="I13">
        <v>4.4165925211276602E-2</v>
      </c>
      <c r="J13">
        <v>2.2805926932127799E-2</v>
      </c>
      <c r="K13">
        <v>5.3381453059712404E-3</v>
      </c>
      <c r="L13">
        <v>3.1364485549052421E-5</v>
      </c>
      <c r="M13">
        <v>5.5308493596048659E-7</v>
      </c>
      <c r="N13" s="1">
        <v>2.6393135792266901E-11</v>
      </c>
      <c r="O13" s="1">
        <v>1.15712186671479E-14</v>
      </c>
      <c r="P13" s="1">
        <v>4.95369577371064E-14</v>
      </c>
      <c r="R13">
        <v>47.190605431781897</v>
      </c>
      <c r="S13">
        <v>2.2293099913768599</v>
      </c>
      <c r="T13">
        <v>10.4535066715636</v>
      </c>
      <c r="V13">
        <v>35.583680198096197</v>
      </c>
      <c r="W13">
        <v>1.62020992265826</v>
      </c>
      <c r="X13">
        <v>2.9226877845230201</v>
      </c>
      <c r="AJ13">
        <v>0.106962000870558</v>
      </c>
      <c r="AK13">
        <v>9.6555685404907193E-2</v>
      </c>
      <c r="AL13">
        <v>0.73054236269548301</v>
      </c>
      <c r="AM13">
        <v>3.3689578330215297E-2</v>
      </c>
      <c r="AN13">
        <v>3.2250372698835399E-2</v>
      </c>
    </row>
    <row r="14" spans="1:40" x14ac:dyDescent="0.2">
      <c r="A14">
        <v>114</v>
      </c>
      <c r="B14">
        <v>761</v>
      </c>
      <c r="C14">
        <v>150</v>
      </c>
      <c r="D14">
        <v>0.43857322438717999</v>
      </c>
      <c r="E14">
        <v>1.02214697086714E-2</v>
      </c>
      <c r="F14">
        <v>4.6433505941828201</v>
      </c>
      <c r="G14">
        <v>-9.8414098215172635E-2</v>
      </c>
      <c r="H14">
        <v>-7.9533464583331395E-2</v>
      </c>
      <c r="I14">
        <v>1.8257151894639199E-2</v>
      </c>
      <c r="J14">
        <v>9.4131084658786706E-3</v>
      </c>
      <c r="K14">
        <v>2.2013133622683801E-3</v>
      </c>
      <c r="L14">
        <v>3.1389230929505865E-5</v>
      </c>
      <c r="M14">
        <v>5.5336362603587655E-7</v>
      </c>
      <c r="N14" s="1">
        <v>1.0135601842254E-11</v>
      </c>
      <c r="O14" s="1">
        <v>4.7641787753498498E-15</v>
      </c>
      <c r="P14" s="1">
        <v>2.21872350098835E-14</v>
      </c>
      <c r="R14">
        <v>47.2098767347577</v>
      </c>
      <c r="S14">
        <v>2.1721655686127099</v>
      </c>
      <c r="T14">
        <v>10.578221069294999</v>
      </c>
      <c r="V14">
        <v>35.4853056779017</v>
      </c>
      <c r="W14">
        <v>1.49661035212981</v>
      </c>
      <c r="X14">
        <v>3.0578205973028898</v>
      </c>
      <c r="AJ14">
        <v>0.111831313535336</v>
      </c>
      <c r="AK14">
        <v>9.7641135094856904E-2</v>
      </c>
      <c r="AL14">
        <v>0.728026894972433</v>
      </c>
      <c r="AM14">
        <v>3.1098351133814799E-2</v>
      </c>
      <c r="AN14">
        <v>3.14023052635585E-2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8B85D-797A-4300-BE8D-1D2656D28DB4}">
  <sheetPr codeName="Sheet7"/>
  <dimension ref="A1:AN2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26</v>
      </c>
      <c r="B2">
        <v>738</v>
      </c>
      <c r="C2">
        <v>275</v>
      </c>
      <c r="D2">
        <v>0.28822677149780002</v>
      </c>
      <c r="E2">
        <v>0.44963690626664599</v>
      </c>
      <c r="F2">
        <v>4.9390974414145603</v>
      </c>
      <c r="G2">
        <v>-3.003257081333865</v>
      </c>
      <c r="H2">
        <v>-2.2035628822301181</v>
      </c>
      <c r="I2">
        <v>0.79087593245685295</v>
      </c>
      <c r="J2">
        <v>0.39844779972968702</v>
      </c>
      <c r="K2">
        <v>9.1036249355280999E-2</v>
      </c>
      <c r="L2">
        <v>3.5632593164197773E-5</v>
      </c>
      <c r="M2">
        <v>4.1457906461667412E-7</v>
      </c>
      <c r="N2" s="1">
        <v>1.7717864878307201E-9</v>
      </c>
      <c r="O2" s="1">
        <v>2.18926345413053E-13</v>
      </c>
      <c r="P2">
        <v>0</v>
      </c>
      <c r="R2">
        <v>9.0485837926214892</v>
      </c>
      <c r="S2">
        <v>1.80496749788871</v>
      </c>
      <c r="T2">
        <v>49.871046654582202</v>
      </c>
      <c r="V2">
        <v>38.371989277654102</v>
      </c>
      <c r="X2">
        <v>0.90341277725334701</v>
      </c>
      <c r="AJ2">
        <v>0</v>
      </c>
      <c r="AK2">
        <v>-1.0631215397799701E-2</v>
      </c>
      <c r="AL2">
        <v>0.70456024362999603</v>
      </c>
      <c r="AM2">
        <v>5.0569321060311499E-2</v>
      </c>
      <c r="AN2">
        <v>0.25550165070749098</v>
      </c>
    </row>
    <row r="3" spans="1:40" x14ac:dyDescent="0.2">
      <c r="A3">
        <v>27</v>
      </c>
      <c r="B3">
        <v>737</v>
      </c>
      <c r="C3">
        <v>275</v>
      </c>
      <c r="D3">
        <v>0.28745285353660599</v>
      </c>
      <c r="E3">
        <v>0.50662361459661498</v>
      </c>
      <c r="F3">
        <v>4.9396995304157496</v>
      </c>
      <c r="G3">
        <v>-3.3820343616711268</v>
      </c>
      <c r="H3">
        <v>-2.4824123516852747</v>
      </c>
      <c r="I3">
        <v>0.89058259663005601</v>
      </c>
      <c r="J3">
        <v>0.44896198307290203</v>
      </c>
      <c r="K3">
        <v>0.10256162575823199</v>
      </c>
      <c r="L3">
        <v>3.5744491111944496E-5</v>
      </c>
      <c r="M3">
        <v>4.1603263350210289E-7</v>
      </c>
      <c r="N3" s="1">
        <v>2.0037494532781702E-9</v>
      </c>
      <c r="O3" s="1">
        <v>2.4765167581399698E-13</v>
      </c>
      <c r="P3">
        <v>0</v>
      </c>
      <c r="R3">
        <v>8.9057635609774994</v>
      </c>
      <c r="S3">
        <v>1.8681049060546</v>
      </c>
      <c r="T3">
        <v>50.068922872209299</v>
      </c>
      <c r="V3">
        <v>38.260369555215803</v>
      </c>
      <c r="X3">
        <v>0.896839105542657</v>
      </c>
      <c r="AJ3">
        <v>0</v>
      </c>
      <c r="AK3">
        <v>-8.8648048052595296E-3</v>
      </c>
      <c r="AL3">
        <v>0.70724275957493499</v>
      </c>
      <c r="AM3">
        <v>5.0193333787875001E-2</v>
      </c>
      <c r="AN3">
        <v>0.25142871144244899</v>
      </c>
    </row>
    <row r="4" spans="1:40" x14ac:dyDescent="0.2">
      <c r="A4">
        <v>28</v>
      </c>
      <c r="B4">
        <v>736</v>
      </c>
      <c r="C4">
        <v>275</v>
      </c>
      <c r="D4">
        <v>0.28667740177377199</v>
      </c>
      <c r="E4">
        <v>0.52501187112472902</v>
      </c>
      <c r="F4">
        <v>4.9401837397586004</v>
      </c>
      <c r="G4">
        <v>-3.5032154772968038</v>
      </c>
      <c r="H4">
        <v>-2.5723939142455041</v>
      </c>
      <c r="I4">
        <v>0.92238176985710696</v>
      </c>
      <c r="J4">
        <v>0.465270635746311</v>
      </c>
      <c r="K4">
        <v>0.106273753929319</v>
      </c>
      <c r="L4">
        <v>3.5833119824878414E-5</v>
      </c>
      <c r="M4">
        <v>4.172268449275903E-7</v>
      </c>
      <c r="N4" s="1">
        <v>2.0828186785236902E-9</v>
      </c>
      <c r="O4" s="1">
        <v>2.5748103023110202E-13</v>
      </c>
      <c r="P4">
        <v>0</v>
      </c>
      <c r="R4">
        <v>8.7841016536901293</v>
      </c>
      <c r="S4">
        <v>1.92564648237734</v>
      </c>
      <c r="T4">
        <v>50.232931246518298</v>
      </c>
      <c r="V4">
        <v>38.166331791785097</v>
      </c>
      <c r="X4">
        <v>0.89098882562899495</v>
      </c>
      <c r="AJ4">
        <v>0</v>
      </c>
      <c r="AK4">
        <v>-7.2632514455053298E-3</v>
      </c>
      <c r="AL4">
        <v>0.70944953862455995</v>
      </c>
      <c r="AM4">
        <v>4.98581879372395E-2</v>
      </c>
      <c r="AN4">
        <v>0.24795552488370501</v>
      </c>
    </row>
    <row r="5" spans="1:40" x14ac:dyDescent="0.2">
      <c r="A5">
        <v>50</v>
      </c>
      <c r="B5">
        <v>742</v>
      </c>
      <c r="C5">
        <v>250</v>
      </c>
      <c r="D5">
        <v>0.318396788651924</v>
      </c>
      <c r="E5">
        <v>0.47137789223321103</v>
      </c>
      <c r="F5">
        <v>4.9356858771334</v>
      </c>
      <c r="G5">
        <v>-3.1583570274382939</v>
      </c>
      <c r="H5">
        <v>-2.3146088820269699</v>
      </c>
      <c r="I5">
        <v>0.83115613004120004</v>
      </c>
      <c r="J5">
        <v>0.41793302023710099</v>
      </c>
      <c r="K5">
        <v>9.5504030030975504E-2</v>
      </c>
      <c r="L5">
        <v>3.5673994977165148E-5</v>
      </c>
      <c r="M5">
        <v>4.1514817290732506E-7</v>
      </c>
      <c r="N5" s="1">
        <v>1.85545437160964E-9</v>
      </c>
      <c r="O5" s="1">
        <v>2.2895843338329301E-13</v>
      </c>
      <c r="P5">
        <v>0</v>
      </c>
      <c r="R5">
        <v>9.1392371668855095</v>
      </c>
      <c r="S5">
        <v>1.7816431860861199</v>
      </c>
      <c r="T5">
        <v>49.750773953543799</v>
      </c>
      <c r="V5">
        <v>38.3744037075178</v>
      </c>
      <c r="X5">
        <v>0.95394198596664304</v>
      </c>
      <c r="AJ5">
        <v>0</v>
      </c>
      <c r="AK5">
        <v>-1.39709110545315E-2</v>
      </c>
      <c r="AL5">
        <v>0.70261903175073404</v>
      </c>
      <c r="AM5">
        <v>5.3379349319447301E-2</v>
      </c>
      <c r="AN5">
        <v>0.257972529984349</v>
      </c>
    </row>
    <row r="6" spans="1:40" x14ac:dyDescent="0.2">
      <c r="A6">
        <v>51</v>
      </c>
      <c r="B6">
        <v>741</v>
      </c>
      <c r="C6">
        <v>250</v>
      </c>
      <c r="D6">
        <v>0.31765567223783697</v>
      </c>
      <c r="E6">
        <v>0.52180603635273204</v>
      </c>
      <c r="F6">
        <v>4.9363508577618198</v>
      </c>
      <c r="G6">
        <v>-3.494126703187082</v>
      </c>
      <c r="H6">
        <v>-2.5615962484596229</v>
      </c>
      <c r="I6">
        <v>0.91951925723754802</v>
      </c>
      <c r="J6">
        <v>0.46265740595363097</v>
      </c>
      <c r="K6">
        <v>0.105706837173507</v>
      </c>
      <c r="L6">
        <v>3.5792537764142745E-5</v>
      </c>
      <c r="M6">
        <v>4.1667338520873013E-7</v>
      </c>
      <c r="N6" s="1">
        <v>2.06194101991222E-9</v>
      </c>
      <c r="O6" s="1">
        <v>2.5450875833683298E-13</v>
      </c>
      <c r="P6">
        <v>0</v>
      </c>
      <c r="R6">
        <v>8.9918019343160793</v>
      </c>
      <c r="S6">
        <v>1.84411691112696</v>
      </c>
      <c r="T6">
        <v>49.9581146072941</v>
      </c>
      <c r="V6">
        <v>38.2590117110121</v>
      </c>
      <c r="X6">
        <v>0.94695483625062404</v>
      </c>
      <c r="AJ6">
        <v>0</v>
      </c>
      <c r="AK6">
        <v>-1.2196257515558801E-2</v>
      </c>
      <c r="AL6">
        <v>0.70544253528536005</v>
      </c>
      <c r="AM6">
        <v>5.2980507294105597E-2</v>
      </c>
      <c r="AN6">
        <v>0.25377321493609201</v>
      </c>
    </row>
    <row r="7" spans="1:40" x14ac:dyDescent="0.2">
      <c r="A7">
        <v>52</v>
      </c>
      <c r="B7">
        <v>740</v>
      </c>
      <c r="C7">
        <v>250</v>
      </c>
      <c r="D7">
        <v>0.31691309282929903</v>
      </c>
      <c r="E7">
        <v>0.53819734991682999</v>
      </c>
      <c r="F7">
        <v>4.93688055965921</v>
      </c>
      <c r="G7">
        <v>-3.6021203616095163</v>
      </c>
      <c r="H7">
        <v>-2.6417972701630035</v>
      </c>
      <c r="I7">
        <v>0.94785874889849597</v>
      </c>
      <c r="J7">
        <v>0.47720278131869698</v>
      </c>
      <c r="K7">
        <v>0.109015671619566</v>
      </c>
      <c r="L7">
        <v>3.5885913483009944E-5</v>
      </c>
      <c r="M7">
        <v>4.1791883322904568E-7</v>
      </c>
      <c r="N7" s="1">
        <v>2.1334753378737702E-9</v>
      </c>
      <c r="O7" s="1">
        <v>2.6340033515987501E-13</v>
      </c>
      <c r="P7">
        <v>0</v>
      </c>
      <c r="R7">
        <v>8.8670180050528309</v>
      </c>
      <c r="S7">
        <v>1.9009932067209001</v>
      </c>
      <c r="T7">
        <v>50.1287845793521</v>
      </c>
      <c r="V7">
        <v>38.162370744610499</v>
      </c>
      <c r="X7">
        <v>0.94083346426360903</v>
      </c>
      <c r="AJ7">
        <v>0</v>
      </c>
      <c r="AK7">
        <v>-1.05943605904084E-2</v>
      </c>
      <c r="AL7">
        <v>0.70774910816700898</v>
      </c>
      <c r="AM7">
        <v>5.2630337610774999E-2</v>
      </c>
      <c r="AN7">
        <v>0.25021491481262398</v>
      </c>
    </row>
    <row r="8" spans="1:40" x14ac:dyDescent="0.2">
      <c r="A8">
        <v>69</v>
      </c>
      <c r="B8">
        <v>747</v>
      </c>
      <c r="C8">
        <v>225</v>
      </c>
      <c r="D8">
        <v>0.34903739646130499</v>
      </c>
      <c r="E8">
        <v>0.31379323142237597</v>
      </c>
      <c r="F8">
        <v>4.9442486343003598</v>
      </c>
      <c r="G8">
        <v>-2.0878792979639695</v>
      </c>
      <c r="H8">
        <v>-1.5233481110852851</v>
      </c>
      <c r="I8">
        <v>0.553380568424922</v>
      </c>
      <c r="J8">
        <v>0.27815839797944297</v>
      </c>
      <c r="K8">
        <v>6.3466313009717695E-2</v>
      </c>
      <c r="L8">
        <v>3.7021847365646946E-5</v>
      </c>
      <c r="M8">
        <v>4.2955283462288483E-7</v>
      </c>
      <c r="N8" s="1">
        <v>1.27785646520276E-9</v>
      </c>
      <c r="O8" s="1">
        <v>1.58064663112909E-13</v>
      </c>
      <c r="P8">
        <v>0</v>
      </c>
      <c r="R8">
        <v>8.1452289927026307</v>
      </c>
      <c r="S8">
        <v>1.81623891012642</v>
      </c>
      <c r="T8">
        <v>51.594525780295101</v>
      </c>
      <c r="V8">
        <v>37.553223439607997</v>
      </c>
      <c r="X8">
        <v>0.89078287726774197</v>
      </c>
      <c r="AJ8">
        <v>0</v>
      </c>
      <c r="AK8">
        <v>-9.6836541065921603E-3</v>
      </c>
      <c r="AL8">
        <v>0.72957256792188496</v>
      </c>
      <c r="AM8">
        <v>4.9907748173250999E-2</v>
      </c>
      <c r="AN8">
        <v>0.23020333801145501</v>
      </c>
    </row>
    <row r="9" spans="1:40" x14ac:dyDescent="0.2">
      <c r="A9">
        <v>70</v>
      </c>
      <c r="B9">
        <v>746</v>
      </c>
      <c r="C9">
        <v>225</v>
      </c>
      <c r="D9">
        <v>0.34832998086640898</v>
      </c>
      <c r="E9">
        <v>0.50603149217964905</v>
      </c>
      <c r="F9">
        <v>4.9322465437690903</v>
      </c>
      <c r="G9">
        <v>-3.4012402448638865</v>
      </c>
      <c r="H9">
        <v>-2.4896697776177454</v>
      </c>
      <c r="I9">
        <v>0.89444190476979901</v>
      </c>
      <c r="J9">
        <v>0.44890889962844299</v>
      </c>
      <c r="K9">
        <v>0.102596552643727</v>
      </c>
      <c r="L9">
        <v>3.5741980103618458E-5</v>
      </c>
      <c r="M9">
        <v>4.160258899318459E-7</v>
      </c>
      <c r="N9" s="1">
        <v>1.9912154585083201E-9</v>
      </c>
      <c r="O9" s="1">
        <v>2.4538156726179601E-13</v>
      </c>
      <c r="P9">
        <v>0</v>
      </c>
      <c r="R9">
        <v>9.2016698274080806</v>
      </c>
      <c r="S9">
        <v>1.7731046337679099</v>
      </c>
      <c r="T9">
        <v>49.668014263447297</v>
      </c>
      <c r="V9">
        <v>38.351946639026302</v>
      </c>
      <c r="X9">
        <v>1.0052646363503099</v>
      </c>
      <c r="AJ9">
        <v>0</v>
      </c>
      <c r="AK9">
        <v>-1.702472903377E-2</v>
      </c>
      <c r="AL9">
        <v>0.70116652939959501</v>
      </c>
      <c r="AM9">
        <v>5.6228439159769598E-2</v>
      </c>
      <c r="AN9">
        <v>0.259629760474404</v>
      </c>
    </row>
    <row r="10" spans="1:40" x14ac:dyDescent="0.2">
      <c r="A10">
        <v>71</v>
      </c>
      <c r="B10">
        <v>745</v>
      </c>
      <c r="C10">
        <v>225</v>
      </c>
      <c r="D10">
        <v>0.347621175661739</v>
      </c>
      <c r="E10">
        <v>0.540002660782266</v>
      </c>
      <c r="F10">
        <v>4.9329365879343596</v>
      </c>
      <c r="G10">
        <v>-3.627293092243276</v>
      </c>
      <c r="H10">
        <v>-2.6560675986499347</v>
      </c>
      <c r="I10">
        <v>0.95391199095746404</v>
      </c>
      <c r="J10">
        <v>0.47905700069913199</v>
      </c>
      <c r="K10">
        <v>0.109468802437695</v>
      </c>
      <c r="L10">
        <v>3.5859908558342246E-5</v>
      </c>
      <c r="M10">
        <v>4.1754162286866138E-7</v>
      </c>
      <c r="N10" s="1">
        <v>2.1331018713731801E-9</v>
      </c>
      <c r="O10" s="1">
        <v>2.6294175696629801E-13</v>
      </c>
      <c r="P10">
        <v>0</v>
      </c>
      <c r="R10">
        <v>9.0562159203657409</v>
      </c>
      <c r="S10">
        <v>1.8332143402599499</v>
      </c>
      <c r="T10">
        <v>49.8742143396396</v>
      </c>
      <c r="V10">
        <v>38.238255436562802</v>
      </c>
      <c r="X10">
        <v>0.99809996317182303</v>
      </c>
      <c r="AJ10">
        <v>0</v>
      </c>
      <c r="AK10">
        <v>-1.5292863757906901E-2</v>
      </c>
      <c r="AL10">
        <v>0.70398178225431796</v>
      </c>
      <c r="AM10">
        <v>5.5820103371263897E-2</v>
      </c>
      <c r="AN10">
        <v>0.25549097813232402</v>
      </c>
    </row>
    <row r="11" spans="1:40" x14ac:dyDescent="0.2">
      <c r="A11">
        <v>84</v>
      </c>
      <c r="B11">
        <v>752</v>
      </c>
      <c r="C11">
        <v>200</v>
      </c>
      <c r="D11">
        <v>0.37937911525142798</v>
      </c>
      <c r="E11">
        <v>0.222796195929649</v>
      </c>
      <c r="F11">
        <v>4.9499768395035399</v>
      </c>
      <c r="G11">
        <v>-1.4764391291551471</v>
      </c>
      <c r="H11">
        <v>-1.0732962914068378</v>
      </c>
      <c r="I11">
        <v>0.39325253645642999</v>
      </c>
      <c r="J11">
        <v>0.197459064684989</v>
      </c>
      <c r="K11">
        <v>4.5009543105659203E-2</v>
      </c>
      <c r="L11">
        <v>3.7795521646827181E-5</v>
      </c>
      <c r="M11">
        <v>4.3725152311483299E-7</v>
      </c>
      <c r="N11" s="1">
        <v>9.2387354078263496E-10</v>
      </c>
      <c r="O11" s="1">
        <v>1.1454529427157399E-13</v>
      </c>
      <c r="P11">
        <v>0</v>
      </c>
      <c r="R11">
        <v>7.55652543085034</v>
      </c>
      <c r="S11">
        <v>1.84023428802587</v>
      </c>
      <c r="T11">
        <v>52.660125228043903</v>
      </c>
      <c r="V11">
        <v>37.130950905369502</v>
      </c>
      <c r="X11">
        <v>0.81216414771024303</v>
      </c>
      <c r="AJ11">
        <v>0</v>
      </c>
      <c r="AK11">
        <v>-4.7524075039001501E-3</v>
      </c>
      <c r="AL11">
        <v>0.74541487712812604</v>
      </c>
      <c r="AM11">
        <v>4.5550298400276502E-2</v>
      </c>
      <c r="AN11">
        <v>0.21378723197549701</v>
      </c>
    </row>
    <row r="12" spans="1:40" x14ac:dyDescent="0.2">
      <c r="A12">
        <v>85</v>
      </c>
      <c r="B12">
        <v>751</v>
      </c>
      <c r="C12">
        <v>200</v>
      </c>
      <c r="D12">
        <v>0.378704779573308</v>
      </c>
      <c r="E12">
        <v>0.48388258426809799</v>
      </c>
      <c r="F12">
        <v>4.9318428415577698</v>
      </c>
      <c r="G12">
        <v>-3.2537517781106038</v>
      </c>
      <c r="H12">
        <v>-2.3759299256205053</v>
      </c>
      <c r="I12">
        <v>0.85712234779094698</v>
      </c>
      <c r="J12">
        <v>0.42945122219812198</v>
      </c>
      <c r="K12">
        <v>9.8113950467095395E-2</v>
      </c>
      <c r="L12">
        <v>3.6259472779428277E-5</v>
      </c>
      <c r="M12">
        <v>4.2170125336427252E-7</v>
      </c>
      <c r="N12" s="1">
        <v>1.9258662266166399E-9</v>
      </c>
      <c r="O12" s="1">
        <v>2.3717547898892398E-13</v>
      </c>
      <c r="P12">
        <v>0</v>
      </c>
      <c r="R12">
        <v>8.9375656578735008</v>
      </c>
      <c r="S12">
        <v>1.7671967350695399</v>
      </c>
      <c r="T12">
        <v>50.204448595157501</v>
      </c>
      <c r="V12">
        <v>38.048941098072198</v>
      </c>
      <c r="X12">
        <v>1.0418479138272001</v>
      </c>
      <c r="AJ12">
        <v>0</v>
      </c>
      <c r="AK12">
        <v>-1.9201785683072799E-2</v>
      </c>
      <c r="AL12">
        <v>0.70874619665460603</v>
      </c>
      <c r="AM12">
        <v>5.8275245256873602E-2</v>
      </c>
      <c r="AN12">
        <v>0.25218034377159199</v>
      </c>
    </row>
    <row r="13" spans="1:40" x14ac:dyDescent="0.2">
      <c r="A13">
        <v>86</v>
      </c>
      <c r="B13">
        <v>750</v>
      </c>
      <c r="C13">
        <v>200</v>
      </c>
      <c r="D13">
        <v>0.37802912573913899</v>
      </c>
      <c r="E13">
        <v>0.54484455723623804</v>
      </c>
      <c r="F13">
        <v>4.9288253867391099</v>
      </c>
      <c r="G13">
        <v>-3.6736084296449683</v>
      </c>
      <c r="H13">
        <v>-2.6858791332780814</v>
      </c>
      <c r="I13">
        <v>0.96538073241155897</v>
      </c>
      <c r="J13">
        <v>0.48363728966616398</v>
      </c>
      <c r="K13">
        <v>0.110542475029066</v>
      </c>
      <c r="L13">
        <v>3.5856869650857454E-5</v>
      </c>
      <c r="M13">
        <v>4.1743824789496851E-7</v>
      </c>
      <c r="N13" s="1">
        <v>2.1461011173656501E-9</v>
      </c>
      <c r="O13" s="1">
        <v>2.64122143925984E-13</v>
      </c>
      <c r="P13">
        <v>0</v>
      </c>
      <c r="R13">
        <v>9.2139383058661508</v>
      </c>
      <c r="S13">
        <v>1.7894269343107401</v>
      </c>
      <c r="T13">
        <v>49.652898269804801</v>
      </c>
      <c r="V13">
        <v>38.287053794091001</v>
      </c>
      <c r="X13">
        <v>1.0566826959272</v>
      </c>
      <c r="AJ13">
        <v>0</v>
      </c>
      <c r="AK13">
        <v>-1.9530214416259399E-2</v>
      </c>
      <c r="AL13">
        <v>0.70060727605057704</v>
      </c>
      <c r="AM13">
        <v>5.9075292266020797E-2</v>
      </c>
      <c r="AN13">
        <v>0.25984764609965999</v>
      </c>
    </row>
    <row r="14" spans="1:40" x14ac:dyDescent="0.2">
      <c r="A14">
        <v>87</v>
      </c>
      <c r="B14">
        <v>749</v>
      </c>
      <c r="C14">
        <v>200</v>
      </c>
      <c r="D14">
        <v>0.37735214988015597</v>
      </c>
      <c r="E14">
        <v>0.56066968173074205</v>
      </c>
      <c r="F14">
        <v>4.9294785814698603</v>
      </c>
      <c r="G14">
        <v>-3.7780407255090007</v>
      </c>
      <c r="H14">
        <v>-2.7632169535071203</v>
      </c>
      <c r="I14">
        <v>0.99283253143068995</v>
      </c>
      <c r="J14">
        <v>0.49769377722038199</v>
      </c>
      <c r="K14">
        <v>0.113738131217026</v>
      </c>
      <c r="L14">
        <v>3.5963870882871441E-5</v>
      </c>
      <c r="M14">
        <v>4.1883011651461455E-7</v>
      </c>
      <c r="N14" s="1">
        <v>2.2162719638212099E-9</v>
      </c>
      <c r="O14" s="1">
        <v>2.7283359484689401E-13</v>
      </c>
      <c r="P14">
        <v>0</v>
      </c>
      <c r="R14">
        <v>9.07954573115261</v>
      </c>
      <c r="S14">
        <v>1.8452769492297401</v>
      </c>
      <c r="T14">
        <v>49.842885861891197</v>
      </c>
      <c r="V14">
        <v>38.182535007162201</v>
      </c>
      <c r="X14">
        <v>1.0497564505642201</v>
      </c>
      <c r="AJ14">
        <v>0</v>
      </c>
      <c r="AK14">
        <v>-1.7906510468680002E-2</v>
      </c>
      <c r="AL14">
        <v>0.70320018549581798</v>
      </c>
      <c r="AM14">
        <v>5.8680741443632799E-2</v>
      </c>
      <c r="AN14">
        <v>0.256025583529228</v>
      </c>
    </row>
    <row r="15" spans="1:40" x14ac:dyDescent="0.2">
      <c r="A15">
        <v>96</v>
      </c>
      <c r="B15">
        <v>757</v>
      </c>
      <c r="C15">
        <v>175</v>
      </c>
      <c r="D15">
        <v>0.40942629714119499</v>
      </c>
      <c r="E15">
        <v>0.375263871332426</v>
      </c>
      <c r="F15">
        <v>4.9409687835693603</v>
      </c>
      <c r="G15">
        <v>-2.5042713561954519</v>
      </c>
      <c r="H15">
        <v>-1.8192661322392327</v>
      </c>
      <c r="I15">
        <v>0.66495677712587398</v>
      </c>
      <c r="J15">
        <v>0.33298865679594702</v>
      </c>
      <c r="K15">
        <v>7.5949451973937598E-2</v>
      </c>
      <c r="L15">
        <v>3.7811501621818553E-5</v>
      </c>
      <c r="M15">
        <v>4.381274198521301E-7</v>
      </c>
      <c r="N15" s="1">
        <v>1.55190517690826E-9</v>
      </c>
      <c r="O15" s="1">
        <v>1.9163875798928501E-13</v>
      </c>
      <c r="P15">
        <v>0</v>
      </c>
      <c r="R15">
        <v>7.7890982717050097</v>
      </c>
      <c r="S15">
        <v>1.8327847405694799</v>
      </c>
      <c r="T15">
        <v>52.306902105983198</v>
      </c>
      <c r="V15">
        <v>37.098046517695501</v>
      </c>
      <c r="X15">
        <v>0.97316836404663598</v>
      </c>
      <c r="AJ15">
        <v>0</v>
      </c>
      <c r="AK15">
        <v>-1.39277944594871E-2</v>
      </c>
      <c r="AL15">
        <v>0.73936888122385902</v>
      </c>
      <c r="AM15">
        <v>5.4503123822208399E-2</v>
      </c>
      <c r="AN15">
        <v>0.220055789413419</v>
      </c>
    </row>
    <row r="16" spans="1:40" x14ac:dyDescent="0.2">
      <c r="A16">
        <v>97</v>
      </c>
      <c r="B16">
        <v>756</v>
      </c>
      <c r="C16">
        <v>175</v>
      </c>
      <c r="D16">
        <v>0.40878443375601398</v>
      </c>
      <c r="E16">
        <v>0.52567069834605296</v>
      </c>
      <c r="F16">
        <v>4.9270201130566198</v>
      </c>
      <c r="G16">
        <v>-3.5504392780985952</v>
      </c>
      <c r="H16">
        <v>-2.5891110360505607</v>
      </c>
      <c r="I16">
        <v>0.93409924894139096</v>
      </c>
      <c r="J16">
        <v>0.46687269423408101</v>
      </c>
      <c r="K16">
        <v>0.106691405004218</v>
      </c>
      <c r="L16">
        <v>3.6227911360889354E-5</v>
      </c>
      <c r="M16">
        <v>4.2129338807535564E-7</v>
      </c>
      <c r="N16" s="1">
        <v>2.08481025636514E-9</v>
      </c>
      <c r="O16" s="1">
        <v>2.5631584076883798E-13</v>
      </c>
      <c r="P16">
        <v>0</v>
      </c>
      <c r="R16">
        <v>9.0941899028389805</v>
      </c>
      <c r="S16">
        <v>1.7608799346033199</v>
      </c>
      <c r="T16">
        <v>49.942937678806103</v>
      </c>
      <c r="V16">
        <v>38.098338920038202</v>
      </c>
      <c r="X16">
        <v>1.10365356371329</v>
      </c>
      <c r="AJ16">
        <v>0</v>
      </c>
      <c r="AK16">
        <v>-2.2785127865924602E-2</v>
      </c>
      <c r="AL16">
        <v>0.70464020344133704</v>
      </c>
      <c r="AM16">
        <v>6.1696048275709001E-2</v>
      </c>
      <c r="AN16">
        <v>0.25644887614887701</v>
      </c>
    </row>
    <row r="17" spans="1:40" x14ac:dyDescent="0.2">
      <c r="A17">
        <v>98</v>
      </c>
      <c r="B17">
        <v>755</v>
      </c>
      <c r="C17">
        <v>175</v>
      </c>
      <c r="D17">
        <v>0.40814132179156798</v>
      </c>
      <c r="E17">
        <v>0.56375366374356095</v>
      </c>
      <c r="F17">
        <v>4.9247124636894402</v>
      </c>
      <c r="G17">
        <v>-3.8154836363919733</v>
      </c>
      <c r="H17">
        <v>-2.7853962548741977</v>
      </c>
      <c r="I17">
        <v>1.00188433741941</v>
      </c>
      <c r="J17">
        <v>0.50076135967776303</v>
      </c>
      <c r="K17">
        <v>0.114474432345074</v>
      </c>
      <c r="L17">
        <v>3.592366900017879E-5</v>
      </c>
      <c r="M17">
        <v>4.1813021666005952E-7</v>
      </c>
      <c r="N17" s="1">
        <v>2.2186734869357601E-9</v>
      </c>
      <c r="O17" s="1">
        <v>2.7263265772938798E-13</v>
      </c>
      <c r="P17">
        <v>0</v>
      </c>
      <c r="R17">
        <v>9.2932195434823495</v>
      </c>
      <c r="S17">
        <v>1.78742032916438</v>
      </c>
      <c r="T17">
        <v>49.5337156270189</v>
      </c>
      <c r="V17">
        <v>38.270643892575301</v>
      </c>
      <c r="X17">
        <v>1.11500060775898</v>
      </c>
      <c r="AJ17">
        <v>0</v>
      </c>
      <c r="AK17">
        <v>-2.2823265598665501E-2</v>
      </c>
      <c r="AL17">
        <v>0.69856944346479</v>
      </c>
      <c r="AM17">
        <v>6.2303870368172802E-2</v>
      </c>
      <c r="AN17">
        <v>0.26194995176570202</v>
      </c>
    </row>
    <row r="18" spans="1:40" x14ac:dyDescent="0.2">
      <c r="A18">
        <v>99</v>
      </c>
      <c r="B18">
        <v>754</v>
      </c>
      <c r="C18">
        <v>175</v>
      </c>
      <c r="D18">
        <v>0.40749695760112897</v>
      </c>
      <c r="E18">
        <v>0.57476156815689605</v>
      </c>
      <c r="F18">
        <v>4.9253835858751502</v>
      </c>
      <c r="G18">
        <v>-3.8875827713050017</v>
      </c>
      <c r="H18">
        <v>-2.8390229793743971</v>
      </c>
      <c r="I18">
        <v>1.02084388057304</v>
      </c>
      <c r="J18">
        <v>0.51054614595293701</v>
      </c>
      <c r="K18">
        <v>0.116693767731142</v>
      </c>
      <c r="L18">
        <v>3.6029133256656337E-5</v>
      </c>
      <c r="M18">
        <v>4.195015553838163E-7</v>
      </c>
      <c r="N18" s="1">
        <v>2.2699086192400399E-9</v>
      </c>
      <c r="O18" s="1">
        <v>2.79007932879575E-13</v>
      </c>
      <c r="P18">
        <v>0</v>
      </c>
      <c r="R18">
        <v>9.1615753955013908</v>
      </c>
      <c r="S18">
        <v>1.8408604431612601</v>
      </c>
      <c r="T18">
        <v>49.721158264585299</v>
      </c>
      <c r="V18">
        <v>38.168467841224398</v>
      </c>
      <c r="X18">
        <v>1.10793805552751</v>
      </c>
      <c r="AJ18">
        <v>0</v>
      </c>
      <c r="AK18">
        <v>-2.1245833126781199E-2</v>
      </c>
      <c r="AL18">
        <v>0.70113356710753105</v>
      </c>
      <c r="AM18">
        <v>6.1902223088418501E-2</v>
      </c>
      <c r="AN18">
        <v>0.258210042930831</v>
      </c>
    </row>
    <row r="19" spans="1:40" x14ac:dyDescent="0.2">
      <c r="A19">
        <v>111</v>
      </c>
      <c r="B19">
        <v>764</v>
      </c>
      <c r="C19">
        <v>150</v>
      </c>
      <c r="D19">
        <v>0.44039965289495597</v>
      </c>
      <c r="E19">
        <v>0.28137520914565201</v>
      </c>
      <c r="F19">
        <v>4.9468955041002598</v>
      </c>
      <c r="G19">
        <v>-1.8702339708626161</v>
      </c>
      <c r="H19">
        <v>-1.3522587344830277</v>
      </c>
      <c r="I19">
        <v>0.49942171950015701</v>
      </c>
      <c r="J19">
        <v>0.249638935047028</v>
      </c>
      <c r="K19">
        <v>5.6879149541855703E-2</v>
      </c>
      <c r="L19">
        <v>3.8657594998903005E-5</v>
      </c>
      <c r="M19">
        <v>4.4603145169392761E-7</v>
      </c>
      <c r="N19" s="1">
        <v>1.18555171022937E-9</v>
      </c>
      <c r="O19" s="1">
        <v>1.46798296285208E-13</v>
      </c>
      <c r="P19">
        <v>0</v>
      </c>
      <c r="R19">
        <v>7.1557330659277101</v>
      </c>
      <c r="S19">
        <v>1.86752908800496</v>
      </c>
      <c r="T19">
        <v>53.4376795167164</v>
      </c>
      <c r="V19">
        <v>36.6600437589818</v>
      </c>
      <c r="X19">
        <v>0.87901457036904695</v>
      </c>
      <c r="AJ19">
        <v>0</v>
      </c>
      <c r="AK19">
        <v>-7.8944443555224592E-3</v>
      </c>
      <c r="AL19">
        <v>0.75621528495230905</v>
      </c>
      <c r="AM19">
        <v>4.92861821575745E-2</v>
      </c>
      <c r="AN19">
        <v>0.20239297724563801</v>
      </c>
    </row>
    <row r="20" spans="1:40" x14ac:dyDescent="0.2">
      <c r="A20">
        <v>112</v>
      </c>
      <c r="B20">
        <v>763</v>
      </c>
      <c r="C20">
        <v>150</v>
      </c>
      <c r="D20">
        <v>0.43979201853014099</v>
      </c>
      <c r="E20">
        <v>0.477220884959493</v>
      </c>
      <c r="F20">
        <v>4.9315177174420697</v>
      </c>
      <c r="G20">
        <v>-3.2100902639752391</v>
      </c>
      <c r="H20">
        <v>-2.3299242671512421</v>
      </c>
      <c r="I20">
        <v>0.84945808697968095</v>
      </c>
      <c r="J20">
        <v>0.42398062344233201</v>
      </c>
      <c r="K20">
        <v>9.6769577299019097E-2</v>
      </c>
      <c r="L20">
        <v>3.7605085666709684E-5</v>
      </c>
      <c r="M20">
        <v>4.3606188061834558E-7</v>
      </c>
      <c r="N20" s="1">
        <v>1.9562258305286898E-9</v>
      </c>
      <c r="O20" s="1">
        <v>2.40684710232426E-13</v>
      </c>
      <c r="P20">
        <v>0</v>
      </c>
      <c r="R20">
        <v>8.1720620381387103</v>
      </c>
      <c r="S20">
        <v>1.8190022202866201</v>
      </c>
      <c r="T20">
        <v>51.658461395988397</v>
      </c>
      <c r="V20">
        <v>37.239268752744501</v>
      </c>
      <c r="X20">
        <v>1.11120559284166</v>
      </c>
      <c r="AJ20">
        <v>0</v>
      </c>
      <c r="AK20">
        <v>-2.1934236283692499E-2</v>
      </c>
      <c r="AL20">
        <v>0.72921973332863199</v>
      </c>
      <c r="AM20">
        <v>6.2150211065651897E-2</v>
      </c>
      <c r="AN20">
        <v>0.230564291889407</v>
      </c>
    </row>
    <row r="21" spans="1:40" x14ac:dyDescent="0.2">
      <c r="A21">
        <v>113</v>
      </c>
      <c r="B21">
        <v>762</v>
      </c>
      <c r="C21">
        <v>150</v>
      </c>
      <c r="D21">
        <v>0.439183210162781</v>
      </c>
      <c r="E21">
        <v>0.55764111043644904</v>
      </c>
      <c r="F21">
        <v>4.9218465538966996</v>
      </c>
      <c r="G21">
        <v>-3.7844388284726631</v>
      </c>
      <c r="H21">
        <v>-2.7549454992281421</v>
      </c>
      <c r="I21">
        <v>0.99453540959718001</v>
      </c>
      <c r="J21">
        <v>0.49567229077869401</v>
      </c>
      <c r="K21">
        <v>0.11329916614221799</v>
      </c>
      <c r="L21">
        <v>3.6236229069377002E-5</v>
      </c>
      <c r="M21">
        <v>4.2115160320688973E-7</v>
      </c>
      <c r="N21" s="1">
        <v>2.2051130285703599E-9</v>
      </c>
      <c r="O21" s="1">
        <v>2.7061897206187802E-13</v>
      </c>
      <c r="P21">
        <v>0</v>
      </c>
      <c r="R21">
        <v>9.2319173813012192</v>
      </c>
      <c r="S21">
        <v>1.76596041116225</v>
      </c>
      <c r="T21">
        <v>49.706806644486399</v>
      </c>
      <c r="V21">
        <v>38.125581648879802</v>
      </c>
      <c r="X21">
        <v>1.1697339141702101</v>
      </c>
      <c r="AJ21">
        <v>0</v>
      </c>
      <c r="AK21">
        <v>-2.6349352937291501E-2</v>
      </c>
      <c r="AL21">
        <v>0.70084292905323597</v>
      </c>
      <c r="AM21">
        <v>6.5346624368803299E-2</v>
      </c>
      <c r="AN21">
        <v>0.26015979951525098</v>
      </c>
    </row>
    <row r="22" spans="1:40" x14ac:dyDescent="0.2">
      <c r="A22">
        <v>114</v>
      </c>
      <c r="B22">
        <v>761</v>
      </c>
      <c r="C22">
        <v>150</v>
      </c>
      <c r="D22">
        <v>0.43857322438717999</v>
      </c>
      <c r="E22">
        <v>0.58147554285007097</v>
      </c>
      <c r="F22">
        <v>4.9199738351590403</v>
      </c>
      <c r="G22">
        <v>-3.9527128493738668</v>
      </c>
      <c r="H22">
        <v>-2.8802437720868448</v>
      </c>
      <c r="I22">
        <v>1.0370536936489101</v>
      </c>
      <c r="J22">
        <v>0.516912247246199</v>
      </c>
      <c r="K22">
        <v>0.118186714468833</v>
      </c>
      <c r="L22">
        <v>3.5990457948397932E-5</v>
      </c>
      <c r="M22">
        <v>4.1864386988062612E-7</v>
      </c>
      <c r="N22" s="1">
        <v>2.2853238678898E-9</v>
      </c>
      <c r="O22" s="1">
        <v>2.8034184451651698E-13</v>
      </c>
      <c r="P22">
        <v>0</v>
      </c>
      <c r="R22">
        <v>9.3858696578397804</v>
      </c>
      <c r="S22">
        <v>1.79376214546714</v>
      </c>
      <c r="T22">
        <v>49.382023322069898</v>
      </c>
      <c r="V22">
        <v>38.2592672024469</v>
      </c>
      <c r="X22">
        <v>1.17907767217617</v>
      </c>
      <c r="AJ22">
        <v>0</v>
      </c>
      <c r="AK22">
        <v>-2.62476058189023E-2</v>
      </c>
      <c r="AL22">
        <v>0.69600396084689797</v>
      </c>
      <c r="AM22">
        <v>6.5844043004825104E-2</v>
      </c>
      <c r="AN22">
        <v>0.26439960196717799</v>
      </c>
    </row>
    <row r="23" spans="1:40" x14ac:dyDescent="0.2">
      <c r="A23">
        <v>131</v>
      </c>
      <c r="B23">
        <v>772</v>
      </c>
      <c r="C23">
        <v>125</v>
      </c>
      <c r="D23">
        <v>0.47153088073482102</v>
      </c>
      <c r="E23">
        <v>0.38933743311214197</v>
      </c>
      <c r="F23">
        <v>4.9382000013266802</v>
      </c>
      <c r="G23">
        <v>-2.6064587993905599</v>
      </c>
      <c r="H23">
        <v>-1.880510822411132</v>
      </c>
      <c r="I23">
        <v>0.69458735777584801</v>
      </c>
      <c r="J23">
        <v>0.34589037199088901</v>
      </c>
      <c r="K23">
        <v>7.8841973392641707E-2</v>
      </c>
      <c r="L23">
        <v>3.8778870187539187E-5</v>
      </c>
      <c r="M23">
        <v>4.472495196073152E-7</v>
      </c>
      <c r="N23" s="1">
        <v>1.63823895476295E-9</v>
      </c>
      <c r="O23" s="1">
        <v>2.0214269301032499E-13</v>
      </c>
      <c r="P23">
        <v>0</v>
      </c>
      <c r="R23">
        <v>7.3242627470053501</v>
      </c>
      <c r="S23">
        <v>1.87617699928184</v>
      </c>
      <c r="T23">
        <v>53.179505241778898</v>
      </c>
      <c r="V23">
        <v>36.597884982627697</v>
      </c>
      <c r="X23">
        <v>1.02217002930609</v>
      </c>
      <c r="AJ23">
        <v>0</v>
      </c>
      <c r="AK23">
        <v>-1.5708974665104899E-2</v>
      </c>
      <c r="AL23">
        <v>0.75158106560152804</v>
      </c>
      <c r="AM23">
        <v>5.72381943095958E-2</v>
      </c>
      <c r="AN23">
        <v>0.20688971475397999</v>
      </c>
    </row>
    <row r="24" spans="1:40" x14ac:dyDescent="0.2">
      <c r="A24">
        <v>132</v>
      </c>
      <c r="B24">
        <v>771</v>
      </c>
      <c r="C24">
        <v>125</v>
      </c>
      <c r="D24">
        <v>0.47095771680314102</v>
      </c>
      <c r="E24">
        <v>0.51414157456277199</v>
      </c>
      <c r="F24">
        <v>4.9259526277029702</v>
      </c>
      <c r="G24">
        <v>-3.4767426202392913</v>
      </c>
      <c r="H24">
        <v>-2.5167758546123431</v>
      </c>
      <c r="I24">
        <v>0.91937630189814401</v>
      </c>
      <c r="J24">
        <v>0.45723019778284302</v>
      </c>
      <c r="K24">
        <v>0.10437403958602801</v>
      </c>
      <c r="L24">
        <v>3.768100439138114E-5</v>
      </c>
      <c r="M24">
        <v>4.3622817914691622E-7</v>
      </c>
      <c r="N24" s="1">
        <v>2.10310406180149E-9</v>
      </c>
      <c r="O24" s="1">
        <v>2.5829480993098801E-13</v>
      </c>
      <c r="P24">
        <v>0</v>
      </c>
      <c r="R24">
        <v>8.2907627352014295</v>
      </c>
      <c r="S24">
        <v>1.8269728032889101</v>
      </c>
      <c r="T24">
        <v>51.457106671273401</v>
      </c>
      <c r="V24">
        <v>37.245183668091997</v>
      </c>
      <c r="X24">
        <v>1.17997412214412</v>
      </c>
      <c r="AJ24">
        <v>0</v>
      </c>
      <c r="AK24">
        <v>-2.55867979034613E-2</v>
      </c>
      <c r="AL24">
        <v>0.72588170654397799</v>
      </c>
      <c r="AM24">
        <v>6.5951429774876794E-2</v>
      </c>
      <c r="AN24">
        <v>0.233753661584606</v>
      </c>
    </row>
    <row r="25" spans="1:40" x14ac:dyDescent="0.2">
      <c r="A25">
        <v>133</v>
      </c>
      <c r="B25">
        <v>770</v>
      </c>
      <c r="C25">
        <v>125</v>
      </c>
      <c r="D25">
        <v>0.47038345396155901</v>
      </c>
      <c r="E25">
        <v>0.57032178033095304</v>
      </c>
      <c r="F25">
        <v>4.91821065434186</v>
      </c>
      <c r="G25">
        <v>-3.884075979051568</v>
      </c>
      <c r="H25">
        <v>-2.8186696397948645</v>
      </c>
      <c r="I25">
        <v>1.0213357036444399</v>
      </c>
      <c r="J25">
        <v>0.50739331125208798</v>
      </c>
      <c r="K25">
        <v>0.115961234768882</v>
      </c>
      <c r="L25">
        <v>3.6586495804367768E-5</v>
      </c>
      <c r="M25">
        <v>4.2439969359173352E-7</v>
      </c>
      <c r="N25" s="1">
        <v>2.26730386702401E-9</v>
      </c>
      <c r="O25" s="1">
        <v>2.7787238443768899E-13</v>
      </c>
      <c r="P25">
        <v>0</v>
      </c>
      <c r="R25">
        <v>9.1307002413208007</v>
      </c>
      <c r="S25">
        <v>1.7912110164664099</v>
      </c>
      <c r="T25">
        <v>49.904284921331801</v>
      </c>
      <c r="V25">
        <v>37.945139584486903</v>
      </c>
      <c r="X25">
        <v>1.22866423639388</v>
      </c>
      <c r="AJ25">
        <v>0</v>
      </c>
      <c r="AK25">
        <v>-2.9069631473281898E-2</v>
      </c>
      <c r="AL25">
        <v>0.70328294810937997</v>
      </c>
      <c r="AM25">
        <v>6.8605148926769194E-2</v>
      </c>
      <c r="AN25">
        <v>0.25718153443713199</v>
      </c>
    </row>
    <row r="26" spans="1:40" x14ac:dyDescent="0.2">
      <c r="A26">
        <v>134</v>
      </c>
      <c r="B26">
        <v>769</v>
      </c>
      <c r="C26">
        <v>125</v>
      </c>
      <c r="D26">
        <v>0.46980808904668597</v>
      </c>
      <c r="E26">
        <v>0.59737609864227303</v>
      </c>
      <c r="F26">
        <v>4.9133007531160002</v>
      </c>
      <c r="G26">
        <v>-4.0860419703786217</v>
      </c>
      <c r="H26">
        <v>-2.9703677130099515</v>
      </c>
      <c r="I26">
        <v>1.0705505516179701</v>
      </c>
      <c r="J26">
        <v>0.53157277176710804</v>
      </c>
      <c r="K26">
        <v>0.121583458587064</v>
      </c>
      <c r="L26">
        <v>3.5922935148112835E-5</v>
      </c>
      <c r="M26">
        <v>4.1731588888924472E-7</v>
      </c>
      <c r="N26" s="1">
        <v>2.3336182555304699E-9</v>
      </c>
      <c r="O26" s="1">
        <v>2.8560746910429299E-13</v>
      </c>
      <c r="P26">
        <v>0</v>
      </c>
      <c r="R26">
        <v>9.6258580625074508</v>
      </c>
      <c r="S26">
        <v>1.7867213223515399</v>
      </c>
      <c r="T26">
        <v>48.9704534099046</v>
      </c>
      <c r="V26">
        <v>38.3575767000657</v>
      </c>
      <c r="X26">
        <v>1.2593905051706</v>
      </c>
      <c r="AJ26">
        <v>0</v>
      </c>
      <c r="AK26">
        <v>-3.08631711680355E-2</v>
      </c>
      <c r="AL26">
        <v>0.68964852271563404</v>
      </c>
      <c r="AM26">
        <v>7.0272490189766598E-2</v>
      </c>
      <c r="AN26">
        <v>0.27094215826263401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47891-BA4C-4AAF-A84F-A1DD9ECC447D}">
  <sheetPr codeName="Sheet8"/>
  <dimension ref="A1:AP21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26</v>
      </c>
      <c r="B2">
        <v>738</v>
      </c>
      <c r="C2">
        <v>275</v>
      </c>
      <c r="D2">
        <v>0.28822677149780002</v>
      </c>
      <c r="E2">
        <v>0.16891111067037201</v>
      </c>
      <c r="F2">
        <v>3.5812285101780499</v>
      </c>
      <c r="G2">
        <v>-2.1556905964797082</v>
      </c>
      <c r="H2">
        <v>-1.8323452278998493</v>
      </c>
      <c r="I2">
        <v>0.319779823547306</v>
      </c>
      <c r="J2">
        <v>0.18893517342048399</v>
      </c>
      <c r="K2">
        <v>4.7165689145587199E-2</v>
      </c>
      <c r="L2">
        <v>4.4433660521149576E-5</v>
      </c>
      <c r="M2">
        <v>9.1362265532614638E-7</v>
      </c>
      <c r="N2" s="1">
        <v>2.43923892855514E-10</v>
      </c>
      <c r="O2" s="1">
        <v>4.64248247312069E-14</v>
      </c>
      <c r="P2" s="1">
        <v>-2.4140040517071801E-13</v>
      </c>
      <c r="Q2">
        <v>49.894008424194801</v>
      </c>
      <c r="R2">
        <v>1.57410238221867E-2</v>
      </c>
      <c r="S2">
        <v>1.99437556593464</v>
      </c>
      <c r="T2">
        <v>0.53335220598932198</v>
      </c>
      <c r="V2">
        <v>32.039259348176898</v>
      </c>
      <c r="X2">
        <v>15.3374740855986</v>
      </c>
      <c r="AA2">
        <v>0.168615013564865</v>
      </c>
      <c r="AB2">
        <v>1.7174332718521E-2</v>
      </c>
      <c r="AJ2">
        <v>-1.0917565099137601</v>
      </c>
      <c r="AK2">
        <v>0.99165298932517298</v>
      </c>
      <c r="AL2">
        <v>1.0453131631279999</v>
      </c>
      <c r="AM2">
        <v>3.7833531224156003E-2</v>
      </c>
      <c r="AN2">
        <v>-3.69099147335782E-2</v>
      </c>
      <c r="AO2">
        <v>5.2567664589181502E-2</v>
      </c>
      <c r="AP2">
        <v>1.2990763808224399E-3</v>
      </c>
    </row>
    <row r="3" spans="1:42" x14ac:dyDescent="0.2">
      <c r="A3">
        <v>27</v>
      </c>
      <c r="B3">
        <v>737</v>
      </c>
      <c r="C3">
        <v>275</v>
      </c>
      <c r="D3">
        <v>0.28745285353660599</v>
      </c>
      <c r="E3">
        <v>0.25350888686226802</v>
      </c>
      <c r="F3">
        <v>3.5836284417628002</v>
      </c>
      <c r="G3">
        <v>-3.2320915525760543</v>
      </c>
      <c r="H3">
        <v>-2.7476676518692886</v>
      </c>
      <c r="I3">
        <v>0.479556403214142</v>
      </c>
      <c r="J3">
        <v>0.28343201118699601</v>
      </c>
      <c r="K3">
        <v>7.0740840179727399E-2</v>
      </c>
      <c r="L3">
        <v>4.4410625219234204E-5</v>
      </c>
      <c r="M3">
        <v>9.137109111000669E-7</v>
      </c>
      <c r="N3" s="1">
        <v>3.7763855312700199E-10</v>
      </c>
      <c r="O3" s="1">
        <v>6.9738528090806903E-14</v>
      </c>
      <c r="P3" s="1">
        <v>-4.6692034353859304E-13</v>
      </c>
      <c r="Q3">
        <v>49.801903052477499</v>
      </c>
      <c r="R3">
        <v>1.5991367749146501E-2</v>
      </c>
      <c r="S3">
        <v>2.0971488026468399</v>
      </c>
      <c r="T3">
        <v>0.54672554446050203</v>
      </c>
      <c r="V3">
        <v>32.132228495286697</v>
      </c>
      <c r="X3">
        <v>15.234277470810801</v>
      </c>
      <c r="AA3">
        <v>0.15482031964169801</v>
      </c>
      <c r="AB3">
        <v>1.6904946926613901E-2</v>
      </c>
      <c r="AJ3">
        <v>-1.09850133006466</v>
      </c>
      <c r="AK3">
        <v>0.992246027993821</v>
      </c>
      <c r="AL3">
        <v>1.0488795903079799</v>
      </c>
      <c r="AM3">
        <v>4.00378437001798E-2</v>
      </c>
      <c r="AN3">
        <v>-3.9099060844656801E-2</v>
      </c>
      <c r="AO3">
        <v>5.5157578643920097E-2</v>
      </c>
      <c r="AP3">
        <v>1.27935026341549E-3</v>
      </c>
    </row>
    <row r="4" spans="1:42" x14ac:dyDescent="0.2">
      <c r="A4">
        <v>28</v>
      </c>
      <c r="B4">
        <v>736</v>
      </c>
      <c r="C4">
        <v>275</v>
      </c>
      <c r="D4">
        <v>0.28667740177377199</v>
      </c>
      <c r="E4">
        <v>0.284295010506252</v>
      </c>
      <c r="F4">
        <v>3.5857716546892799</v>
      </c>
      <c r="G4">
        <v>-3.6213733481722366</v>
      </c>
      <c r="H4">
        <v>-3.0790755967836065</v>
      </c>
      <c r="I4">
        <v>0.53738071782057095</v>
      </c>
      <c r="J4">
        <v>0.31771686394270399</v>
      </c>
      <c r="K4">
        <v>7.9284192604530804E-2</v>
      </c>
      <c r="L4">
        <v>4.4385906726838221E-5</v>
      </c>
      <c r="M4">
        <v>9.1377228978118069E-7</v>
      </c>
      <c r="N4" s="1">
        <v>4.3574563881093199E-10</v>
      </c>
      <c r="O4" s="1">
        <v>7.8253110901335194E-14</v>
      </c>
      <c r="P4" s="1">
        <v>-6.2807841865666004E-13</v>
      </c>
      <c r="Q4">
        <v>49.717787348692397</v>
      </c>
      <c r="R4">
        <v>1.6225458629186802E-2</v>
      </c>
      <c r="S4">
        <v>2.1929253552206198</v>
      </c>
      <c r="T4">
        <v>0.55855274787433995</v>
      </c>
      <c r="V4">
        <v>32.212327873712802</v>
      </c>
      <c r="X4">
        <v>15.141304815596101</v>
      </c>
      <c r="AA4">
        <v>0.144221612452233</v>
      </c>
      <c r="AB4">
        <v>1.6654787822213201E-2</v>
      </c>
      <c r="AJ4">
        <v>-1.1044438590833301</v>
      </c>
      <c r="AK4">
        <v>0.99270495303699102</v>
      </c>
      <c r="AL4">
        <v>1.05196248999692</v>
      </c>
      <c r="AM4">
        <v>4.21022220110535E-2</v>
      </c>
      <c r="AN4">
        <v>-4.1149272534741599E-2</v>
      </c>
      <c r="AO4">
        <v>5.7562486827371702E-2</v>
      </c>
      <c r="AP4">
        <v>1.2609797457308199E-3</v>
      </c>
    </row>
    <row r="5" spans="1:42" x14ac:dyDescent="0.2">
      <c r="A5">
        <v>50</v>
      </c>
      <c r="B5">
        <v>742</v>
      </c>
      <c r="C5">
        <v>250</v>
      </c>
      <c r="D5">
        <v>0.318396788651924</v>
      </c>
      <c r="E5">
        <v>0.15238039060304701</v>
      </c>
      <c r="F5">
        <v>3.5709659063562</v>
      </c>
      <c r="G5">
        <v>-1.9566565679056787</v>
      </c>
      <c r="H5">
        <v>-1.662724268883023</v>
      </c>
      <c r="I5">
        <v>0.28954568194124503</v>
      </c>
      <c r="J5">
        <v>0.17098008797012601</v>
      </c>
      <c r="K5">
        <v>4.26720373700053E-2</v>
      </c>
      <c r="L5">
        <v>4.4458421800487875E-5</v>
      </c>
      <c r="M5">
        <v>9.1184167625813296E-7</v>
      </c>
      <c r="N5" s="1">
        <v>2.0373038248512401E-10</v>
      </c>
      <c r="O5" s="1">
        <v>4.2502763178116503E-14</v>
      </c>
      <c r="P5" s="1">
        <v>-1.1929257279093401E-13</v>
      </c>
      <c r="Q5">
        <v>50.108771740444801</v>
      </c>
      <c r="R5">
        <v>1.5821761399895402E-2</v>
      </c>
      <c r="S5">
        <v>1.8859581724852399</v>
      </c>
      <c r="T5">
        <v>0.51697064931135195</v>
      </c>
      <c r="V5">
        <v>31.499016710520198</v>
      </c>
      <c r="X5">
        <v>15.7787134458429</v>
      </c>
      <c r="AA5">
        <v>0.17784348598112501</v>
      </c>
      <c r="AB5">
        <v>1.6904034014363099E-2</v>
      </c>
      <c r="AJ5">
        <v>-1.0680029779094899</v>
      </c>
      <c r="AK5">
        <v>0.99131227258071997</v>
      </c>
      <c r="AL5">
        <v>1.02478798368361</v>
      </c>
      <c r="AM5">
        <v>3.5493680950514001E-2</v>
      </c>
      <c r="AN5">
        <v>-3.4567946109396099E-2</v>
      </c>
      <c r="AO5">
        <v>4.97019631300872E-2</v>
      </c>
      <c r="AP5">
        <v>1.2750236739551199E-3</v>
      </c>
    </row>
    <row r="6" spans="1:42" x14ac:dyDescent="0.2">
      <c r="A6">
        <v>51</v>
      </c>
      <c r="B6">
        <v>741</v>
      </c>
      <c r="C6">
        <v>250</v>
      </c>
      <c r="D6">
        <v>0.31765567223783697</v>
      </c>
      <c r="E6">
        <v>0.23730796485365599</v>
      </c>
      <c r="F6">
        <v>3.5733413866728401</v>
      </c>
      <c r="G6">
        <v>-3.0440658039765922</v>
      </c>
      <c r="H6">
        <v>-2.5871270682102421</v>
      </c>
      <c r="I6">
        <v>0.45056326555869303</v>
      </c>
      <c r="J6">
        <v>0.266153411704184</v>
      </c>
      <c r="K6">
        <v>6.6410661387887801E-2</v>
      </c>
      <c r="L6">
        <v>4.4443257357295049E-5</v>
      </c>
      <c r="M6">
        <v>9.1198866426238706E-7</v>
      </c>
      <c r="N6" s="1">
        <v>3.2606081615648599E-10</v>
      </c>
      <c r="O6" s="1">
        <v>6.6291056399403003E-14</v>
      </c>
      <c r="P6" s="1">
        <v>-2.7985761204970801E-13</v>
      </c>
      <c r="Q6">
        <v>50.019753542845201</v>
      </c>
      <c r="R6">
        <v>1.6064211538522999E-2</v>
      </c>
      <c r="S6">
        <v>1.9830093102798201</v>
      </c>
      <c r="T6">
        <v>0.52986687692512102</v>
      </c>
      <c r="V6">
        <v>31.593991746375799</v>
      </c>
      <c r="X6">
        <v>15.6760325475774</v>
      </c>
      <c r="AA6">
        <v>0.164649299754491</v>
      </c>
      <c r="AB6">
        <v>1.6632464703437998E-2</v>
      </c>
      <c r="AJ6">
        <v>-1.0746283723299801</v>
      </c>
      <c r="AK6">
        <v>0.99187851287157403</v>
      </c>
      <c r="AL6">
        <v>1.02840859573253</v>
      </c>
      <c r="AM6">
        <v>3.7566520733087798E-2</v>
      </c>
      <c r="AN6">
        <v>-3.6626114794813799E-2</v>
      </c>
      <c r="AO6">
        <v>5.2145670098043398E-2</v>
      </c>
      <c r="AP6">
        <v>1.25518768955771E-3</v>
      </c>
    </row>
    <row r="7" spans="1:42" x14ac:dyDescent="0.2">
      <c r="A7">
        <v>52</v>
      </c>
      <c r="B7">
        <v>740</v>
      </c>
      <c r="C7">
        <v>250</v>
      </c>
      <c r="D7">
        <v>0.31691309282929903</v>
      </c>
      <c r="E7">
        <v>0.26856565971506902</v>
      </c>
      <c r="F7">
        <v>3.5754650124051599</v>
      </c>
      <c r="G7">
        <v>-3.4419173128822176</v>
      </c>
      <c r="H7">
        <v>-2.9256970931331265</v>
      </c>
      <c r="I7">
        <v>0.50952003133700796</v>
      </c>
      <c r="J7">
        <v>0.30108623814808799</v>
      </c>
      <c r="K7">
        <v>7.5113491191571999E-2</v>
      </c>
      <c r="L7">
        <v>4.4426203357844227E-5</v>
      </c>
      <c r="M7">
        <v>9.1209926474516305E-7</v>
      </c>
      <c r="N7" s="1">
        <v>3.7859884843645598E-10</v>
      </c>
      <c r="O7" s="1">
        <v>7.5113652875743994E-14</v>
      </c>
      <c r="P7" s="1">
        <v>-4.1354966428565201E-13</v>
      </c>
      <c r="Q7">
        <v>49.938532321566797</v>
      </c>
      <c r="R7">
        <v>1.6293630482496501E-2</v>
      </c>
      <c r="S7">
        <v>2.0735990768607402</v>
      </c>
      <c r="T7">
        <v>0.54127120779592897</v>
      </c>
      <c r="V7">
        <v>31.675999810979999</v>
      </c>
      <c r="X7">
        <v>15.5840476401867</v>
      </c>
      <c r="AA7">
        <v>0.15386992409938399</v>
      </c>
      <c r="AB7">
        <v>1.6386388027809E-2</v>
      </c>
      <c r="AJ7">
        <v>-1.08049467383508</v>
      </c>
      <c r="AK7">
        <v>0.99234316345351903</v>
      </c>
      <c r="AL7">
        <v>1.03154248386276</v>
      </c>
      <c r="AM7">
        <v>3.9511127903246998E-2</v>
      </c>
      <c r="AN7">
        <v>-3.8556862011795499E-2</v>
      </c>
      <c r="AO7">
        <v>5.4417586340597797E-2</v>
      </c>
      <c r="AP7">
        <v>1.2371742867597201E-3</v>
      </c>
    </row>
    <row r="8" spans="1:42" x14ac:dyDescent="0.2">
      <c r="A8">
        <v>70</v>
      </c>
      <c r="B8">
        <v>746</v>
      </c>
      <c r="C8">
        <v>225</v>
      </c>
      <c r="D8">
        <v>0.34832998086640898</v>
      </c>
      <c r="E8">
        <v>0.163246785932608</v>
      </c>
      <c r="F8">
        <v>3.56124433099491</v>
      </c>
      <c r="G8">
        <v>-2.1085836897741572</v>
      </c>
      <c r="H8">
        <v>-1.7913041059266541</v>
      </c>
      <c r="I8">
        <v>0.31131784707599702</v>
      </c>
      <c r="J8">
        <v>0.18371034028864799</v>
      </c>
      <c r="K8">
        <v>4.5839816300108201E-2</v>
      </c>
      <c r="L8">
        <v>4.4453313616177376E-5</v>
      </c>
      <c r="M8">
        <v>9.0997472219996348E-7</v>
      </c>
      <c r="N8" s="1">
        <v>2.0597868792033901E-10</v>
      </c>
      <c r="O8" s="1">
        <v>4.61636713006736E-14</v>
      </c>
      <c r="P8" s="1">
        <v>-3.80999136994465E-14</v>
      </c>
      <c r="Q8">
        <v>50.300634098342698</v>
      </c>
      <c r="R8">
        <v>1.5997905865732399E-2</v>
      </c>
      <c r="S8">
        <v>1.8033634301967201</v>
      </c>
      <c r="T8">
        <v>0.50476640752801405</v>
      </c>
      <c r="V8">
        <v>30.978348756699699</v>
      </c>
      <c r="X8">
        <v>16.195129379813601</v>
      </c>
      <c r="AA8">
        <v>0.18516506588088799</v>
      </c>
      <c r="AB8">
        <v>1.65949556724737E-2</v>
      </c>
      <c r="AJ8">
        <v>-1.04587470874968</v>
      </c>
      <c r="AK8">
        <v>0.99105460574580995</v>
      </c>
      <c r="AL8">
        <v>1.00513037203331</v>
      </c>
      <c r="AM8">
        <v>3.37045048467133E-2</v>
      </c>
      <c r="AN8">
        <v>-3.2770988302063798E-2</v>
      </c>
      <c r="AO8">
        <v>4.7507879586461202E-2</v>
      </c>
      <c r="AP8">
        <v>1.2483348394472799E-3</v>
      </c>
    </row>
    <row r="9" spans="1:42" x14ac:dyDescent="0.2">
      <c r="A9">
        <v>71</v>
      </c>
      <c r="B9">
        <v>745</v>
      </c>
      <c r="C9">
        <v>225</v>
      </c>
      <c r="D9">
        <v>0.347621175661739</v>
      </c>
      <c r="E9">
        <v>0.22962500114762599</v>
      </c>
      <c r="F9">
        <v>3.5635200606572299</v>
      </c>
      <c r="G9">
        <v>-2.963000996656489</v>
      </c>
      <c r="H9">
        <v>-2.5174976261615143</v>
      </c>
      <c r="I9">
        <v>0.43756162696554901</v>
      </c>
      <c r="J9">
        <v>0.25829674197386299</v>
      </c>
      <c r="K9">
        <v>6.44376900477657E-2</v>
      </c>
      <c r="L9">
        <v>4.4445047790460166E-5</v>
      </c>
      <c r="M9">
        <v>9.1016754746256819E-7</v>
      </c>
      <c r="N9" s="1">
        <v>2.96224858430636E-10</v>
      </c>
      <c r="O9" s="1">
        <v>6.5063049234528703E-14</v>
      </c>
      <c r="P9" s="1">
        <v>-1.3808521606027099E-13</v>
      </c>
      <c r="Q9">
        <v>50.217001239024299</v>
      </c>
      <c r="R9">
        <v>1.6228894139940098E-2</v>
      </c>
      <c r="S9">
        <v>1.8929393740742799</v>
      </c>
      <c r="T9">
        <v>0.51677210732157597</v>
      </c>
      <c r="V9">
        <v>31.071326980410799</v>
      </c>
      <c r="X9">
        <v>16.096452657957499</v>
      </c>
      <c r="AA9">
        <v>0.17294732003125499</v>
      </c>
      <c r="AB9">
        <v>1.63314270401273E-2</v>
      </c>
      <c r="AJ9">
        <v>-1.0521679193292299</v>
      </c>
      <c r="AK9">
        <v>0.99157807283041199</v>
      </c>
      <c r="AL9">
        <v>1.0086539590792201</v>
      </c>
      <c r="AM9">
        <v>3.5611770888733803E-2</v>
      </c>
      <c r="AN9">
        <v>-3.4664299565004698E-2</v>
      </c>
      <c r="AO9">
        <v>4.9759287297196302E-2</v>
      </c>
      <c r="AP9">
        <v>1.2291287986814399E-3</v>
      </c>
    </row>
    <row r="10" spans="1:42" x14ac:dyDescent="0.2">
      <c r="A10">
        <v>85</v>
      </c>
      <c r="B10">
        <v>751</v>
      </c>
      <c r="C10">
        <v>200</v>
      </c>
      <c r="D10">
        <v>0.378704779573308</v>
      </c>
      <c r="E10">
        <v>9.5646468904023202E-2</v>
      </c>
      <c r="F10">
        <v>3.55313233797296</v>
      </c>
      <c r="G10">
        <v>-1.2413336932488388</v>
      </c>
      <c r="H10">
        <v>-1.0537975851312176</v>
      </c>
      <c r="I10">
        <v>0.18311390725735499</v>
      </c>
      <c r="J10">
        <v>0.10787900689582</v>
      </c>
      <c r="K10">
        <v>2.6918915426209201E-2</v>
      </c>
      <c r="L10">
        <v>4.4440139249645738E-5</v>
      </c>
      <c r="M10">
        <v>9.0853470746724325E-7</v>
      </c>
      <c r="N10" s="1">
        <v>1.15404444934798E-10</v>
      </c>
      <c r="O10" s="1">
        <v>2.71983031949459E-14</v>
      </c>
      <c r="P10" s="1">
        <v>4.3150383102247302E-14</v>
      </c>
      <c r="Q10">
        <v>50.471294955004197</v>
      </c>
      <c r="R10">
        <v>1.5172128500714701E-2</v>
      </c>
      <c r="S10">
        <v>1.69422274388163</v>
      </c>
      <c r="T10">
        <v>0.49767515187370998</v>
      </c>
      <c r="V10">
        <v>30.587314215036599</v>
      </c>
      <c r="X10">
        <v>16.519954600052799</v>
      </c>
      <c r="AA10">
        <v>0.19801582244780999</v>
      </c>
      <c r="AB10">
        <v>1.6350383202437799E-2</v>
      </c>
      <c r="AJ10">
        <v>-1.0279793723750801</v>
      </c>
      <c r="AK10">
        <v>0.99055773530335101</v>
      </c>
      <c r="AL10">
        <v>0.99045810662627098</v>
      </c>
      <c r="AM10">
        <v>3.1235250705294901E-2</v>
      </c>
      <c r="AN10">
        <v>-3.0351690739772001E-2</v>
      </c>
      <c r="AO10">
        <v>4.4852492909128301E-2</v>
      </c>
      <c r="AP10">
        <v>1.22747757081224E-3</v>
      </c>
    </row>
    <row r="11" spans="1:42" x14ac:dyDescent="0.2">
      <c r="A11">
        <v>86</v>
      </c>
      <c r="B11">
        <v>750</v>
      </c>
      <c r="C11">
        <v>200</v>
      </c>
      <c r="D11">
        <v>0.37802912573913899</v>
      </c>
      <c r="E11">
        <v>0.19465636771528499</v>
      </c>
      <c r="F11">
        <v>3.5523486492079299</v>
      </c>
      <c r="G11">
        <v>-2.5282947479560236</v>
      </c>
      <c r="H11">
        <v>-2.147137479897288</v>
      </c>
      <c r="I11">
        <v>0.37253312618749401</v>
      </c>
      <c r="J11">
        <v>0.219648777396587</v>
      </c>
      <c r="K11">
        <v>5.47965267313184E-2</v>
      </c>
      <c r="L11">
        <v>4.4423222068755676E-5</v>
      </c>
      <c r="M11">
        <v>9.0807332694729375E-7</v>
      </c>
      <c r="N11" s="1">
        <v>2.3690439636737E-10</v>
      </c>
      <c r="O11" s="1">
        <v>5.5790480314146201E-14</v>
      </c>
      <c r="P11" s="1">
        <v>3.4635566468853497E-14</v>
      </c>
      <c r="Q11">
        <v>50.458501505921298</v>
      </c>
      <c r="R11">
        <v>1.63249987235802E-2</v>
      </c>
      <c r="S11">
        <v>1.7577565545493701</v>
      </c>
      <c r="T11">
        <v>0.49864198112296798</v>
      </c>
      <c r="V11">
        <v>30.490253687183099</v>
      </c>
      <c r="X11">
        <v>16.573096816788802</v>
      </c>
      <c r="AA11">
        <v>0.189215903746771</v>
      </c>
      <c r="AB11">
        <v>1.6208551963870499E-2</v>
      </c>
      <c r="AJ11">
        <v>-1.0261873105641801</v>
      </c>
      <c r="AK11">
        <v>0.99093801613992005</v>
      </c>
      <c r="AL11">
        <v>0.98681815452532096</v>
      </c>
      <c r="AM11">
        <v>3.2693263563529501E-2</v>
      </c>
      <c r="AN11">
        <v>-3.1743043929978801E-2</v>
      </c>
      <c r="AO11">
        <v>4.6264702974139198E-2</v>
      </c>
      <c r="AP11">
        <v>1.21621729125289E-3</v>
      </c>
    </row>
    <row r="12" spans="1:42" x14ac:dyDescent="0.2">
      <c r="A12">
        <v>87</v>
      </c>
      <c r="B12">
        <v>749</v>
      </c>
      <c r="C12">
        <v>200</v>
      </c>
      <c r="D12">
        <v>0.37735214988015597</v>
      </c>
      <c r="E12">
        <v>0.232767311017964</v>
      </c>
      <c r="F12">
        <v>3.5544424648270998</v>
      </c>
      <c r="G12">
        <v>-3.0204864198381234</v>
      </c>
      <c r="H12">
        <v>-2.5654959982403551</v>
      </c>
      <c r="I12">
        <v>0.44513077493300202</v>
      </c>
      <c r="J12">
        <v>0.26254790965500702</v>
      </c>
      <c r="K12">
        <v>6.5486307155428095E-2</v>
      </c>
      <c r="L12">
        <v>4.4420370320312865E-5</v>
      </c>
      <c r="M12">
        <v>9.0828893853095101E-7</v>
      </c>
      <c r="N12" s="1">
        <v>2.8805164050765198E-10</v>
      </c>
      <c r="O12" s="1">
        <v>6.6868946372186705E-14</v>
      </c>
      <c r="P12" s="1">
        <v>-3.6327536823363501E-14</v>
      </c>
      <c r="Q12">
        <v>50.382643179475302</v>
      </c>
      <c r="R12">
        <v>1.6542794257890899E-2</v>
      </c>
      <c r="S12">
        <v>1.8383998480263899</v>
      </c>
      <c r="T12">
        <v>0.50932193430836803</v>
      </c>
      <c r="V12">
        <v>30.576537038824199</v>
      </c>
      <c r="X12">
        <v>16.482647966888301</v>
      </c>
      <c r="AA12">
        <v>0.17793914388320101</v>
      </c>
      <c r="AB12">
        <v>1.5968094336242199E-2</v>
      </c>
      <c r="AJ12">
        <v>-1.03193513772714</v>
      </c>
      <c r="AK12">
        <v>0.99141967392915598</v>
      </c>
      <c r="AL12">
        <v>0.99006900588168201</v>
      </c>
      <c r="AM12">
        <v>3.44081745379127E-2</v>
      </c>
      <c r="AN12">
        <v>-3.3444831890966101E-2</v>
      </c>
      <c r="AO12">
        <v>4.8284385970505703E-2</v>
      </c>
      <c r="AP12">
        <v>1.1987292988579301E-3</v>
      </c>
    </row>
    <row r="13" spans="1:42" x14ac:dyDescent="0.2">
      <c r="A13">
        <v>97</v>
      </c>
      <c r="B13">
        <v>756</v>
      </c>
      <c r="C13">
        <v>175</v>
      </c>
      <c r="D13">
        <v>0.40878443375601398</v>
      </c>
      <c r="E13">
        <v>0.123546490171068</v>
      </c>
      <c r="F13">
        <v>3.5428408999412602</v>
      </c>
      <c r="G13">
        <v>-1.6136290967669826</v>
      </c>
      <c r="H13">
        <v>-1.3691681966920735</v>
      </c>
      <c r="I13">
        <v>0.23753670512064201</v>
      </c>
      <c r="J13">
        <v>0.13976780211995599</v>
      </c>
      <c r="K13">
        <v>3.4872153071597599E-2</v>
      </c>
      <c r="L13">
        <v>4.4387539505678536E-5</v>
      </c>
      <c r="M13">
        <v>9.0626412532270843E-7</v>
      </c>
      <c r="N13" s="1">
        <v>1.4514834057502901E-10</v>
      </c>
      <c r="O13" s="1">
        <v>3.5567017124622498E-14</v>
      </c>
      <c r="P13" s="1">
        <v>1.2183974987443601E-13</v>
      </c>
      <c r="Q13">
        <v>50.663427433068797</v>
      </c>
      <c r="R13">
        <v>1.5694451842398299E-2</v>
      </c>
      <c r="S13">
        <v>1.62552409348271</v>
      </c>
      <c r="T13">
        <v>0.48809692579312403</v>
      </c>
      <c r="V13">
        <v>30.025592419812298</v>
      </c>
      <c r="X13">
        <v>16.9580177319468</v>
      </c>
      <c r="AA13">
        <v>0.20754782884377099</v>
      </c>
      <c r="AB13">
        <v>1.6099115209910302E-2</v>
      </c>
      <c r="AJ13">
        <v>-1.00481983255463</v>
      </c>
      <c r="AK13">
        <v>0.99020934114981995</v>
      </c>
      <c r="AL13">
        <v>0.96947815681087601</v>
      </c>
      <c r="AM13">
        <v>2.97462887501917E-2</v>
      </c>
      <c r="AN13">
        <v>-2.8834934242314699E-2</v>
      </c>
      <c r="AO13">
        <v>4.3015835053677398E-2</v>
      </c>
      <c r="AP13">
        <v>1.20514503238148E-3</v>
      </c>
    </row>
    <row r="14" spans="1:42" x14ac:dyDescent="0.2">
      <c r="A14">
        <v>98</v>
      </c>
      <c r="B14">
        <v>755</v>
      </c>
      <c r="C14">
        <v>175</v>
      </c>
      <c r="D14">
        <v>0.40814132179156798</v>
      </c>
      <c r="E14">
        <v>0.19218937543289499</v>
      </c>
      <c r="F14">
        <v>3.5425184700446901</v>
      </c>
      <c r="G14">
        <v>-2.5113495364324767</v>
      </c>
      <c r="H14">
        <v>-2.1315961267134425</v>
      </c>
      <c r="I14">
        <v>0.36935603726988597</v>
      </c>
      <c r="J14">
        <v>0.217481764003292</v>
      </c>
      <c r="K14">
        <v>5.4252187266780903E-2</v>
      </c>
      <c r="L14">
        <v>4.4372648702756267E-5</v>
      </c>
      <c r="M14">
        <v>9.0594259206944781E-7</v>
      </c>
      <c r="N14" s="1">
        <v>2.2780166340080601E-10</v>
      </c>
      <c r="O14" s="1">
        <v>5.5713140545128703E-14</v>
      </c>
      <c r="P14" s="1">
        <v>1.38859448681024E-13</v>
      </c>
      <c r="Q14">
        <v>50.643471098862101</v>
      </c>
      <c r="R14">
        <v>1.66708591617519E-2</v>
      </c>
      <c r="S14">
        <v>1.6856113536571899</v>
      </c>
      <c r="T14">
        <v>0.490361255372257</v>
      </c>
      <c r="V14">
        <v>29.9611917468768</v>
      </c>
      <c r="X14">
        <v>16.987879650449301</v>
      </c>
      <c r="AA14">
        <v>0.19886382532192601</v>
      </c>
      <c r="AB14">
        <v>1.5950210298522699E-2</v>
      </c>
      <c r="AJ14">
        <v>-1.0042004752212901</v>
      </c>
      <c r="AK14">
        <v>0.99058283785377699</v>
      </c>
      <c r="AL14">
        <v>0.96707797641312698</v>
      </c>
      <c r="AM14">
        <v>3.1104095297594302E-2</v>
      </c>
      <c r="AN14">
        <v>-3.01363632077771E-2</v>
      </c>
      <c r="AO14">
        <v>4.43783264583444E-2</v>
      </c>
      <c r="AP14">
        <v>1.1936024062264199E-3</v>
      </c>
    </row>
    <row r="15" spans="1:42" x14ac:dyDescent="0.2">
      <c r="A15">
        <v>99</v>
      </c>
      <c r="B15">
        <v>754</v>
      </c>
      <c r="C15">
        <v>175</v>
      </c>
      <c r="D15">
        <v>0.40749695760112897</v>
      </c>
      <c r="E15">
        <v>0.22396255730824499</v>
      </c>
      <c r="F15">
        <v>3.5445125036476099</v>
      </c>
      <c r="G15">
        <v>-2.9238930407518393</v>
      </c>
      <c r="H15">
        <v>-2.4821195852912319</v>
      </c>
      <c r="I15">
        <v>0.43009633983411</v>
      </c>
      <c r="J15">
        <v>0.253339689795053</v>
      </c>
      <c r="K15">
        <v>6.3185715123805705E-2</v>
      </c>
      <c r="L15">
        <v>4.4375088839271173E-5</v>
      </c>
      <c r="M15">
        <v>9.0619270476612871E-7</v>
      </c>
      <c r="N15" s="1">
        <v>2.6844934507171001E-10</v>
      </c>
      <c r="O15" s="1">
        <v>6.51000674324276E-14</v>
      </c>
      <c r="P15" s="1">
        <v>9.2880891958772395E-14</v>
      </c>
      <c r="Q15">
        <v>50.572752803093103</v>
      </c>
      <c r="R15">
        <v>1.6877996341691001E-2</v>
      </c>
      <c r="S15">
        <v>1.7595465951556799</v>
      </c>
      <c r="T15">
        <v>0.50023636242345504</v>
      </c>
      <c r="V15">
        <v>30.044954998652901</v>
      </c>
      <c r="X15">
        <v>16.902076205824699</v>
      </c>
      <c r="AA15">
        <v>0.187831856471083</v>
      </c>
      <c r="AB15">
        <v>1.57231820372432E-2</v>
      </c>
      <c r="AJ15">
        <v>-1.0096491472878</v>
      </c>
      <c r="AK15">
        <v>0.99105204733307395</v>
      </c>
      <c r="AL15">
        <v>0.97021338284591996</v>
      </c>
      <c r="AM15">
        <v>3.2671338203397703E-2</v>
      </c>
      <c r="AN15">
        <v>-3.1691145777664298E-2</v>
      </c>
      <c r="AO15">
        <v>4.6226387688679198E-2</v>
      </c>
      <c r="AP15">
        <v>1.17713699439483E-3</v>
      </c>
    </row>
    <row r="16" spans="1:42" x14ac:dyDescent="0.2">
      <c r="A16">
        <v>112</v>
      </c>
      <c r="B16">
        <v>763</v>
      </c>
      <c r="C16">
        <v>150</v>
      </c>
      <c r="D16">
        <v>0.43979201853014099</v>
      </c>
      <c r="E16">
        <v>4.0277666085700402E-2</v>
      </c>
      <c r="F16">
        <v>3.5391133908225498</v>
      </c>
      <c r="G16">
        <v>-0.52728298995246359</v>
      </c>
      <c r="H16">
        <v>-0.4466923955918623</v>
      </c>
      <c r="I16">
        <v>7.7778887574773303E-2</v>
      </c>
      <c r="J16">
        <v>4.5614186336503403E-2</v>
      </c>
      <c r="K16">
        <v>1.1380722129487601E-2</v>
      </c>
      <c r="L16">
        <v>4.4383012465243578E-5</v>
      </c>
      <c r="M16">
        <v>9.0571197803033384E-7</v>
      </c>
      <c r="N16" s="1">
        <v>4.6635558929516401E-11</v>
      </c>
      <c r="O16" s="1">
        <v>1.15268603127597E-14</v>
      </c>
      <c r="P16" s="1">
        <v>6.5713775993963302E-14</v>
      </c>
      <c r="Q16">
        <v>50.724569927550597</v>
      </c>
      <c r="R16">
        <v>1.35643002605628E-2</v>
      </c>
      <c r="S16">
        <v>1.55438832806049</v>
      </c>
      <c r="T16">
        <v>0.50205499030080103</v>
      </c>
      <c r="V16">
        <v>29.922883406337</v>
      </c>
      <c r="X16">
        <v>17.049287427603002</v>
      </c>
      <c r="AA16">
        <v>0.217479306868644</v>
      </c>
      <c r="AB16">
        <v>1.5772313018802098E-2</v>
      </c>
      <c r="AJ16">
        <v>-0.99918007081417304</v>
      </c>
      <c r="AK16">
        <v>0.98982752893480097</v>
      </c>
      <c r="AL16">
        <v>0.96572951861199896</v>
      </c>
      <c r="AM16">
        <v>2.7862966488055401E-2</v>
      </c>
      <c r="AN16">
        <v>-2.70756593089965E-2</v>
      </c>
      <c r="AO16">
        <v>4.1655563083202903E-2</v>
      </c>
      <c r="AP16">
        <v>1.18015300511047E-3</v>
      </c>
    </row>
    <row r="17" spans="1:42" x14ac:dyDescent="0.2">
      <c r="A17">
        <v>113</v>
      </c>
      <c r="B17">
        <v>762</v>
      </c>
      <c r="C17">
        <v>150</v>
      </c>
      <c r="D17">
        <v>0.439183210162781</v>
      </c>
      <c r="E17">
        <v>0.143953845717466</v>
      </c>
      <c r="F17">
        <v>3.53268013784457</v>
      </c>
      <c r="G17">
        <v>-1.8921436648583549</v>
      </c>
      <c r="H17">
        <v>-1.6042666057841417</v>
      </c>
      <c r="I17">
        <v>0.27810178145603298</v>
      </c>
      <c r="J17">
        <v>0.163338155436687</v>
      </c>
      <c r="K17">
        <v>4.0749187614052801E-2</v>
      </c>
      <c r="L17">
        <v>4.431314863505423E-5</v>
      </c>
      <c r="M17">
        <v>9.0386686001949721E-7</v>
      </c>
      <c r="N17" s="1">
        <v>1.6822450220056901E-10</v>
      </c>
      <c r="O17" s="1">
        <v>4.1876179834254998E-14</v>
      </c>
      <c r="P17" s="1">
        <v>2.1816245385663401E-13</v>
      </c>
      <c r="Q17">
        <v>50.843343605103001</v>
      </c>
      <c r="R17">
        <v>1.6313471145761899E-2</v>
      </c>
      <c r="S17">
        <v>1.5687029590992401</v>
      </c>
      <c r="T17">
        <v>0.48304191171453198</v>
      </c>
      <c r="V17">
        <v>29.472124278348701</v>
      </c>
      <c r="X17">
        <v>17.382570547487902</v>
      </c>
      <c r="AA17">
        <v>0.21803776237823799</v>
      </c>
      <c r="AB17">
        <v>1.5865464722432499E-2</v>
      </c>
      <c r="AJ17">
        <v>-0.98242162778678399</v>
      </c>
      <c r="AK17">
        <v>0.98982143573628001</v>
      </c>
      <c r="AL17">
        <v>0.94894722631215001</v>
      </c>
      <c r="AM17">
        <v>2.8473830136782601E-2</v>
      </c>
      <c r="AN17">
        <v>-2.7529178348958901E-2</v>
      </c>
      <c r="AO17">
        <v>4.1523979720102099E-2</v>
      </c>
      <c r="AP17">
        <v>1.1843342304274601E-3</v>
      </c>
    </row>
    <row r="18" spans="1:42" x14ac:dyDescent="0.2">
      <c r="A18">
        <v>114</v>
      </c>
      <c r="B18">
        <v>761</v>
      </c>
      <c r="C18">
        <v>150</v>
      </c>
      <c r="D18">
        <v>0.43857322438717999</v>
      </c>
      <c r="E18">
        <v>0.19069827445755699</v>
      </c>
      <c r="F18">
        <v>3.53259012814428</v>
      </c>
      <c r="G18">
        <v>-2.5073068201397879</v>
      </c>
      <c r="H18">
        <v>-2.126494045738049</v>
      </c>
      <c r="I18">
        <v>0.36823746497291399</v>
      </c>
      <c r="J18">
        <v>0.21641439043251401</v>
      </c>
      <c r="K18">
        <v>5.39825645036646E-2</v>
      </c>
      <c r="L18">
        <v>4.4300488979958486E-5</v>
      </c>
      <c r="M18">
        <v>9.0363480216149652E-7</v>
      </c>
      <c r="N18" s="1">
        <v>2.2450110069269799E-10</v>
      </c>
      <c r="O18" s="1">
        <v>5.5832160561887103E-14</v>
      </c>
      <c r="P18" s="1">
        <v>2.4170829705543398E-13</v>
      </c>
      <c r="Q18">
        <v>50.821276785985702</v>
      </c>
      <c r="R18">
        <v>1.71820678731281E-2</v>
      </c>
      <c r="S18">
        <v>1.6241068026646299</v>
      </c>
      <c r="T18">
        <v>0.48573752915302398</v>
      </c>
      <c r="V18">
        <v>29.425878212008602</v>
      </c>
      <c r="X18">
        <v>17.400824988870699</v>
      </c>
      <c r="AA18">
        <v>0.20927272945411601</v>
      </c>
      <c r="AB18">
        <v>1.5720883990062402E-2</v>
      </c>
      <c r="AJ18">
        <v>-0.98238646051590395</v>
      </c>
      <c r="AK18">
        <v>0.99019613128198603</v>
      </c>
      <c r="AL18">
        <v>0.94723227056286996</v>
      </c>
      <c r="AM18">
        <v>2.9715253240725301E-2</v>
      </c>
      <c r="AN18">
        <v>-2.8720541524726601E-2</v>
      </c>
      <c r="AO18">
        <v>4.2790085297306199E-2</v>
      </c>
      <c r="AP18">
        <v>1.1732616577430799E-3</v>
      </c>
    </row>
    <row r="19" spans="1:42" x14ac:dyDescent="0.2">
      <c r="A19">
        <v>132</v>
      </c>
      <c r="B19">
        <v>771</v>
      </c>
      <c r="C19">
        <v>125</v>
      </c>
      <c r="D19">
        <v>0.47095771680314102</v>
      </c>
      <c r="E19">
        <v>6.79512046146033E-2</v>
      </c>
      <c r="F19">
        <v>3.5287468813812501</v>
      </c>
      <c r="G19">
        <v>-0.89541667144472581</v>
      </c>
      <c r="H19">
        <v>-0.75759741357962751</v>
      </c>
      <c r="I19">
        <v>0.131991819053869</v>
      </c>
      <c r="J19">
        <v>7.71927488734028E-2</v>
      </c>
      <c r="K19">
        <v>1.9256468910574E-2</v>
      </c>
      <c r="L19">
        <v>4.4306000809968797E-5</v>
      </c>
      <c r="M19">
        <v>9.0321378368076219E-7</v>
      </c>
      <c r="N19" s="1">
        <v>7.9047718087536106E-11</v>
      </c>
      <c r="O19" s="1">
        <v>1.9582013484513699E-14</v>
      </c>
      <c r="P19" s="1">
        <v>1.5435317166952201E-13</v>
      </c>
      <c r="Q19">
        <v>50.901568154814001</v>
      </c>
      <c r="R19">
        <v>1.40997961035602E-2</v>
      </c>
      <c r="S19">
        <v>1.4956289720743601</v>
      </c>
      <c r="T19">
        <v>0.50121596615463004</v>
      </c>
      <c r="V19">
        <v>29.3732769403587</v>
      </c>
      <c r="X19">
        <v>17.466480983157499</v>
      </c>
      <c r="AA19">
        <v>0.23210573881316601</v>
      </c>
      <c r="AB19">
        <v>1.56234485238778E-2</v>
      </c>
      <c r="AJ19">
        <v>-0.97682208018690997</v>
      </c>
      <c r="AK19">
        <v>0.98926343848501697</v>
      </c>
      <c r="AL19">
        <v>0.94539014776418395</v>
      </c>
      <c r="AM19">
        <v>2.6487091528761001E-2</v>
      </c>
      <c r="AN19">
        <v>-2.5670948537685E-2</v>
      </c>
      <c r="AO19">
        <v>4.0186544544264999E-2</v>
      </c>
      <c r="AP19">
        <v>1.1658064023669799E-3</v>
      </c>
    </row>
    <row r="20" spans="1:42" x14ac:dyDescent="0.2">
      <c r="A20">
        <v>133</v>
      </c>
      <c r="B20">
        <v>770</v>
      </c>
      <c r="C20">
        <v>125</v>
      </c>
      <c r="D20">
        <v>0.47038345396155901</v>
      </c>
      <c r="E20">
        <v>0.14273628373194899</v>
      </c>
      <c r="F20">
        <v>3.5237869187435198</v>
      </c>
      <c r="G20">
        <v>-1.8867815582338043</v>
      </c>
      <c r="H20">
        <v>-1.5974961773754592</v>
      </c>
      <c r="I20">
        <v>0.27731906327790301</v>
      </c>
      <c r="J20">
        <v>0.16238338318141901</v>
      </c>
      <c r="K20">
        <v>4.0506502527923802E-2</v>
      </c>
      <c r="L20">
        <v>4.4239989275750797E-5</v>
      </c>
      <c r="M20">
        <v>9.0171543526923161E-7</v>
      </c>
      <c r="N20" s="1">
        <v>1.6850659890013601E-10</v>
      </c>
      <c r="O20" s="1">
        <v>4.1688023188205298E-14</v>
      </c>
      <c r="P20" s="1">
        <v>3.0440529626320298E-13</v>
      </c>
      <c r="Q20">
        <v>50.990117612256697</v>
      </c>
      <c r="R20">
        <v>1.63946071836585E-2</v>
      </c>
      <c r="S20">
        <v>1.5146312431787099</v>
      </c>
      <c r="T20">
        <v>0.48714009937277902</v>
      </c>
      <c r="V20">
        <v>29.017845578218001</v>
      </c>
      <c r="X20">
        <v>17.726871438811401</v>
      </c>
      <c r="AA20">
        <v>0.231333312449885</v>
      </c>
      <c r="AB20">
        <v>1.5666108528677999E-2</v>
      </c>
      <c r="AJ20">
        <v>-0.96392299833510597</v>
      </c>
      <c r="AK20">
        <v>0.98931187815693999</v>
      </c>
      <c r="AL20">
        <v>0.93222589583558502</v>
      </c>
      <c r="AM20">
        <v>2.71364956678193E-2</v>
      </c>
      <c r="AN20">
        <v>-2.6189273695130601E-2</v>
      </c>
      <c r="AO20">
        <v>4.0271171281914403E-2</v>
      </c>
      <c r="AP20">
        <v>1.16683108797715E-3</v>
      </c>
    </row>
    <row r="21" spans="1:42" x14ac:dyDescent="0.2">
      <c r="A21">
        <v>134</v>
      </c>
      <c r="B21">
        <v>769</v>
      </c>
      <c r="C21">
        <v>125</v>
      </c>
      <c r="D21">
        <v>0.46980808904668597</v>
      </c>
      <c r="E21">
        <v>0.178095542413682</v>
      </c>
      <c r="F21">
        <v>3.52121459595514</v>
      </c>
      <c r="G21">
        <v>-2.358243249873337</v>
      </c>
      <c r="H21">
        <v>-1.9976828321657345</v>
      </c>
      <c r="I21">
        <v>0.3459774674544</v>
      </c>
      <c r="J21">
        <v>0.20277212481017401</v>
      </c>
      <c r="K21">
        <v>5.05778723677512E-2</v>
      </c>
      <c r="L21">
        <v>4.4198178891752729E-5</v>
      </c>
      <c r="M21">
        <v>9.0083941187942629E-7</v>
      </c>
      <c r="N21" s="1">
        <v>2.1282207779992299E-10</v>
      </c>
      <c r="O21" s="1">
        <v>5.2538019761344502E-14</v>
      </c>
      <c r="P21" s="1">
        <v>3.4542533088886998E-13</v>
      </c>
      <c r="Q21">
        <v>51.026284604429499</v>
      </c>
      <c r="R21">
        <v>1.80507781167689E-2</v>
      </c>
      <c r="S21">
        <v>1.5480563303369499</v>
      </c>
      <c r="T21">
        <v>0.48122960950445598</v>
      </c>
      <c r="V21">
        <v>28.815486495400101</v>
      </c>
      <c r="X21">
        <v>17.869759396763801</v>
      </c>
      <c r="AA21">
        <v>0.22549642682361801</v>
      </c>
      <c r="AB21">
        <v>1.5636358624620199E-2</v>
      </c>
      <c r="AJ21">
        <v>-0.95737263205350398</v>
      </c>
      <c r="AK21">
        <v>0.98956533650556899</v>
      </c>
      <c r="AL21">
        <v>0.92474952360623597</v>
      </c>
      <c r="AM21">
        <v>2.7997999823047098E-2</v>
      </c>
      <c r="AN21">
        <v>-2.69561890628023E-2</v>
      </c>
      <c r="AO21">
        <v>4.0852573005095101E-2</v>
      </c>
      <c r="AP21">
        <v>1.16338817635853E-3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3A85B-56EF-412E-9AE3-483BCD850BBA}">
  <sheetPr codeName="Sheet9"/>
  <dimension ref="A1:AL7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24</v>
      </c>
      <c r="B2">
        <v>740</v>
      </c>
      <c r="C2">
        <v>275</v>
      </c>
      <c r="D2">
        <v>0.28977002418201098</v>
      </c>
      <c r="E2">
        <v>6.5544281105174802</v>
      </c>
      <c r="F2">
        <v>2.5262570318264199</v>
      </c>
      <c r="G2">
        <v>-103.27150378081582</v>
      </c>
      <c r="H2">
        <v>-89.638152192999044</v>
      </c>
      <c r="I2">
        <v>13.4563999287536</v>
      </c>
      <c r="J2">
        <v>7.8274482227847297</v>
      </c>
      <c r="K2">
        <v>2.5945214710708799</v>
      </c>
      <c r="L2">
        <v>2.9021359857580924E-5</v>
      </c>
      <c r="M2">
        <v>1.7958068865273792E-6</v>
      </c>
      <c r="N2" s="1">
        <v>-7.8075740046959798E-8</v>
      </c>
      <c r="O2" s="1">
        <v>2.45127120416087E-11</v>
      </c>
      <c r="P2" s="1">
        <v>2.7774355072872902E-10</v>
      </c>
      <c r="Q2">
        <v>66.071758924919095</v>
      </c>
      <c r="S2">
        <v>18.9959345802305</v>
      </c>
      <c r="AA2">
        <v>0.25489884517954597</v>
      </c>
      <c r="AB2">
        <v>4.7026071367524001</v>
      </c>
      <c r="AC2">
        <v>9.9748005129183301</v>
      </c>
      <c r="AJ2">
        <v>0.41228688486921999</v>
      </c>
      <c r="AK2">
        <v>1.2349218630154001E-2</v>
      </c>
      <c r="AL2">
        <v>0.57536389650062403</v>
      </c>
    </row>
    <row r="3" spans="1:38" x14ac:dyDescent="0.2">
      <c r="A3">
        <v>25</v>
      </c>
      <c r="B3">
        <v>739</v>
      </c>
      <c r="C3">
        <v>275</v>
      </c>
      <c r="D3">
        <v>0.28899916020352701</v>
      </c>
      <c r="E3">
        <v>13.7745648446578</v>
      </c>
      <c r="F3">
        <v>2.52630582762152</v>
      </c>
      <c r="G3">
        <v>-217.01763501305305</v>
      </c>
      <c r="H3">
        <v>-188.40848034684791</v>
      </c>
      <c r="I3">
        <v>28.265726094161099</v>
      </c>
      <c r="J3">
        <v>16.4568495018625</v>
      </c>
      <c r="K3">
        <v>5.4524534179721202</v>
      </c>
      <c r="L3">
        <v>2.9069165636848298E-5</v>
      </c>
      <c r="M3">
        <v>1.7962425580649277E-6</v>
      </c>
      <c r="N3" s="1">
        <v>-1.7071960695058901E-7</v>
      </c>
      <c r="O3" s="1">
        <v>5.1458886494854597E-11</v>
      </c>
      <c r="P3" s="1">
        <v>6.0263964104464396E-10</v>
      </c>
      <c r="Q3">
        <v>66.081363673884795</v>
      </c>
      <c r="S3">
        <v>18.9943666758459</v>
      </c>
      <c r="AA3">
        <v>0.25136417114236898</v>
      </c>
      <c r="AB3">
        <v>4.7199003396506498</v>
      </c>
      <c r="AC3">
        <v>9.9530051394761596</v>
      </c>
      <c r="AJ3">
        <v>0.41376673186134999</v>
      </c>
      <c r="AK3">
        <v>1.21769046468857E-2</v>
      </c>
      <c r="AL3">
        <v>0.57405636349176303</v>
      </c>
    </row>
    <row r="4" spans="1:38" x14ac:dyDescent="0.2">
      <c r="A4">
        <v>26</v>
      </c>
      <c r="B4">
        <v>738</v>
      </c>
      <c r="C4">
        <v>275</v>
      </c>
      <c r="D4">
        <v>0.28822677149780002</v>
      </c>
      <c r="E4">
        <v>32.0372777058464</v>
      </c>
      <c r="F4">
        <v>2.5264443499520399</v>
      </c>
      <c r="G4">
        <v>-504.86411967490858</v>
      </c>
      <c r="H4">
        <v>-438.39744907417395</v>
      </c>
      <c r="I4">
        <v>65.733739406353706</v>
      </c>
      <c r="J4">
        <v>38.312300515623797</v>
      </c>
      <c r="K4">
        <v>12.6807771192167</v>
      </c>
      <c r="L4">
        <v>2.9182337278401401E-5</v>
      </c>
      <c r="M4">
        <v>1.7975807665304972E-6</v>
      </c>
      <c r="N4" s="1">
        <v>-4.2052870634081597E-7</v>
      </c>
      <c r="O4" s="1">
        <v>1.1944023194971699E-10</v>
      </c>
      <c r="P4" s="1">
        <v>1.4689610872679401E-9</v>
      </c>
      <c r="Q4">
        <v>66.117306220496204</v>
      </c>
      <c r="S4">
        <v>18.997495070184399</v>
      </c>
      <c r="AA4">
        <v>0.245558426618189</v>
      </c>
      <c r="AB4">
        <v>4.8081978700891304</v>
      </c>
      <c r="AC4">
        <v>9.8314424126119899</v>
      </c>
      <c r="AJ4">
        <v>0.42131854036934901</v>
      </c>
      <c r="AK4">
        <v>1.18903290012803E-2</v>
      </c>
      <c r="AL4">
        <v>0.56679113062937003</v>
      </c>
    </row>
    <row r="5" spans="1:38" x14ac:dyDescent="0.2">
      <c r="A5">
        <v>27</v>
      </c>
      <c r="B5">
        <v>737</v>
      </c>
      <c r="C5">
        <v>275</v>
      </c>
      <c r="D5">
        <v>0.28745285353660599</v>
      </c>
      <c r="E5">
        <v>35.750632216863401</v>
      </c>
      <c r="F5">
        <v>2.52648127443593</v>
      </c>
      <c r="G5">
        <v>-563.31945069983783</v>
      </c>
      <c r="H5">
        <v>-489.26265114915913</v>
      </c>
      <c r="I5">
        <v>73.312675890391205</v>
      </c>
      <c r="J5">
        <v>42.769276262435397</v>
      </c>
      <c r="K5">
        <v>14.150365007096701</v>
      </c>
      <c r="L5">
        <v>2.92240484663593E-5</v>
      </c>
      <c r="M5">
        <v>1.797895789457156E-6</v>
      </c>
      <c r="N5" s="1">
        <v>-4.8676605591870003E-7</v>
      </c>
      <c r="O5" s="1">
        <v>1.3314481024541701E-10</v>
      </c>
      <c r="P5" s="1">
        <v>1.68897282145166E-9</v>
      </c>
      <c r="Q5">
        <v>66.123076091533704</v>
      </c>
      <c r="S5">
        <v>18.995182970706399</v>
      </c>
      <c r="AA5">
        <v>0.242304600347411</v>
      </c>
      <c r="AB5">
        <v>4.8149942489530204</v>
      </c>
      <c r="AC5">
        <v>9.8244420884593904</v>
      </c>
      <c r="AJ5">
        <v>0.42189955881588598</v>
      </c>
      <c r="AK5">
        <v>1.17323699389974E-2</v>
      </c>
      <c r="AL5">
        <v>0.56636807124511501</v>
      </c>
    </row>
    <row r="6" spans="1:38" x14ac:dyDescent="0.2">
      <c r="A6">
        <v>28</v>
      </c>
      <c r="B6">
        <v>736</v>
      </c>
      <c r="C6">
        <v>275</v>
      </c>
      <c r="D6">
        <v>0.28667740177377199</v>
      </c>
      <c r="E6">
        <v>36.993755385028003</v>
      </c>
      <c r="F6">
        <v>2.5265017276461599</v>
      </c>
      <c r="G6">
        <v>-582.81148110049128</v>
      </c>
      <c r="H6">
        <v>-506.30250464767471</v>
      </c>
      <c r="I6">
        <v>75.815266761944599</v>
      </c>
      <c r="J6">
        <v>44.269735503716397</v>
      </c>
      <c r="K6">
        <v>14.6422838267732</v>
      </c>
      <c r="L6">
        <v>2.9255298593447006E-5</v>
      </c>
      <c r="M6">
        <v>1.7980510655117312E-6</v>
      </c>
      <c r="N6" s="1">
        <v>-5.2077464763102895E-7</v>
      </c>
      <c r="O6" s="1">
        <v>1.3764890545380901E-10</v>
      </c>
      <c r="P6" s="1">
        <v>1.7961252988747E-9</v>
      </c>
      <c r="Q6">
        <v>66.124075472142707</v>
      </c>
      <c r="S6">
        <v>18.992038073673701</v>
      </c>
      <c r="AA6">
        <v>0.23947683629153099</v>
      </c>
      <c r="AB6">
        <v>4.8089765586196602</v>
      </c>
      <c r="AC6">
        <v>9.8354330592723809</v>
      </c>
      <c r="AJ6">
        <v>0.42138516473716697</v>
      </c>
      <c r="AK6">
        <v>1.15958044829275E-2</v>
      </c>
      <c r="AL6">
        <v>0.56701903077990401</v>
      </c>
    </row>
    <row r="7" spans="1:38" x14ac:dyDescent="0.2">
      <c r="A7">
        <v>49</v>
      </c>
      <c r="B7">
        <v>743</v>
      </c>
      <c r="C7">
        <v>250</v>
      </c>
      <c r="D7">
        <v>0.31913644639078897</v>
      </c>
      <c r="E7">
        <v>13.6923761371749</v>
      </c>
      <c r="F7">
        <v>2.52536886395055</v>
      </c>
      <c r="G7">
        <v>-216.1387943288903</v>
      </c>
      <c r="H7">
        <v>-187.49164611358125</v>
      </c>
      <c r="I7">
        <v>28.191849840386801</v>
      </c>
      <c r="J7">
        <v>16.355645001369702</v>
      </c>
      <c r="K7">
        <v>5.4219311612780698</v>
      </c>
      <c r="L7">
        <v>2.9053498627502665E-5</v>
      </c>
      <c r="M7">
        <v>1.7989860298013032E-6</v>
      </c>
      <c r="N7" s="1">
        <v>-1.5023121060591399E-7</v>
      </c>
      <c r="O7" s="1">
        <v>5.1244357885164697E-11</v>
      </c>
      <c r="P7" s="1">
        <v>5.4381981438180398E-10</v>
      </c>
      <c r="Q7">
        <v>66.126043833173497</v>
      </c>
      <c r="S7">
        <v>19.0219742965348</v>
      </c>
      <c r="AA7">
        <v>0.263715236537027</v>
      </c>
      <c r="AB7">
        <v>4.8918446458424603</v>
      </c>
      <c r="AC7">
        <v>9.6964219879121405</v>
      </c>
      <c r="AJ7">
        <v>0.42846612735989698</v>
      </c>
      <c r="AK7">
        <v>1.2764089792965901E-2</v>
      </c>
      <c r="AL7">
        <v>0.55876978284713597</v>
      </c>
    </row>
    <row r="8" spans="1:38" x14ac:dyDescent="0.2">
      <c r="A8">
        <v>50</v>
      </c>
      <c r="B8">
        <v>742</v>
      </c>
      <c r="C8">
        <v>250</v>
      </c>
      <c r="D8">
        <v>0.318396788651924</v>
      </c>
      <c r="E8">
        <v>32.440538621067802</v>
      </c>
      <c r="F8">
        <v>2.5254401228849201</v>
      </c>
      <c r="G8">
        <v>-512.07790895124447</v>
      </c>
      <c r="H8">
        <v>-444.30133350642228</v>
      </c>
      <c r="I8">
        <v>66.765084415920896</v>
      </c>
      <c r="J8">
        <v>38.768866471509803</v>
      </c>
      <c r="K8">
        <v>12.8454990190024</v>
      </c>
      <c r="L8">
        <v>2.9109167424286852E-5</v>
      </c>
      <c r="M8">
        <v>1.7995728731070176E-6</v>
      </c>
      <c r="N8" s="1">
        <v>-3.7141973586514401E-7</v>
      </c>
      <c r="O8" s="1">
        <v>1.21269876253006E-10</v>
      </c>
      <c r="P8" s="1">
        <v>1.3328231043605601E-9</v>
      </c>
      <c r="Q8">
        <v>66.140223534142095</v>
      </c>
      <c r="S8">
        <v>19.021250177181301</v>
      </c>
      <c r="AA8">
        <v>0.25980919128390501</v>
      </c>
      <c r="AB8">
        <v>4.9215449761386196</v>
      </c>
      <c r="AC8">
        <v>9.6571721212540105</v>
      </c>
      <c r="AJ8">
        <v>0.43100264798517102</v>
      </c>
      <c r="AK8">
        <v>1.25731408708114E-2</v>
      </c>
      <c r="AL8">
        <v>0.55642421114401597</v>
      </c>
    </row>
    <row r="9" spans="1:38" x14ac:dyDescent="0.2">
      <c r="A9">
        <v>51</v>
      </c>
      <c r="B9">
        <v>741</v>
      </c>
      <c r="C9">
        <v>250</v>
      </c>
      <c r="D9">
        <v>0.31765567223783697</v>
      </c>
      <c r="E9">
        <v>36.182869091203202</v>
      </c>
      <c r="F9">
        <v>2.52545729270176</v>
      </c>
      <c r="G9">
        <v>-571.05693895306115</v>
      </c>
      <c r="H9">
        <v>-495.58212391491162</v>
      </c>
      <c r="I9">
        <v>74.421747313661101</v>
      </c>
      <c r="J9">
        <v>43.251682359491802</v>
      </c>
      <c r="K9">
        <v>14.3272543930031</v>
      </c>
      <c r="L9">
        <v>2.9135150457481057E-5</v>
      </c>
      <c r="M9">
        <v>1.7997151459038978E-6</v>
      </c>
      <c r="N9" s="1">
        <v>-4.2839952381473798E-7</v>
      </c>
      <c r="O9" s="1">
        <v>1.3515677060495599E-10</v>
      </c>
      <c r="P9" s="1">
        <v>1.5268452801251601E-9</v>
      </c>
      <c r="Q9">
        <v>66.141369787638396</v>
      </c>
      <c r="S9">
        <v>19.017983402843399</v>
      </c>
      <c r="AA9">
        <v>0.25684660642294999</v>
      </c>
      <c r="AB9">
        <v>4.91553506695917</v>
      </c>
      <c r="AC9">
        <v>9.6682651361359504</v>
      </c>
      <c r="AJ9">
        <v>0.43048947598703602</v>
      </c>
      <c r="AK9">
        <v>1.24301498012372E-2</v>
      </c>
      <c r="AL9">
        <v>0.55708037421172596</v>
      </c>
    </row>
    <row r="10" spans="1:38" x14ac:dyDescent="0.2">
      <c r="A10">
        <v>52</v>
      </c>
      <c r="B10">
        <v>740</v>
      </c>
      <c r="C10">
        <v>250</v>
      </c>
      <c r="D10">
        <v>0.31691309282929903</v>
      </c>
      <c r="E10">
        <v>37.455575672960698</v>
      </c>
      <c r="F10">
        <v>2.5254683661990098</v>
      </c>
      <c r="G10">
        <v>-591.03525579328345</v>
      </c>
      <c r="H10">
        <v>-513.03207024273581</v>
      </c>
      <c r="I10">
        <v>76.990757094751601</v>
      </c>
      <c r="J10">
        <v>44.782951810755698</v>
      </c>
      <c r="K10">
        <v>14.831140304217501</v>
      </c>
      <c r="L10">
        <v>2.9158267864954431E-5</v>
      </c>
      <c r="M10">
        <v>1.7998050836471338E-6</v>
      </c>
      <c r="N10" s="1">
        <v>-4.5808886034777398E-7</v>
      </c>
      <c r="O10" s="1">
        <v>1.3980816597734401E-10</v>
      </c>
      <c r="P10" s="1">
        <v>1.62213804763699E-9</v>
      </c>
      <c r="Q10">
        <v>66.140904723794705</v>
      </c>
      <c r="S10">
        <v>19.014430252643301</v>
      </c>
      <c r="AA10">
        <v>0.25402373741663398</v>
      </c>
      <c r="AB10">
        <v>4.9051836519286498</v>
      </c>
      <c r="AC10">
        <v>9.6854576342165704</v>
      </c>
      <c r="AJ10">
        <v>0.42960549809679399</v>
      </c>
      <c r="AK10">
        <v>1.2294182351733299E-2</v>
      </c>
      <c r="AL10">
        <v>0.55810031955147099</v>
      </c>
    </row>
    <row r="11" spans="1:38" x14ac:dyDescent="0.2">
      <c r="A11">
        <v>65</v>
      </c>
      <c r="B11">
        <v>751</v>
      </c>
      <c r="C11">
        <v>225</v>
      </c>
      <c r="D11">
        <v>0.35185324415369101</v>
      </c>
      <c r="E11">
        <v>3.8253485733831798E-2</v>
      </c>
      <c r="F11">
        <v>2.5696312826805601</v>
      </c>
      <c r="G11">
        <v>-0.61925758431120315</v>
      </c>
      <c r="H11">
        <v>-0.53700553980752563</v>
      </c>
      <c r="I11">
        <v>8.0312497684594406E-2</v>
      </c>
      <c r="J11">
        <v>4.6830232828284898E-2</v>
      </c>
      <c r="K11">
        <v>1.48867605993366E-2</v>
      </c>
      <c r="L11">
        <v>3.1772221252624742E-5</v>
      </c>
      <c r="M11">
        <v>1.8193436585153E-6</v>
      </c>
      <c r="N11" s="1">
        <v>-6.6206900840632096E-10</v>
      </c>
      <c r="O11" s="1">
        <v>1.3122168324450801E-13</v>
      </c>
      <c r="P11" s="1">
        <v>2.24358517683726E-12</v>
      </c>
      <c r="Q11">
        <v>65.5260768777907</v>
      </c>
      <c r="S11">
        <v>21.157061202785599</v>
      </c>
      <c r="AA11">
        <v>2.1651778827000898</v>
      </c>
      <c r="AB11">
        <v>9.1522583596855807</v>
      </c>
      <c r="AC11">
        <v>1.99942567703785</v>
      </c>
      <c r="AJ11">
        <v>0.78464443671830997</v>
      </c>
      <c r="AK11">
        <v>0.102576765594692</v>
      </c>
      <c r="AL11">
        <v>0.112778797686996</v>
      </c>
    </row>
    <row r="12" spans="1:38" x14ac:dyDescent="0.2">
      <c r="A12">
        <v>66</v>
      </c>
      <c r="B12">
        <v>750</v>
      </c>
      <c r="C12">
        <v>225</v>
      </c>
      <c r="D12">
        <v>0.35115134633240402</v>
      </c>
      <c r="E12">
        <v>1.4121949690195099</v>
      </c>
      <c r="F12">
        <v>2.5675921991605302</v>
      </c>
      <c r="G12">
        <v>-22.844238640235286</v>
      </c>
      <c r="H12">
        <v>-19.812168810127698</v>
      </c>
      <c r="I12">
        <v>2.9634656014343701</v>
      </c>
      <c r="J12">
        <v>1.7289387438142101</v>
      </c>
      <c r="K12">
        <v>0.55000750098914797</v>
      </c>
      <c r="L12">
        <v>3.1815867382021079E-5</v>
      </c>
      <c r="M12">
        <v>1.821634188401886E-6</v>
      </c>
      <c r="N12" s="1">
        <v>-2.50534902125524E-8</v>
      </c>
      <c r="O12" s="1">
        <v>4.8569808946059797E-12</v>
      </c>
      <c r="P12" s="1">
        <v>8.4557776150333703E-11</v>
      </c>
      <c r="Q12">
        <v>65.653134261986807</v>
      </c>
      <c r="S12">
        <v>21.028785263198301</v>
      </c>
      <c r="AA12">
        <v>2.0297018154835702</v>
      </c>
      <c r="AB12">
        <v>9.0991068751838693</v>
      </c>
      <c r="AC12">
        <v>2.1892717841472802</v>
      </c>
      <c r="AJ12">
        <v>0.78029573159134102</v>
      </c>
      <c r="AK12">
        <v>9.6184146501140905E-2</v>
      </c>
      <c r="AL12">
        <v>0.123520121907517</v>
      </c>
    </row>
    <row r="13" spans="1:38" x14ac:dyDescent="0.2">
      <c r="A13">
        <v>67</v>
      </c>
      <c r="B13">
        <v>749</v>
      </c>
      <c r="C13">
        <v>225</v>
      </c>
      <c r="D13">
        <v>0.350448075135744</v>
      </c>
      <c r="E13">
        <v>2.9398193819023999</v>
      </c>
      <c r="F13">
        <v>2.56514338649882</v>
      </c>
      <c r="G13">
        <v>-47.512334461144555</v>
      </c>
      <c r="H13">
        <v>-41.209906847011254</v>
      </c>
      <c r="I13">
        <v>6.1658539491594198</v>
      </c>
      <c r="J13">
        <v>3.5987388367500399</v>
      </c>
      <c r="K13">
        <v>1.1460643476601</v>
      </c>
      <c r="L13">
        <v>3.1835829389240191E-5</v>
      </c>
      <c r="M13">
        <v>1.8237130485068055E-6</v>
      </c>
      <c r="N13" s="1">
        <v>-5.3242211004327001E-8</v>
      </c>
      <c r="O13" s="1">
        <v>1.01447515874679E-11</v>
      </c>
      <c r="P13" s="1">
        <v>1.79076386603102E-10</v>
      </c>
      <c r="Q13">
        <v>65.784308498506206</v>
      </c>
      <c r="S13">
        <v>20.884460012134902</v>
      </c>
      <c r="AA13">
        <v>1.8800242907587601</v>
      </c>
      <c r="AB13">
        <v>9.0130542187602192</v>
      </c>
      <c r="AC13">
        <v>2.4381529798398001</v>
      </c>
      <c r="AJ13">
        <v>0.77324906838974605</v>
      </c>
      <c r="AK13">
        <v>8.9129541562748799E-2</v>
      </c>
      <c r="AL13">
        <v>0.13762139004750501</v>
      </c>
    </row>
    <row r="14" spans="1:38" x14ac:dyDescent="0.2">
      <c r="A14">
        <v>68</v>
      </c>
      <c r="B14">
        <v>748</v>
      </c>
      <c r="C14">
        <v>225</v>
      </c>
      <c r="D14">
        <v>0.34974342652891699</v>
      </c>
      <c r="E14">
        <v>6.66979600281753</v>
      </c>
      <c r="F14">
        <v>2.5652695288118301</v>
      </c>
      <c r="G14">
        <v>-107.7793591538196</v>
      </c>
      <c r="H14">
        <v>-93.502978233090545</v>
      </c>
      <c r="I14">
        <v>13.9806893411634</v>
      </c>
      <c r="J14">
        <v>8.1678735474586102</v>
      </c>
      <c r="K14">
        <v>2.6000371219888199</v>
      </c>
      <c r="L14">
        <v>3.1875044310781948E-5</v>
      </c>
      <c r="M14">
        <v>1.8236739451452133E-6</v>
      </c>
      <c r="N14" s="1">
        <v>-1.24527970423247E-7</v>
      </c>
      <c r="O14" s="1">
        <v>2.2982450806862902E-11</v>
      </c>
      <c r="P14" s="1">
        <v>4.1696898028895199E-10</v>
      </c>
      <c r="Q14">
        <v>65.774559817203297</v>
      </c>
      <c r="S14">
        <v>20.889737555861299</v>
      </c>
      <c r="AA14">
        <v>1.88665303987981</v>
      </c>
      <c r="AB14">
        <v>9.0051655721864297</v>
      </c>
      <c r="AC14">
        <v>2.4438840148690102</v>
      </c>
      <c r="AJ14">
        <v>0.77260244344211204</v>
      </c>
      <c r="AK14">
        <v>8.9447293666633607E-2</v>
      </c>
      <c r="AL14">
        <v>0.13795026289125401</v>
      </c>
    </row>
    <row r="15" spans="1:38" x14ac:dyDescent="0.2">
      <c r="A15">
        <v>69</v>
      </c>
      <c r="B15">
        <v>747</v>
      </c>
      <c r="C15">
        <v>225</v>
      </c>
      <c r="D15">
        <v>0.34903739646130499</v>
      </c>
      <c r="E15">
        <v>13.417753794977999</v>
      </c>
      <c r="F15">
        <v>2.56572635680218</v>
      </c>
      <c r="G15">
        <v>-216.81451075347672</v>
      </c>
      <c r="H15">
        <v>-188.13945275473085</v>
      </c>
      <c r="I15">
        <v>28.108668331858901</v>
      </c>
      <c r="J15">
        <v>16.439516426951599</v>
      </c>
      <c r="K15">
        <v>5.22961217567308</v>
      </c>
      <c r="L15">
        <v>3.1922408218806045E-5</v>
      </c>
      <c r="M15">
        <v>1.8234688867324747E-6</v>
      </c>
      <c r="N15" s="1">
        <v>-2.5873291482025799E-7</v>
      </c>
      <c r="O15" s="1">
        <v>4.6135603893655299E-11</v>
      </c>
      <c r="P15" s="1">
        <v>8.6237198862820198E-10</v>
      </c>
      <c r="Q15">
        <v>65.750112255554995</v>
      </c>
      <c r="S15">
        <v>20.912909474023198</v>
      </c>
      <c r="AA15">
        <v>1.91147461391588</v>
      </c>
      <c r="AB15">
        <v>9.0114336878951704</v>
      </c>
      <c r="AC15">
        <v>2.4140699686107001</v>
      </c>
      <c r="AJ15">
        <v>0.77311574003443695</v>
      </c>
      <c r="AK15">
        <v>9.0621229245845605E-2</v>
      </c>
      <c r="AL15">
        <v>0.13626303071971699</v>
      </c>
    </row>
    <row r="16" spans="1:38" x14ac:dyDescent="0.2">
      <c r="A16">
        <v>70</v>
      </c>
      <c r="B16">
        <v>746</v>
      </c>
      <c r="C16">
        <v>225</v>
      </c>
      <c r="D16">
        <v>0.34832998086640898</v>
      </c>
      <c r="E16">
        <v>18.092083593796499</v>
      </c>
      <c r="F16">
        <v>2.5660570414325798</v>
      </c>
      <c r="G16">
        <v>-292.32894596282057</v>
      </c>
      <c r="H16">
        <v>-253.72467624870953</v>
      </c>
      <c r="I16">
        <v>37.878888989953403</v>
      </c>
      <c r="J16">
        <v>22.1778039468118</v>
      </c>
      <c r="K16">
        <v>7.0505383558021197</v>
      </c>
      <c r="L16">
        <v>3.1974715096655633E-5</v>
      </c>
      <c r="M16">
        <v>1.8234701638534753E-6</v>
      </c>
      <c r="N16" s="1">
        <v>-3.6035286527264602E-7</v>
      </c>
      <c r="O16" s="1">
        <v>6.20857656112681E-11</v>
      </c>
      <c r="P16" s="1">
        <v>1.19567071436457E-9</v>
      </c>
      <c r="Q16">
        <v>65.735839920439403</v>
      </c>
      <c r="S16">
        <v>20.927573893852401</v>
      </c>
      <c r="AA16">
        <v>1.9269031647105299</v>
      </c>
      <c r="AB16">
        <v>9.0180732374290606</v>
      </c>
      <c r="AC16">
        <v>2.3916097835685202</v>
      </c>
      <c r="AJ16">
        <v>0.77365959824989206</v>
      </c>
      <c r="AK16">
        <v>9.1349640017439296E-2</v>
      </c>
      <c r="AL16">
        <v>0.134990761732667</v>
      </c>
    </row>
    <row r="17" spans="1:38" x14ac:dyDescent="0.2">
      <c r="A17">
        <v>71</v>
      </c>
      <c r="B17">
        <v>745</v>
      </c>
      <c r="C17">
        <v>225</v>
      </c>
      <c r="D17">
        <v>0.347621175661739</v>
      </c>
      <c r="E17">
        <v>19.482907114810999</v>
      </c>
      <c r="F17">
        <v>2.5662554801299602</v>
      </c>
      <c r="G17">
        <v>-314.77535016863533</v>
      </c>
      <c r="H17">
        <v>-273.26783224113228</v>
      </c>
      <c r="I17">
        <v>40.767586237296001</v>
      </c>
      <c r="J17">
        <v>23.895357922043502</v>
      </c>
      <c r="K17">
        <v>7.59195928295662</v>
      </c>
      <c r="L17">
        <v>3.2032483485154108E-5</v>
      </c>
      <c r="M17">
        <v>1.8236955622907064E-6</v>
      </c>
      <c r="N17" s="1">
        <v>-4.0089065267833497E-7</v>
      </c>
      <c r="O17" s="1">
        <v>6.6739543151045398E-11</v>
      </c>
      <c r="P17" s="1">
        <v>1.32428802405039E-9</v>
      </c>
      <c r="Q17">
        <v>65.732493372627204</v>
      </c>
      <c r="S17">
        <v>20.933202994347401</v>
      </c>
      <c r="AA17">
        <v>1.9323281014379901</v>
      </c>
      <c r="AB17">
        <v>9.0253730538448504</v>
      </c>
      <c r="AC17">
        <v>2.3766024777425101</v>
      </c>
      <c r="AJ17">
        <v>0.77425769003255196</v>
      </c>
      <c r="AK17">
        <v>9.16034911454153E-2</v>
      </c>
      <c r="AL17">
        <v>0.13413881882203199</v>
      </c>
    </row>
    <row r="18" spans="1:38" x14ac:dyDescent="0.2">
      <c r="A18">
        <v>79</v>
      </c>
      <c r="B18">
        <v>757</v>
      </c>
      <c r="C18">
        <v>200</v>
      </c>
      <c r="D18">
        <v>0.38273115565694399</v>
      </c>
      <c r="E18">
        <v>0.16862457041565401</v>
      </c>
      <c r="F18">
        <v>2.5682618090524301</v>
      </c>
      <c r="G18">
        <v>-2.7341171230313943</v>
      </c>
      <c r="H18">
        <v>-2.3680991745788038</v>
      </c>
      <c r="I18">
        <v>0.35530548798970102</v>
      </c>
      <c r="J18">
        <v>0.205988003457163</v>
      </c>
      <c r="K18">
        <v>6.5657079749929903E-2</v>
      </c>
      <c r="L18">
        <v>3.1521980086324183E-5</v>
      </c>
      <c r="M18">
        <v>1.8203922251176173E-6</v>
      </c>
      <c r="N18" s="1">
        <v>-2.3857426436846899E-9</v>
      </c>
      <c r="O18" s="1">
        <v>5.8278277779612801E-13</v>
      </c>
      <c r="P18" s="1">
        <v>8.3557109523983794E-12</v>
      </c>
      <c r="Q18">
        <v>65.5465556777865</v>
      </c>
      <c r="S18">
        <v>21.160432287068499</v>
      </c>
      <c r="AA18">
        <v>2.1631806137346898</v>
      </c>
      <c r="AB18">
        <v>9.2067320031651594</v>
      </c>
      <c r="AC18">
        <v>1.9230994182450301</v>
      </c>
      <c r="AJ18">
        <v>0.78910129323247902</v>
      </c>
      <c r="AK18">
        <v>0.102454449955763</v>
      </c>
      <c r="AL18">
        <v>0.108444256811756</v>
      </c>
    </row>
    <row r="19" spans="1:38" x14ac:dyDescent="0.2">
      <c r="A19">
        <v>80</v>
      </c>
      <c r="B19">
        <v>756</v>
      </c>
      <c r="C19">
        <v>200</v>
      </c>
      <c r="D19">
        <v>0.38206335325268598</v>
      </c>
      <c r="E19">
        <v>1.4753245413254901</v>
      </c>
      <c r="F19">
        <v>2.5665018779009099</v>
      </c>
      <c r="G19">
        <v>-23.905975137821905</v>
      </c>
      <c r="H19">
        <v>-20.708223444505489</v>
      </c>
      <c r="I19">
        <v>3.1071774700640402</v>
      </c>
      <c r="J19">
        <v>1.80234236807022</v>
      </c>
      <c r="K19">
        <v>0.57483867595379501</v>
      </c>
      <c r="L19">
        <v>3.1564124133155636E-5</v>
      </c>
      <c r="M19">
        <v>1.8225137164066689E-6</v>
      </c>
      <c r="N19" s="1">
        <v>-2.1417135224208201E-8</v>
      </c>
      <c r="O19" s="1">
        <v>5.1105374540430802E-12</v>
      </c>
      <c r="P19" s="1">
        <v>7.4653528131873298E-11</v>
      </c>
      <c r="Q19">
        <v>65.660908194556299</v>
      </c>
      <c r="S19">
        <v>21.047434338442201</v>
      </c>
      <c r="AA19">
        <v>2.0432735526224302</v>
      </c>
      <c r="AB19">
        <v>9.1653216423904595</v>
      </c>
      <c r="AC19">
        <v>2.08306227198843</v>
      </c>
      <c r="AJ19">
        <v>0.78571549701182797</v>
      </c>
      <c r="AK19">
        <v>9.6795443179188603E-2</v>
      </c>
      <c r="AL19">
        <v>0.117489059808983</v>
      </c>
    </row>
    <row r="20" spans="1:38" x14ac:dyDescent="0.2">
      <c r="A20">
        <v>81</v>
      </c>
      <c r="B20">
        <v>755</v>
      </c>
      <c r="C20">
        <v>200</v>
      </c>
      <c r="D20">
        <v>0.38139425181150599</v>
      </c>
      <c r="E20">
        <v>2.88615133513985</v>
      </c>
      <c r="F20">
        <v>2.5645055219464101</v>
      </c>
      <c r="G20">
        <v>-46.731839643684914</v>
      </c>
      <c r="H20">
        <v>-40.485383291642044</v>
      </c>
      <c r="I20">
        <v>6.0754329154723203</v>
      </c>
      <c r="J20">
        <v>3.5257103571464001</v>
      </c>
      <c r="K20">
        <v>1.1254221566071401</v>
      </c>
      <c r="L20">
        <v>3.15910946686926E-5</v>
      </c>
      <c r="M20">
        <v>1.8244486134941723E-6</v>
      </c>
      <c r="N20" s="1">
        <v>-4.28739912480907E-8</v>
      </c>
      <c r="O20" s="1">
        <v>1.00243418733906E-11</v>
      </c>
      <c r="P20" s="1">
        <v>1.4880685990944499E-10</v>
      </c>
      <c r="Q20">
        <v>65.775383699596603</v>
      </c>
      <c r="S20">
        <v>20.9261709801991</v>
      </c>
      <c r="AA20">
        <v>1.91651874631359</v>
      </c>
      <c r="AB20">
        <v>9.1025165084948902</v>
      </c>
      <c r="AC20">
        <v>2.2794100653956799</v>
      </c>
      <c r="AJ20">
        <v>0.78057680796377804</v>
      </c>
      <c r="AK20">
        <v>9.0819274936263794E-2</v>
      </c>
      <c r="AL20">
        <v>0.128603917099958</v>
      </c>
    </row>
    <row r="21" spans="1:38" x14ac:dyDescent="0.2">
      <c r="A21">
        <v>82</v>
      </c>
      <c r="B21">
        <v>754</v>
      </c>
      <c r="C21">
        <v>200</v>
      </c>
      <c r="D21">
        <v>0.38072384753930699</v>
      </c>
      <c r="E21">
        <v>4.4674730972425101</v>
      </c>
      <c r="F21">
        <v>2.5620930764491399</v>
      </c>
      <c r="G21">
        <v>-72.26862317013186</v>
      </c>
      <c r="H21">
        <v>-62.614679179224453</v>
      </c>
      <c r="I21">
        <v>9.3987674545172606</v>
      </c>
      <c r="J21">
        <v>5.4560786165898802</v>
      </c>
      <c r="K21">
        <v>1.7436810310709201</v>
      </c>
      <c r="L21">
        <v>3.1593606409253704E-5</v>
      </c>
      <c r="M21">
        <v>1.8261411954913678E-6</v>
      </c>
      <c r="N21" s="1">
        <v>-6.7609220557657201E-8</v>
      </c>
      <c r="O21" s="1">
        <v>1.55690621117209E-11</v>
      </c>
      <c r="P21" s="1">
        <v>2.33821439898194E-10</v>
      </c>
      <c r="Q21">
        <v>65.893002208252199</v>
      </c>
      <c r="S21">
        <v>20.788991646905298</v>
      </c>
      <c r="AA21">
        <v>1.7758997206954801</v>
      </c>
      <c r="AB21">
        <v>9.0049895918217508</v>
      </c>
      <c r="AC21">
        <v>2.5371168323251201</v>
      </c>
      <c r="AJ21">
        <v>0.77258985625869703</v>
      </c>
      <c r="AK21">
        <v>8.4196689475474498E-2</v>
      </c>
      <c r="AL21">
        <v>0.14321345426582799</v>
      </c>
    </row>
    <row r="22" spans="1:38" x14ac:dyDescent="0.2">
      <c r="A22">
        <v>83</v>
      </c>
      <c r="B22">
        <v>753</v>
      </c>
      <c r="C22">
        <v>200</v>
      </c>
      <c r="D22">
        <v>0.380052136627202</v>
      </c>
      <c r="E22">
        <v>7.1872919257703103</v>
      </c>
      <c r="F22">
        <v>2.5617016073568601</v>
      </c>
      <c r="G22">
        <v>-116.22451793744666</v>
      </c>
      <c r="H22">
        <v>-100.71800263159589</v>
      </c>
      <c r="I22">
        <v>15.111353414072701</v>
      </c>
      <c r="J22">
        <v>8.7785548733542402</v>
      </c>
      <c r="K22">
        <v>2.8056710059943599</v>
      </c>
      <c r="L22">
        <v>3.1602249262103857E-5</v>
      </c>
      <c r="M22">
        <v>1.8260192807807537E-6</v>
      </c>
      <c r="N22" s="1">
        <v>-1.11575834768175E-7</v>
      </c>
      <c r="O22" s="1">
        <v>2.50406473140504E-11</v>
      </c>
      <c r="P22" s="1">
        <v>3.8419025313144702E-10</v>
      </c>
      <c r="Q22">
        <v>65.895174662666307</v>
      </c>
      <c r="S22">
        <v>20.770515447731501</v>
      </c>
      <c r="AA22">
        <v>1.76014975465774</v>
      </c>
      <c r="AB22">
        <v>8.9613930317973107</v>
      </c>
      <c r="AC22">
        <v>2.6127671031470099</v>
      </c>
      <c r="AJ22">
        <v>0.76901622671371805</v>
      </c>
      <c r="AK22">
        <v>8.3468073223807102E-2</v>
      </c>
      <c r="AL22">
        <v>0.147515700062474</v>
      </c>
    </row>
    <row r="23" spans="1:38" x14ac:dyDescent="0.2">
      <c r="A23">
        <v>84</v>
      </c>
      <c r="B23">
        <v>752</v>
      </c>
      <c r="C23">
        <v>200</v>
      </c>
      <c r="D23">
        <v>0.37937911525142798</v>
      </c>
      <c r="E23">
        <v>12.168105153663999</v>
      </c>
      <c r="F23">
        <v>2.5629095806075002</v>
      </c>
      <c r="G23">
        <v>-196.79296134364404</v>
      </c>
      <c r="H23">
        <v>-170.58242424765209</v>
      </c>
      <c r="I23">
        <v>25.5675141159752</v>
      </c>
      <c r="J23">
        <v>14.868363462099101</v>
      </c>
      <c r="K23">
        <v>4.7477699743038801</v>
      </c>
      <c r="L23">
        <v>3.1625800437518204E-5</v>
      </c>
      <c r="M23">
        <v>1.8247015564885474E-6</v>
      </c>
      <c r="N23" s="1">
        <v>-1.9506948819341199E-7</v>
      </c>
      <c r="O23" s="1">
        <v>4.2259216543338902E-11</v>
      </c>
      <c r="P23" s="1">
        <v>6.6823890236133804E-10</v>
      </c>
      <c r="Q23">
        <v>65.813923263321598</v>
      </c>
      <c r="S23">
        <v>20.842666123622902</v>
      </c>
      <c r="AA23">
        <v>1.8386337042912499</v>
      </c>
      <c r="AB23">
        <v>8.9694810219606005</v>
      </c>
      <c r="AC23">
        <v>2.5352958868035702</v>
      </c>
      <c r="AJ23">
        <v>0.76967807196494797</v>
      </c>
      <c r="AK23">
        <v>8.7186211309378703E-2</v>
      </c>
      <c r="AL23">
        <v>0.14313571672567199</v>
      </c>
    </row>
    <row r="24" spans="1:38" x14ac:dyDescent="0.2">
      <c r="A24">
        <v>85</v>
      </c>
      <c r="B24">
        <v>751</v>
      </c>
      <c r="C24">
        <v>200</v>
      </c>
      <c r="D24">
        <v>0.378704779573308</v>
      </c>
      <c r="E24">
        <v>16.772124152224901</v>
      </c>
      <c r="F24">
        <v>2.5639033712324202</v>
      </c>
      <c r="G24">
        <v>-271.27341966961342</v>
      </c>
      <c r="H24">
        <v>-235.20335174008085</v>
      </c>
      <c r="I24">
        <v>35.219516603556599</v>
      </c>
      <c r="J24">
        <v>20.5026521295162</v>
      </c>
      <c r="K24">
        <v>6.5416366078425403</v>
      </c>
      <c r="L24">
        <v>3.1653249784305683E-5</v>
      </c>
      <c r="M24">
        <v>1.8236471960729625E-6</v>
      </c>
      <c r="N24" s="1">
        <v>-2.7760123199889199E-7</v>
      </c>
      <c r="O24" s="1">
        <v>5.8082445952069903E-11</v>
      </c>
      <c r="P24" s="1">
        <v>9.4620461811739008E-10</v>
      </c>
      <c r="Q24">
        <v>65.747201009903193</v>
      </c>
      <c r="S24">
        <v>20.901609539846401</v>
      </c>
      <c r="AA24">
        <v>1.9028313518915301</v>
      </c>
      <c r="AB24">
        <v>8.9753218865189801</v>
      </c>
      <c r="AC24">
        <v>2.47303621183974</v>
      </c>
      <c r="AJ24">
        <v>0.77015587481094006</v>
      </c>
      <c r="AK24">
        <v>9.0227658787281603E-2</v>
      </c>
      <c r="AL24">
        <v>0.139616466401777</v>
      </c>
    </row>
    <row r="25" spans="1:38" x14ac:dyDescent="0.2">
      <c r="A25">
        <v>86</v>
      </c>
      <c r="B25">
        <v>750</v>
      </c>
      <c r="C25">
        <v>200</v>
      </c>
      <c r="D25">
        <v>0.37802912573913899</v>
      </c>
      <c r="E25">
        <v>18.609445363858701</v>
      </c>
      <c r="F25">
        <v>2.5643897718667099</v>
      </c>
      <c r="G25">
        <v>-300.9822394828725</v>
      </c>
      <c r="H25">
        <v>-261.02335165831136</v>
      </c>
      <c r="I25">
        <v>39.054769901344898</v>
      </c>
      <c r="J25">
        <v>22.758474040557001</v>
      </c>
      <c r="K25">
        <v>7.2568708423416597</v>
      </c>
      <c r="L25">
        <v>3.1694347419082074E-5</v>
      </c>
      <c r="M25">
        <v>1.8233817701733022E-6</v>
      </c>
      <c r="N25" s="1">
        <v>-3.1806213044966298E-7</v>
      </c>
      <c r="O25" s="1">
        <v>6.4315687230526605E-11</v>
      </c>
      <c r="P25" s="1">
        <v>1.0787390076310799E-9</v>
      </c>
      <c r="Q25">
        <v>65.720508857678993</v>
      </c>
      <c r="S25">
        <v>20.926751943053599</v>
      </c>
      <c r="AA25">
        <v>1.9298023407914899</v>
      </c>
      <c r="AB25">
        <v>8.9817539352064095</v>
      </c>
      <c r="AC25">
        <v>2.44118292326936</v>
      </c>
      <c r="AJ25">
        <v>0.77068272804205296</v>
      </c>
      <c r="AK25">
        <v>9.1503581362941996E-2</v>
      </c>
      <c r="AL25">
        <v>0.13781369059500301</v>
      </c>
    </row>
    <row r="26" spans="1:38" x14ac:dyDescent="0.2">
      <c r="A26">
        <v>87</v>
      </c>
      <c r="B26">
        <v>749</v>
      </c>
      <c r="C26">
        <v>200</v>
      </c>
      <c r="D26">
        <v>0.37735214988015597</v>
      </c>
      <c r="E26">
        <v>19.324121008124099</v>
      </c>
      <c r="F26">
        <v>2.5646459770599201</v>
      </c>
      <c r="G26">
        <v>-312.51864014316544</v>
      </c>
      <c r="H26">
        <v>-271.08930681584314</v>
      </c>
      <c r="I26">
        <v>40.5315592890692</v>
      </c>
      <c r="J26">
        <v>23.6431278890865</v>
      </c>
      <c r="K26">
        <v>7.5348103328776102</v>
      </c>
      <c r="L26">
        <v>3.1742996583964666E-5</v>
      </c>
      <c r="M26">
        <v>1.823491459380123E-6</v>
      </c>
      <c r="N26" s="1">
        <v>-3.4111349143577301E-7</v>
      </c>
      <c r="O26" s="1">
        <v>6.6675623541147201E-11</v>
      </c>
      <c r="P26" s="1">
        <v>1.1512627439763201E-9</v>
      </c>
      <c r="Q26">
        <v>65.712465081014699</v>
      </c>
      <c r="S26">
        <v>20.936334225649802</v>
      </c>
      <c r="AA26">
        <v>1.93958472736722</v>
      </c>
      <c r="AB26">
        <v>8.9889500098077395</v>
      </c>
      <c r="AC26">
        <v>2.4226659561604098</v>
      </c>
      <c r="AJ26">
        <v>0.77127245998456295</v>
      </c>
      <c r="AK26">
        <v>9.1964116950231198E-2</v>
      </c>
      <c r="AL26">
        <v>0.136763423065205</v>
      </c>
    </row>
    <row r="27" spans="1:38" x14ac:dyDescent="0.2">
      <c r="A27">
        <v>89</v>
      </c>
      <c r="B27">
        <v>764</v>
      </c>
      <c r="C27">
        <v>175</v>
      </c>
      <c r="D27">
        <v>0.41388468398978101</v>
      </c>
      <c r="E27">
        <v>0.11514784563969301</v>
      </c>
      <c r="F27">
        <v>2.5668943217790998</v>
      </c>
      <c r="G27">
        <v>-1.8702894778893542</v>
      </c>
      <c r="H27">
        <v>-1.6176126913246043</v>
      </c>
      <c r="I27">
        <v>0.243626077775394</v>
      </c>
      <c r="J27">
        <v>0.14039456182644899</v>
      </c>
      <c r="K27">
        <v>4.4858818168986597E-2</v>
      </c>
      <c r="L27">
        <v>3.1285027155947395E-5</v>
      </c>
      <c r="M27">
        <v>1.8212312623579228E-6</v>
      </c>
      <c r="N27" s="1">
        <v>-1.2941946651020601E-9</v>
      </c>
      <c r="O27" s="1">
        <v>4.0065825732902599E-13</v>
      </c>
      <c r="P27" s="1">
        <v>4.7365374017041302E-12</v>
      </c>
      <c r="Q27">
        <v>65.558823449028495</v>
      </c>
      <c r="S27">
        <v>21.169885020246902</v>
      </c>
      <c r="AA27">
        <v>2.1681166986870499</v>
      </c>
      <c r="AB27">
        <v>9.2588516425726404</v>
      </c>
      <c r="AC27">
        <v>1.84432318946481</v>
      </c>
      <c r="AJ27">
        <v>0.79336318210262002</v>
      </c>
      <c r="AK27">
        <v>0.102661678710139</v>
      </c>
      <c r="AL27">
        <v>0.103975139187239</v>
      </c>
    </row>
    <row r="28" spans="1:38" x14ac:dyDescent="0.2">
      <c r="A28">
        <v>90</v>
      </c>
      <c r="B28">
        <v>763</v>
      </c>
      <c r="C28">
        <v>175</v>
      </c>
      <c r="D28">
        <v>0.41325145973073701</v>
      </c>
      <c r="E28">
        <v>1.35470360013872</v>
      </c>
      <c r="F28">
        <v>2.5653628540143698</v>
      </c>
      <c r="G28">
        <v>-21.991428020587023</v>
      </c>
      <c r="H28">
        <v>-19.02293231870809</v>
      </c>
      <c r="I28">
        <v>2.8649285353268601</v>
      </c>
      <c r="J28">
        <v>1.6518126486339799</v>
      </c>
      <c r="K28">
        <v>0.52807484836651397</v>
      </c>
      <c r="L28">
        <v>3.1324690597915761E-5</v>
      </c>
      <c r="M28">
        <v>1.8232130991983979E-6</v>
      </c>
      <c r="N28" s="1">
        <v>-1.5636066609822899E-8</v>
      </c>
      <c r="O28" s="1">
        <v>4.7233869671504603E-12</v>
      </c>
      <c r="P28" s="1">
        <v>5.6898347643874701E-11</v>
      </c>
      <c r="Q28">
        <v>65.662873041504099</v>
      </c>
      <c r="S28">
        <v>21.069338706415</v>
      </c>
      <c r="AA28">
        <v>2.0608864103086701</v>
      </c>
      <c r="AB28">
        <v>9.2271253468653001</v>
      </c>
      <c r="AC28">
        <v>1.9797764949068499</v>
      </c>
      <c r="AJ28">
        <v>0.79077091170893199</v>
      </c>
      <c r="AK28">
        <v>9.7599841180029595E-2</v>
      </c>
      <c r="AL28">
        <v>0.111629247111037</v>
      </c>
    </row>
    <row r="29" spans="1:38" x14ac:dyDescent="0.2">
      <c r="A29">
        <v>91</v>
      </c>
      <c r="B29">
        <v>762</v>
      </c>
      <c r="C29">
        <v>175</v>
      </c>
      <c r="D29">
        <v>0.41261701202724399</v>
      </c>
      <c r="E29">
        <v>2.6650911792307501</v>
      </c>
      <c r="F29">
        <v>2.5636915040962198</v>
      </c>
      <c r="G29">
        <v>-43.236131970034499</v>
      </c>
      <c r="H29">
        <v>-37.404723668787774</v>
      </c>
      <c r="I29">
        <v>5.6333944850956099</v>
      </c>
      <c r="J29">
        <v>3.2495159244398799</v>
      </c>
      <c r="K29">
        <v>1.03955221405247</v>
      </c>
      <c r="L29">
        <v>3.1354070215041868E-5</v>
      </c>
      <c r="M29">
        <v>1.8250319265726426E-6</v>
      </c>
      <c r="N29" s="1">
        <v>-3.1528917823577302E-8</v>
      </c>
      <c r="O29" s="1">
        <v>9.3132007211751103E-12</v>
      </c>
      <c r="P29" s="1">
        <v>1.1412678099278701E-10</v>
      </c>
      <c r="Q29">
        <v>65.765168177922405</v>
      </c>
      <c r="S29">
        <v>20.964704875845602</v>
      </c>
      <c r="AA29">
        <v>1.9506932571050799</v>
      </c>
      <c r="AB29">
        <v>9.1807733833637499</v>
      </c>
      <c r="AC29">
        <v>2.13866030576306</v>
      </c>
      <c r="AJ29">
        <v>0.78698134455628199</v>
      </c>
      <c r="AK29">
        <v>9.2402759927746103E-2</v>
      </c>
      <c r="AL29">
        <v>0.120615895515971</v>
      </c>
    </row>
    <row r="30" spans="1:38" x14ac:dyDescent="0.2">
      <c r="A30">
        <v>92</v>
      </c>
      <c r="B30">
        <v>761</v>
      </c>
      <c r="C30">
        <v>175</v>
      </c>
      <c r="D30">
        <v>0.411981337330175</v>
      </c>
      <c r="E30">
        <v>4.0775332659404198</v>
      </c>
      <c r="F30">
        <v>2.5618050519077098</v>
      </c>
      <c r="G30">
        <v>-66.101797796801563</v>
      </c>
      <c r="H30">
        <v>-57.193189227379214</v>
      </c>
      <c r="I30">
        <v>8.6144259241138492</v>
      </c>
      <c r="J30">
        <v>4.9710410253014903</v>
      </c>
      <c r="K30">
        <v>1.5916641521586401</v>
      </c>
      <c r="L30">
        <v>3.1369219487524907E-5</v>
      </c>
      <c r="M30">
        <v>1.826658943842329E-6</v>
      </c>
      <c r="N30" s="1">
        <v>-4.9311412306779501E-8</v>
      </c>
      <c r="O30" s="1">
        <v>1.42858321493893E-11</v>
      </c>
      <c r="P30" s="1">
        <v>1.7765442132777599E-10</v>
      </c>
      <c r="Q30">
        <v>65.866764726720703</v>
      </c>
      <c r="S30">
        <v>20.8528679998008</v>
      </c>
      <c r="AA30">
        <v>1.8347205235018</v>
      </c>
      <c r="AB30">
        <v>9.1139809346341796</v>
      </c>
      <c r="AC30">
        <v>2.3316658153424301</v>
      </c>
      <c r="AJ30">
        <v>0.78151682211543905</v>
      </c>
      <c r="AK30">
        <v>8.6938256075800996E-2</v>
      </c>
      <c r="AL30">
        <v>0.13154492180875799</v>
      </c>
    </row>
    <row r="31" spans="1:38" x14ac:dyDescent="0.2">
      <c r="A31">
        <v>93</v>
      </c>
      <c r="B31">
        <v>760</v>
      </c>
      <c r="C31">
        <v>175</v>
      </c>
      <c r="D31">
        <v>0.41134443207665999</v>
      </c>
      <c r="E31">
        <v>5.6550687447607402</v>
      </c>
      <c r="F31">
        <v>2.55955322453425</v>
      </c>
      <c r="G31">
        <v>-91.592883924896938</v>
      </c>
      <c r="H31">
        <v>-79.256930523532105</v>
      </c>
      <c r="I31">
        <v>11.940137832226499</v>
      </c>
      <c r="J31">
        <v>6.89214289010825</v>
      </c>
      <c r="K31">
        <v>2.2093968160360302</v>
      </c>
      <c r="L31">
        <v>3.1362264652424286E-5</v>
      </c>
      <c r="M31">
        <v>1.8280367239337831E-6</v>
      </c>
      <c r="N31" s="1">
        <v>-6.96132408536197E-8</v>
      </c>
      <c r="O31" s="1">
        <v>1.9875768591413701E-11</v>
      </c>
      <c r="P31" s="1">
        <v>2.49815739132957E-10</v>
      </c>
      <c r="Q31">
        <v>65.969778857517198</v>
      </c>
      <c r="S31">
        <v>20.727581710984801</v>
      </c>
      <c r="AA31">
        <v>1.7073211132716599</v>
      </c>
      <c r="AB31">
        <v>9.0150881072574602</v>
      </c>
      <c r="AC31">
        <v>2.5802302109687001</v>
      </c>
      <c r="AJ31">
        <v>0.77341861349101004</v>
      </c>
      <c r="AK31">
        <v>8.0941387639039797E-2</v>
      </c>
      <c r="AL31">
        <v>0.14563999886994899</v>
      </c>
    </row>
    <row r="32" spans="1:38" x14ac:dyDescent="0.2">
      <c r="A32">
        <v>94</v>
      </c>
      <c r="B32">
        <v>759</v>
      </c>
      <c r="C32">
        <v>175</v>
      </c>
      <c r="D32">
        <v>0.41070629269001901</v>
      </c>
      <c r="E32">
        <v>7.5947076782841298</v>
      </c>
      <c r="F32">
        <v>2.5573667154321802</v>
      </c>
      <c r="G32">
        <v>-122.88956778355478</v>
      </c>
      <c r="H32">
        <v>-106.34991300325326</v>
      </c>
      <c r="I32">
        <v>16.024468129924401</v>
      </c>
      <c r="J32">
        <v>9.2518994234334802</v>
      </c>
      <c r="K32">
        <v>2.9697374383011201</v>
      </c>
      <c r="L32">
        <v>3.1328207027424388E-5</v>
      </c>
      <c r="M32">
        <v>1.8286450980443056E-6</v>
      </c>
      <c r="N32" s="1">
        <v>-9.4815047538411494E-8</v>
      </c>
      <c r="O32" s="1">
        <v>2.6773817659681199E-11</v>
      </c>
      <c r="P32" s="1">
        <v>3.3916636105551498E-10</v>
      </c>
      <c r="Q32">
        <v>66.0451899407025</v>
      </c>
      <c r="S32">
        <v>20.6155998826071</v>
      </c>
      <c r="AA32">
        <v>1.59733881293207</v>
      </c>
      <c r="AB32">
        <v>8.8895627410320603</v>
      </c>
      <c r="AC32">
        <v>2.8523086227261101</v>
      </c>
      <c r="AJ32">
        <v>0.76312712517398495</v>
      </c>
      <c r="AK32">
        <v>7.5774717527847202E-2</v>
      </c>
      <c r="AL32">
        <v>0.16109815729816701</v>
      </c>
    </row>
    <row r="33" spans="1:38" x14ac:dyDescent="0.2">
      <c r="A33">
        <v>95</v>
      </c>
      <c r="B33">
        <v>758</v>
      </c>
      <c r="C33">
        <v>175</v>
      </c>
      <c r="D33">
        <v>0.41006691557969399</v>
      </c>
      <c r="E33">
        <v>9.5792388392227696</v>
      </c>
      <c r="F33">
        <v>2.5587029453727301</v>
      </c>
      <c r="G33">
        <v>-155.02861126023342</v>
      </c>
      <c r="H33">
        <v>-134.19966476220952</v>
      </c>
      <c r="I33">
        <v>20.199725062332199</v>
      </c>
      <c r="J33">
        <v>11.674071103879401</v>
      </c>
      <c r="K33">
        <v>3.7437870060478402</v>
      </c>
      <c r="L33">
        <v>3.1350426487195904E-5</v>
      </c>
      <c r="M33">
        <v>1.8273767829994298E-6</v>
      </c>
      <c r="N33" s="1">
        <v>-1.2363234938088801E-7</v>
      </c>
      <c r="O33" s="1">
        <v>3.3665003066686599E-11</v>
      </c>
      <c r="P33" s="1">
        <v>4.3952857297470999E-10</v>
      </c>
      <c r="Q33">
        <v>65.962934722770598</v>
      </c>
      <c r="S33">
        <v>20.692371202081201</v>
      </c>
      <c r="AA33">
        <v>1.67986906817719</v>
      </c>
      <c r="AB33">
        <v>8.9075273931729697</v>
      </c>
      <c r="AC33">
        <v>2.7572976137979901</v>
      </c>
      <c r="AJ33">
        <v>0.76459969280572404</v>
      </c>
      <c r="AK33">
        <v>7.9682541266187804E-2</v>
      </c>
      <c r="AL33">
        <v>0.155717765928087</v>
      </c>
    </row>
    <row r="34" spans="1:38" x14ac:dyDescent="0.2">
      <c r="A34">
        <v>96</v>
      </c>
      <c r="B34">
        <v>757</v>
      </c>
      <c r="C34">
        <v>175</v>
      </c>
      <c r="D34">
        <v>0.40942629714119499</v>
      </c>
      <c r="E34">
        <v>14.480974138039199</v>
      </c>
      <c r="F34">
        <v>2.5608981233942401</v>
      </c>
      <c r="G34">
        <v>-234.43814398485378</v>
      </c>
      <c r="H34">
        <v>-203.00240182057874</v>
      </c>
      <c r="I34">
        <v>30.515693990462601</v>
      </c>
      <c r="J34">
        <v>17.654777261544201</v>
      </c>
      <c r="K34">
        <v>5.6546467060727803</v>
      </c>
      <c r="L34">
        <v>3.1351317893807359E-5</v>
      </c>
      <c r="M34">
        <v>1.8247322654612271E-6</v>
      </c>
      <c r="N34" s="1">
        <v>-1.9312233572652901E-7</v>
      </c>
      <c r="O34" s="1">
        <v>5.0654967231010503E-11</v>
      </c>
      <c r="P34" s="1">
        <v>6.8255812295320102E-10</v>
      </c>
      <c r="Q34">
        <v>65.811292815883405</v>
      </c>
      <c r="S34">
        <v>20.827060603043201</v>
      </c>
      <c r="AA34">
        <v>1.82637276897446</v>
      </c>
      <c r="AB34">
        <v>8.9227073098279508</v>
      </c>
      <c r="AC34">
        <v>2.61256650227083</v>
      </c>
      <c r="AJ34">
        <v>0.765842523983436</v>
      </c>
      <c r="AK34">
        <v>8.6624959317508396E-2</v>
      </c>
      <c r="AL34">
        <v>0.14753251669905501</v>
      </c>
    </row>
    <row r="35" spans="1:38" x14ac:dyDescent="0.2">
      <c r="A35">
        <v>97</v>
      </c>
      <c r="B35">
        <v>756</v>
      </c>
      <c r="C35">
        <v>175</v>
      </c>
      <c r="D35">
        <v>0.40878443375601398</v>
      </c>
      <c r="E35">
        <v>17.147556150432202</v>
      </c>
      <c r="F35">
        <v>2.56207105572215</v>
      </c>
      <c r="G35">
        <v>-277.64067592040772</v>
      </c>
      <c r="H35">
        <v>-240.47554121782775</v>
      </c>
      <c r="I35">
        <v>36.112456592896898</v>
      </c>
      <c r="J35">
        <v>20.9132603212189</v>
      </c>
      <c r="K35">
        <v>6.6928495648607003</v>
      </c>
      <c r="L35">
        <v>3.1369123640650368E-5</v>
      </c>
      <c r="M35">
        <v>1.8234279647667499E-6</v>
      </c>
      <c r="N35" s="1">
        <v>-2.3610008636452701E-7</v>
      </c>
      <c r="O35" s="1">
        <v>5.9806530924412603E-11</v>
      </c>
      <c r="P35" s="1">
        <v>8.2971836246029399E-10</v>
      </c>
      <c r="Q35">
        <v>65.732126410282007</v>
      </c>
      <c r="S35">
        <v>20.8972655170591</v>
      </c>
      <c r="AA35">
        <v>1.90276494035141</v>
      </c>
      <c r="AB35">
        <v>8.9303405290325397</v>
      </c>
      <c r="AC35">
        <v>2.5375026032747798</v>
      </c>
      <c r="AJ35">
        <v>0.76646736290523998</v>
      </c>
      <c r="AK35">
        <v>9.0244673539736295E-2</v>
      </c>
      <c r="AL35">
        <v>0.14328796355502299</v>
      </c>
    </row>
    <row r="36" spans="1:38" x14ac:dyDescent="0.2">
      <c r="A36">
        <v>98</v>
      </c>
      <c r="B36">
        <v>755</v>
      </c>
      <c r="C36">
        <v>175</v>
      </c>
      <c r="D36">
        <v>0.40814132179156798</v>
      </c>
      <c r="E36">
        <v>18.2521878331134</v>
      </c>
      <c r="F36">
        <v>2.5626238997067201</v>
      </c>
      <c r="G36">
        <v>-295.52249586413132</v>
      </c>
      <c r="H36">
        <v>-256.02470225387088</v>
      </c>
      <c r="I36">
        <v>38.416372718241902</v>
      </c>
      <c r="J36">
        <v>22.268474146249002</v>
      </c>
      <c r="K36">
        <v>7.1224606292020596</v>
      </c>
      <c r="L36">
        <v>3.1401713840301329E-5</v>
      </c>
      <c r="M36">
        <v>1.8230511519107448E-6</v>
      </c>
      <c r="N36" s="1">
        <v>-2.59465465041048E-7</v>
      </c>
      <c r="O36" s="1">
        <v>6.3538546317671097E-11</v>
      </c>
      <c r="P36" s="1">
        <v>9.0671008803055901E-10</v>
      </c>
      <c r="Q36">
        <v>65.700662558828597</v>
      </c>
      <c r="S36">
        <v>20.926682891540398</v>
      </c>
      <c r="AA36">
        <v>1.9343762351065199</v>
      </c>
      <c r="AB36">
        <v>8.9373464948151806</v>
      </c>
      <c r="AC36">
        <v>2.5009318197091601</v>
      </c>
      <c r="AJ36">
        <v>0.76704144657058904</v>
      </c>
      <c r="AK36">
        <v>9.1740684071970502E-2</v>
      </c>
      <c r="AL36">
        <v>0.14121786935743899</v>
      </c>
    </row>
    <row r="37" spans="1:38" x14ac:dyDescent="0.2">
      <c r="A37">
        <v>99</v>
      </c>
      <c r="B37">
        <v>754</v>
      </c>
      <c r="C37">
        <v>175</v>
      </c>
      <c r="D37">
        <v>0.40749695760112897</v>
      </c>
      <c r="E37">
        <v>18.781975612347399</v>
      </c>
      <c r="F37">
        <v>2.5629345620900299</v>
      </c>
      <c r="G37">
        <v>-304.08190703901136</v>
      </c>
      <c r="H37">
        <v>-263.50017591569474</v>
      </c>
      <c r="I37">
        <v>39.509060140502001</v>
      </c>
      <c r="J37">
        <v>22.923344877240101</v>
      </c>
      <c r="K37">
        <v>7.3283086857399402</v>
      </c>
      <c r="L37">
        <v>3.1441415262596342E-5</v>
      </c>
      <c r="M37">
        <v>1.8230552580073955E-6</v>
      </c>
      <c r="N37" s="1">
        <v>-2.75691643578313E-7</v>
      </c>
      <c r="O37" s="1">
        <v>6.5284228124619998E-11</v>
      </c>
      <c r="P37" s="1">
        <v>9.5808556817225703E-10</v>
      </c>
      <c r="Q37">
        <v>65.688373722629393</v>
      </c>
      <c r="S37">
        <v>20.939920992508</v>
      </c>
      <c r="AA37">
        <v>1.9481652358800301</v>
      </c>
      <c r="AB37">
        <v>8.9446668850033202</v>
      </c>
      <c r="AC37">
        <v>2.4788731639791699</v>
      </c>
      <c r="AJ37">
        <v>0.76764156830901398</v>
      </c>
      <c r="AK37">
        <v>9.2391260517418097E-2</v>
      </c>
      <c r="AL37">
        <v>0.139967171173567</v>
      </c>
    </row>
    <row r="38" spans="1:38" x14ac:dyDescent="0.2">
      <c r="A38">
        <v>101</v>
      </c>
      <c r="B38">
        <v>774</v>
      </c>
      <c r="C38">
        <v>150</v>
      </c>
      <c r="D38">
        <v>0.44641216635630598</v>
      </c>
      <c r="E38">
        <v>0.23996744053481001</v>
      </c>
      <c r="F38">
        <v>2.5649123226033699</v>
      </c>
      <c r="G38">
        <v>-3.9053292674276272</v>
      </c>
      <c r="H38">
        <v>-3.3706422999571917</v>
      </c>
      <c r="I38">
        <v>0.51061162915574199</v>
      </c>
      <c r="J38">
        <v>0.29198581069046298</v>
      </c>
      <c r="K38">
        <v>9.3557755725250102E-2</v>
      </c>
      <c r="L38">
        <v>3.1010695194726285E-5</v>
      </c>
      <c r="M38">
        <v>1.821655075079125E-6</v>
      </c>
      <c r="N38" s="1">
        <v>-1.94871076762839E-9</v>
      </c>
      <c r="O38" s="1">
        <v>8.4158670925884501E-13</v>
      </c>
      <c r="P38" s="1">
        <v>7.6918825286520105E-12</v>
      </c>
      <c r="Q38">
        <v>65.576516956280201</v>
      </c>
      <c r="S38">
        <v>21.162718020780598</v>
      </c>
      <c r="AA38">
        <v>2.1580753127116599</v>
      </c>
      <c r="AB38">
        <v>9.2794914539207092</v>
      </c>
      <c r="AC38">
        <v>1.82319825630671</v>
      </c>
      <c r="AJ38">
        <v>0.79505052064831905</v>
      </c>
      <c r="AK38">
        <v>0.102175774216597</v>
      </c>
      <c r="AL38">
        <v>0.10277370513508199</v>
      </c>
    </row>
    <row r="39" spans="1:38" x14ac:dyDescent="0.2">
      <c r="A39">
        <v>102</v>
      </c>
      <c r="B39">
        <v>773</v>
      </c>
      <c r="C39">
        <v>150</v>
      </c>
      <c r="D39">
        <v>0.44581608755914398</v>
      </c>
      <c r="E39">
        <v>0.64747828234989302</v>
      </c>
      <c r="F39">
        <v>2.5644843743301302</v>
      </c>
      <c r="G39">
        <v>-10.534830947389844</v>
      </c>
      <c r="H39">
        <v>-9.0942359439444225</v>
      </c>
      <c r="I39">
        <v>1.3770444041919601</v>
      </c>
      <c r="J39">
        <v>0.78795157336292099</v>
      </c>
      <c r="K39">
        <v>0.252478934491078</v>
      </c>
      <c r="L39">
        <v>3.104501262051745E-5</v>
      </c>
      <c r="M39">
        <v>1.8226052634154034E-6</v>
      </c>
      <c r="N39" s="1">
        <v>-5.4221016897903602E-9</v>
      </c>
      <c r="O39" s="1">
        <v>2.2714065358301202E-12</v>
      </c>
      <c r="P39" s="1">
        <v>2.1231103599225599E-11</v>
      </c>
      <c r="Q39">
        <v>65.617268832784802</v>
      </c>
      <c r="S39">
        <v>21.128021961009299</v>
      </c>
      <c r="AA39">
        <v>2.1199418148725799</v>
      </c>
      <c r="AB39">
        <v>9.2793445941970401</v>
      </c>
      <c r="AC39">
        <v>1.8554227971360999</v>
      </c>
      <c r="AJ39">
        <v>0.79503916665194996</v>
      </c>
      <c r="AK39">
        <v>0.100370468864735</v>
      </c>
      <c r="AL39">
        <v>0.10459036448331301</v>
      </c>
    </row>
    <row r="40" spans="1:38" x14ac:dyDescent="0.2">
      <c r="A40">
        <v>103</v>
      </c>
      <c r="B40">
        <v>772</v>
      </c>
      <c r="C40">
        <v>150</v>
      </c>
      <c r="D40">
        <v>0.44521886810505501</v>
      </c>
      <c r="E40">
        <v>1.05560981265188</v>
      </c>
      <c r="F40">
        <v>2.5640625341207999</v>
      </c>
      <c r="G40">
        <v>-17.171270185849536</v>
      </c>
      <c r="H40">
        <v>-14.826029420643245</v>
      </c>
      <c r="I40">
        <v>2.2439274412345398</v>
      </c>
      <c r="J40">
        <v>1.28482503864691</v>
      </c>
      <c r="K40">
        <v>0.41169425417849398</v>
      </c>
      <c r="L40">
        <v>3.1079062247988412E-5</v>
      </c>
      <c r="M40">
        <v>1.8235252148687934E-6</v>
      </c>
      <c r="N40" s="1">
        <v>-9.1143401893877102E-9</v>
      </c>
      <c r="O40" s="1">
        <v>3.7040972653668404E-12</v>
      </c>
      <c r="P40" s="1">
        <v>3.5411127411040297E-11</v>
      </c>
      <c r="Q40">
        <v>65.656782714263898</v>
      </c>
      <c r="S40">
        <v>21.0940713268294</v>
      </c>
      <c r="AA40">
        <v>2.0827121699937101</v>
      </c>
      <c r="AB40">
        <v>9.2783931590373907</v>
      </c>
      <c r="AC40">
        <v>1.88804062987542</v>
      </c>
      <c r="AJ40">
        <v>0.79496203468981497</v>
      </c>
      <c r="AK40">
        <v>9.8608343280766106E-2</v>
      </c>
      <c r="AL40">
        <v>0.106429622029418</v>
      </c>
    </row>
    <row r="41" spans="1:38" x14ac:dyDescent="0.2">
      <c r="A41">
        <v>104</v>
      </c>
      <c r="B41">
        <v>771</v>
      </c>
      <c r="C41">
        <v>150</v>
      </c>
      <c r="D41">
        <v>0.44462050471675502</v>
      </c>
      <c r="E41">
        <v>1.6955218718598899</v>
      </c>
      <c r="F41">
        <v>2.5633607629847699</v>
      </c>
      <c r="G41">
        <v>-27.571572421799644</v>
      </c>
      <c r="H41">
        <v>-23.810104281192508</v>
      </c>
      <c r="I41">
        <v>3.6024212427401499</v>
      </c>
      <c r="J41">
        <v>2.0639071128046802</v>
      </c>
      <c r="K41">
        <v>0.66144488764259202</v>
      </c>
      <c r="L41">
        <v>3.1111805092490044E-5</v>
      </c>
      <c r="M41">
        <v>1.8246601827638658E-6</v>
      </c>
      <c r="N41" s="1">
        <v>-1.5073945180561999E-8</v>
      </c>
      <c r="O41" s="1">
        <v>5.9538294667893398E-12</v>
      </c>
      <c r="P41" s="1">
        <v>5.8135243305519198E-11</v>
      </c>
      <c r="Q41">
        <v>65.710877207413802</v>
      </c>
      <c r="S41">
        <v>21.0440661357637</v>
      </c>
      <c r="AA41">
        <v>2.0288351648948901</v>
      </c>
      <c r="AB41">
        <v>9.2678447270939692</v>
      </c>
      <c r="AC41">
        <v>1.94837676483348</v>
      </c>
      <c r="AJ41">
        <v>0.794100719452279</v>
      </c>
      <c r="AK41">
        <v>9.6062612728181201E-2</v>
      </c>
      <c r="AL41">
        <v>0.10983666781953801</v>
      </c>
    </row>
    <row r="42" spans="1:38" x14ac:dyDescent="0.2">
      <c r="A42">
        <v>105</v>
      </c>
      <c r="B42">
        <v>770</v>
      </c>
      <c r="C42">
        <v>150</v>
      </c>
      <c r="D42">
        <v>0.44402099410439499</v>
      </c>
      <c r="E42">
        <v>2.9501810864539202</v>
      </c>
      <c r="F42">
        <v>2.5618791678346402</v>
      </c>
      <c r="G42">
        <v>-47.946551281815374</v>
      </c>
      <c r="H42">
        <v>-41.411092479589151</v>
      </c>
      <c r="I42">
        <v>6.2651189207939604</v>
      </c>
      <c r="J42">
        <v>3.5909720635194202</v>
      </c>
      <c r="K42">
        <v>1.1515691776156101</v>
      </c>
      <c r="L42">
        <v>3.1136297040726063E-5</v>
      </c>
      <c r="M42">
        <v>1.82629632186981E-6</v>
      </c>
      <c r="N42" s="1">
        <v>-2.6896305002651901E-8</v>
      </c>
      <c r="O42" s="1">
        <v>1.03809029905105E-11</v>
      </c>
      <c r="P42" s="1">
        <v>1.03068923911906E-10</v>
      </c>
      <c r="Q42">
        <v>65.802432108198403</v>
      </c>
      <c r="S42">
        <v>20.9507146871407</v>
      </c>
      <c r="AA42">
        <v>1.9304561794761099</v>
      </c>
      <c r="AB42">
        <v>9.2271369554330995</v>
      </c>
      <c r="AC42">
        <v>2.0892600697516199</v>
      </c>
      <c r="AJ42">
        <v>0.79077407152840895</v>
      </c>
      <c r="AK42">
        <v>9.14231523921466E-2</v>
      </c>
      <c r="AL42">
        <v>0.11780277607944301</v>
      </c>
    </row>
    <row r="43" spans="1:38" x14ac:dyDescent="0.2">
      <c r="A43">
        <v>106</v>
      </c>
      <c r="B43">
        <v>769</v>
      </c>
      <c r="C43">
        <v>150</v>
      </c>
      <c r="D43">
        <v>0.44342033296550898</v>
      </c>
      <c r="E43">
        <v>4.2804337469156204</v>
      </c>
      <c r="F43">
        <v>2.5602536343498499</v>
      </c>
      <c r="G43">
        <v>-69.520890528549401</v>
      </c>
      <c r="H43">
        <v>-60.052544087495633</v>
      </c>
      <c r="I43">
        <v>9.0853969592225194</v>
      </c>
      <c r="J43">
        <v>5.20948668968924</v>
      </c>
      <c r="K43">
        <v>1.6718787894632099</v>
      </c>
      <c r="L43">
        <v>3.1150283133918307E-5</v>
      </c>
      <c r="M43">
        <v>1.8277630799141149E-6</v>
      </c>
      <c r="N43" s="1">
        <v>-3.9933337076391197E-8</v>
      </c>
      <c r="O43" s="1">
        <v>1.509577212068E-11</v>
      </c>
      <c r="P43" s="1">
        <v>1.52138944883265E-10</v>
      </c>
      <c r="Q43">
        <v>65.892078782867401</v>
      </c>
      <c r="S43">
        <v>20.8531597821076</v>
      </c>
      <c r="AA43">
        <v>1.829054557956</v>
      </c>
      <c r="AB43">
        <v>9.1711568967232608</v>
      </c>
      <c r="AC43">
        <v>2.2545499803456202</v>
      </c>
      <c r="AJ43">
        <v>0.78619657997550296</v>
      </c>
      <c r="AK43">
        <v>8.6645193783227895E-2</v>
      </c>
      <c r="AL43">
        <v>0.12715822624126799</v>
      </c>
    </row>
    <row r="44" spans="1:38" x14ac:dyDescent="0.2">
      <c r="A44">
        <v>107</v>
      </c>
      <c r="B44">
        <v>768</v>
      </c>
      <c r="C44">
        <v>150</v>
      </c>
      <c r="D44">
        <v>0.442818517984921</v>
      </c>
      <c r="E44">
        <v>5.7220922551332096</v>
      </c>
      <c r="F44">
        <v>2.5584072998871599</v>
      </c>
      <c r="G44">
        <v>-92.865582476249372</v>
      </c>
      <c r="H44">
        <v>-80.227532214610832</v>
      </c>
      <c r="I44">
        <v>12.1385489714628</v>
      </c>
      <c r="J44">
        <v>6.9623827482031801</v>
      </c>
      <c r="K44">
        <v>2.2365837743605401</v>
      </c>
      <c r="L44">
        <v>3.1149705534162407E-5</v>
      </c>
      <c r="M44">
        <v>1.8290260039828193E-6</v>
      </c>
      <c r="N44" s="1">
        <v>-5.4464541952887701E-8</v>
      </c>
      <c r="O44" s="1">
        <v>2.0232367284968E-11</v>
      </c>
      <c r="P44" s="1">
        <v>2.06444261700372E-10</v>
      </c>
      <c r="Q44">
        <v>65.980702666092</v>
      </c>
      <c r="S44">
        <v>20.748283136838999</v>
      </c>
      <c r="AA44">
        <v>1.7218510801741</v>
      </c>
      <c r="AB44">
        <v>9.0937027082007909</v>
      </c>
      <c r="AC44">
        <v>2.45546040869398</v>
      </c>
      <c r="AJ44">
        <v>0.779858366280059</v>
      </c>
      <c r="AK44">
        <v>8.1598347035205396E-2</v>
      </c>
      <c r="AL44">
        <v>0.13854328668473501</v>
      </c>
    </row>
    <row r="45" spans="1:38" x14ac:dyDescent="0.2">
      <c r="A45">
        <v>108</v>
      </c>
      <c r="B45">
        <v>767</v>
      </c>
      <c r="C45">
        <v>150</v>
      </c>
      <c r="D45">
        <v>0.44221554583473799</v>
      </c>
      <c r="E45">
        <v>7.3480172465762497</v>
      </c>
      <c r="F45">
        <v>2.55618820515115</v>
      </c>
      <c r="G45">
        <v>-119.14247103136415</v>
      </c>
      <c r="H45">
        <v>-102.93921337626836</v>
      </c>
      <c r="I45">
        <v>15.5778086382693</v>
      </c>
      <c r="J45">
        <v>8.9369846946619198</v>
      </c>
      <c r="K45">
        <v>2.8745994648472002</v>
      </c>
      <c r="L45">
        <v>3.1126453869767656E-5</v>
      </c>
      <c r="M45">
        <v>1.830014620082588E-6</v>
      </c>
      <c r="N45" s="1">
        <v>-7.1019185443686504E-8</v>
      </c>
      <c r="O45" s="1">
        <v>2.60638930615024E-11</v>
      </c>
      <c r="P45" s="1">
        <v>2.6810795066131501E-10</v>
      </c>
      <c r="Q45">
        <v>66.069977156121595</v>
      </c>
      <c r="S45">
        <v>20.6299283550848</v>
      </c>
      <c r="AA45">
        <v>1.6033761915828999</v>
      </c>
      <c r="AB45">
        <v>8.9823636749847502</v>
      </c>
      <c r="AC45">
        <v>2.7143546222258701</v>
      </c>
      <c r="AJ45">
        <v>0.77073811131235104</v>
      </c>
      <c r="AK45">
        <v>7.6026048893886797E-2</v>
      </c>
      <c r="AL45">
        <v>0.15323583979376099</v>
      </c>
    </row>
    <row r="46" spans="1:38" x14ac:dyDescent="0.2">
      <c r="A46">
        <v>109</v>
      </c>
      <c r="B46">
        <v>766</v>
      </c>
      <c r="C46">
        <v>150</v>
      </c>
      <c r="D46">
        <v>0.44161141317423203</v>
      </c>
      <c r="E46">
        <v>9.3497902419565708</v>
      </c>
      <c r="F46">
        <v>2.5532122799213401</v>
      </c>
      <c r="G46">
        <v>-151.40615455289182</v>
      </c>
      <c r="H46">
        <v>-130.82466700566431</v>
      </c>
      <c r="I46">
        <v>19.8060795334913</v>
      </c>
      <c r="J46">
        <v>11.362788915815701</v>
      </c>
      <c r="K46">
        <v>3.6619713587796898</v>
      </c>
      <c r="L46">
        <v>3.1059611020011485E-5</v>
      </c>
      <c r="M46">
        <v>1.8305404203277494E-6</v>
      </c>
      <c r="N46" s="1">
        <v>-9.0896499918146398E-8</v>
      </c>
      <c r="O46" s="1">
        <v>3.3310314352860799E-11</v>
      </c>
      <c r="P46" s="1">
        <v>3.4244606940872598E-10</v>
      </c>
      <c r="Q46">
        <v>66.163781998824106</v>
      </c>
      <c r="S46">
        <v>20.482590406818801</v>
      </c>
      <c r="AA46">
        <v>1.45993279799321</v>
      </c>
      <c r="AB46">
        <v>8.8051371507131293</v>
      </c>
      <c r="AC46">
        <v>3.0885576456506998</v>
      </c>
      <c r="AJ46">
        <v>0.75619907541000098</v>
      </c>
      <c r="AK46">
        <v>6.9285710141986395E-2</v>
      </c>
      <c r="AL46">
        <v>0.17451521444801099</v>
      </c>
    </row>
    <row r="47" spans="1:38" x14ac:dyDescent="0.2">
      <c r="A47">
        <v>110</v>
      </c>
      <c r="B47">
        <v>765</v>
      </c>
      <c r="C47">
        <v>150</v>
      </c>
      <c r="D47">
        <v>0.44100611664981298</v>
      </c>
      <c r="E47">
        <v>10.452761049342</v>
      </c>
      <c r="F47">
        <v>2.5545103503065398</v>
      </c>
      <c r="G47">
        <v>-169.29103526370127</v>
      </c>
      <c r="H47">
        <v>-146.31729923090498</v>
      </c>
      <c r="I47">
        <v>22.129495769201199</v>
      </c>
      <c r="J47">
        <v>12.7067006008091</v>
      </c>
      <c r="K47">
        <v>4.0918843989368501</v>
      </c>
      <c r="L47">
        <v>3.1067826033944404E-5</v>
      </c>
      <c r="M47">
        <v>1.8291458900840962E-6</v>
      </c>
      <c r="N47" s="1">
        <v>-1.0493425952132E-7</v>
      </c>
      <c r="O47" s="1">
        <v>3.7136525147952799E-11</v>
      </c>
      <c r="P47" s="1">
        <v>3.9252775866517501E-10</v>
      </c>
      <c r="Q47">
        <v>66.079007501597005</v>
      </c>
      <c r="S47">
        <v>20.558360865183499</v>
      </c>
      <c r="AA47">
        <v>1.5422251719578699</v>
      </c>
      <c r="AB47">
        <v>8.8148638365040508</v>
      </c>
      <c r="AC47">
        <v>3.0055426247575698</v>
      </c>
      <c r="AJ47">
        <v>0.75699647513207302</v>
      </c>
      <c r="AK47">
        <v>7.3187485571561503E-2</v>
      </c>
      <c r="AL47">
        <v>0.16981603929636399</v>
      </c>
    </row>
    <row r="48" spans="1:38" x14ac:dyDescent="0.2">
      <c r="A48">
        <v>111</v>
      </c>
      <c r="B48">
        <v>764</v>
      </c>
      <c r="C48">
        <v>150</v>
      </c>
      <c r="D48">
        <v>0.44039965289495597</v>
      </c>
      <c r="E48">
        <v>13.3551349716933</v>
      </c>
      <c r="F48">
        <v>2.5573528137637802</v>
      </c>
      <c r="G48">
        <v>-216.41278659071878</v>
      </c>
      <c r="H48">
        <v>-187.10668006009044</v>
      </c>
      <c r="I48">
        <v>28.256381941501498</v>
      </c>
      <c r="J48">
        <v>16.242120993502699</v>
      </c>
      <c r="K48">
        <v>5.2222497028237402</v>
      </c>
      <c r="L48">
        <v>3.1066338603463841E-5</v>
      </c>
      <c r="M48">
        <v>1.8260621328781081E-6</v>
      </c>
      <c r="N48" s="1">
        <v>-1.3893814882559301E-7</v>
      </c>
      <c r="O48" s="1">
        <v>4.7190013171136103E-11</v>
      </c>
      <c r="P48" s="1">
        <v>5.1583718157799901E-10</v>
      </c>
      <c r="Q48">
        <v>65.896079170875097</v>
      </c>
      <c r="S48">
        <v>20.7277458124336</v>
      </c>
      <c r="AA48">
        <v>1.7246533129858601</v>
      </c>
      <c r="AB48">
        <v>8.8512825204774597</v>
      </c>
      <c r="AC48">
        <v>2.8002391832278399</v>
      </c>
      <c r="AJ48">
        <v>0.75998344265711903</v>
      </c>
      <c r="AK48">
        <v>8.1829618217946196E-2</v>
      </c>
      <c r="AL48">
        <v>0.15818693912493401</v>
      </c>
    </row>
    <row r="49" spans="1:38" x14ac:dyDescent="0.2">
      <c r="A49">
        <v>112</v>
      </c>
      <c r="B49">
        <v>763</v>
      </c>
      <c r="C49">
        <v>150</v>
      </c>
      <c r="D49">
        <v>0.43979201853014099</v>
      </c>
      <c r="E49">
        <v>15.627009354457501</v>
      </c>
      <c r="F49">
        <v>2.5591761356673999</v>
      </c>
      <c r="G49">
        <v>-253.29584483343262</v>
      </c>
      <c r="H49">
        <v>-219.05909347868499</v>
      </c>
      <c r="I49">
        <v>33.042273179315401</v>
      </c>
      <c r="J49">
        <v>19.011404220200099</v>
      </c>
      <c r="K49">
        <v>6.1062656597421601</v>
      </c>
      <c r="L49">
        <v>3.1069409606568827E-5</v>
      </c>
      <c r="M49">
        <v>1.8239703145743821E-6</v>
      </c>
      <c r="N49" s="1">
        <v>-1.68009076142406E-7</v>
      </c>
      <c r="O49" s="1">
        <v>5.50082256633803E-11</v>
      </c>
      <c r="P49" s="1">
        <v>6.1948242273023601E-10</v>
      </c>
      <c r="Q49">
        <v>65.773842319471001</v>
      </c>
      <c r="S49">
        <v>20.837788398282999</v>
      </c>
      <c r="AA49">
        <v>1.84396187124786</v>
      </c>
      <c r="AB49">
        <v>8.8673751965178393</v>
      </c>
      <c r="AC49">
        <v>2.6770322144802101</v>
      </c>
      <c r="AJ49">
        <v>0.76130233844556405</v>
      </c>
      <c r="AK49">
        <v>8.7483229318715397E-2</v>
      </c>
      <c r="AL49">
        <v>0.15121443223571901</v>
      </c>
    </row>
    <row r="50" spans="1:38" x14ac:dyDescent="0.2">
      <c r="A50">
        <v>113</v>
      </c>
      <c r="B50">
        <v>762</v>
      </c>
      <c r="C50">
        <v>150</v>
      </c>
      <c r="D50">
        <v>0.439183210162781</v>
      </c>
      <c r="E50">
        <v>17.036120400900501</v>
      </c>
      <c r="F50">
        <v>2.5602554628905398</v>
      </c>
      <c r="G50">
        <v>-276.16386727296589</v>
      </c>
      <c r="H50">
        <v>-238.89849939794121</v>
      </c>
      <c r="I50">
        <v>35.999968965874103</v>
      </c>
      <c r="J50">
        <v>20.731812055207101</v>
      </c>
      <c r="K50">
        <v>6.6540705206294701</v>
      </c>
      <c r="L50">
        <v>3.1083966372278878E-5</v>
      </c>
      <c r="M50">
        <v>1.822827518559626E-6</v>
      </c>
      <c r="N50" s="1">
        <v>-1.89124720600473E-7</v>
      </c>
      <c r="O50" s="1">
        <v>5.9814855013754905E-11</v>
      </c>
      <c r="P50" s="1">
        <v>6.9270652937204597E-10</v>
      </c>
      <c r="Q50">
        <v>65.703374471114103</v>
      </c>
      <c r="S50">
        <v>20.901268766742401</v>
      </c>
      <c r="AA50">
        <v>1.9127765342707399</v>
      </c>
      <c r="AB50">
        <v>8.8767634137166702</v>
      </c>
      <c r="AC50">
        <v>2.6058168141560598</v>
      </c>
      <c r="AJ50">
        <v>0.762071674099153</v>
      </c>
      <c r="AK50">
        <v>9.0743640783312901E-2</v>
      </c>
      <c r="AL50">
        <v>0.14718468511753299</v>
      </c>
    </row>
    <row r="51" spans="1:38" x14ac:dyDescent="0.2">
      <c r="A51">
        <v>114</v>
      </c>
      <c r="B51">
        <v>761</v>
      </c>
      <c r="C51">
        <v>150</v>
      </c>
      <c r="D51">
        <v>0.43857322438717999</v>
      </c>
      <c r="E51">
        <v>17.700643268387299</v>
      </c>
      <c r="F51">
        <v>2.5607993367790698</v>
      </c>
      <c r="G51">
        <v>-286.93273582049096</v>
      </c>
      <c r="H51">
        <v>-248.27334627908948</v>
      </c>
      <c r="I51">
        <v>37.382768013732502</v>
      </c>
      <c r="J51">
        <v>21.546746485717701</v>
      </c>
      <c r="K51">
        <v>6.9121555188509696</v>
      </c>
      <c r="L51">
        <v>3.1110342234588994E-5</v>
      </c>
      <c r="M51">
        <v>1.8224619216965844E-6</v>
      </c>
      <c r="N51" s="1">
        <v>-2.02876732180242E-7</v>
      </c>
      <c r="O51" s="1">
        <v>6.2044574621254106E-11</v>
      </c>
      <c r="P51" s="1">
        <v>7.3821891842632705E-10</v>
      </c>
      <c r="Q51">
        <v>65.673261697060695</v>
      </c>
      <c r="S51">
        <v>20.929868751592</v>
      </c>
      <c r="AA51">
        <v>1.9433982187694701</v>
      </c>
      <c r="AB51">
        <v>8.8846372898562205</v>
      </c>
      <c r="AC51">
        <v>2.5688340427214902</v>
      </c>
      <c r="AJ51">
        <v>0.76271730066483201</v>
      </c>
      <c r="AK51">
        <v>9.21926896908455E-2</v>
      </c>
      <c r="AL51">
        <v>0.145090009644322</v>
      </c>
    </row>
    <row r="52" spans="1:38" x14ac:dyDescent="0.2">
      <c r="A52">
        <v>116</v>
      </c>
      <c r="B52">
        <v>787</v>
      </c>
      <c r="C52">
        <v>125</v>
      </c>
      <c r="D52">
        <v>0.479998585105882</v>
      </c>
      <c r="E52">
        <v>0.243851459769347</v>
      </c>
      <c r="F52">
        <v>2.5626734774537598</v>
      </c>
      <c r="G52">
        <v>-3.9778156529526525</v>
      </c>
      <c r="H52">
        <v>-3.4237577855322101</v>
      </c>
      <c r="I52">
        <v>0.52262214537607199</v>
      </c>
      <c r="J52">
        <v>0.29624682029382099</v>
      </c>
      <c r="K52">
        <v>9.51551034163097E-2</v>
      </c>
      <c r="L52">
        <v>3.0758896760331797E-5</v>
      </c>
      <c r="M52">
        <v>1.8218220751018602E-6</v>
      </c>
      <c r="N52" s="1">
        <v>-1.29326848242934E-9</v>
      </c>
      <c r="O52" s="1">
        <v>8.6143086124636102E-13</v>
      </c>
      <c r="P52" s="1">
        <v>5.8003477812708804E-12</v>
      </c>
      <c r="Q52">
        <v>65.590976225663795</v>
      </c>
      <c r="S52">
        <v>21.155713989190101</v>
      </c>
      <c r="AA52">
        <v>2.1489230420941601</v>
      </c>
      <c r="AB52">
        <v>9.2933511810662495</v>
      </c>
      <c r="AC52">
        <v>1.81103556198559</v>
      </c>
      <c r="AJ52">
        <v>0.79618342379780305</v>
      </c>
      <c r="AK52">
        <v>0.10173547936327799</v>
      </c>
      <c r="AL52">
        <v>0.102081096838918</v>
      </c>
    </row>
    <row r="53" spans="1:38" x14ac:dyDescent="0.2">
      <c r="A53">
        <v>117</v>
      </c>
      <c r="B53">
        <v>786</v>
      </c>
      <c r="C53">
        <v>125</v>
      </c>
      <c r="D53">
        <v>0.47944153330501299</v>
      </c>
      <c r="E53">
        <v>0.63298188243846398</v>
      </c>
      <c r="F53">
        <v>2.5622824812622</v>
      </c>
      <c r="G53">
        <v>-10.323130205162505</v>
      </c>
      <c r="H53">
        <v>-8.8869826310381033</v>
      </c>
      <c r="I53">
        <v>1.3559435152003001</v>
      </c>
      <c r="J53">
        <v>0.76904488074053601</v>
      </c>
      <c r="K53">
        <v>0.24703828991042801</v>
      </c>
      <c r="L53">
        <v>3.0785230503185628E-5</v>
      </c>
      <c r="M53">
        <v>1.8226977072349479E-6</v>
      </c>
      <c r="N53" s="1">
        <v>-3.4663972357760399E-9</v>
      </c>
      <c r="O53" s="1">
        <v>2.2369793280570799E-12</v>
      </c>
      <c r="P53" s="1">
        <v>1.5376654485992001E-11</v>
      </c>
      <c r="Q53">
        <v>65.628939260666698</v>
      </c>
      <c r="S53">
        <v>21.1235215922602</v>
      </c>
      <c r="AA53">
        <v>2.1135058297731901</v>
      </c>
      <c r="AB53">
        <v>9.2935532152245894</v>
      </c>
      <c r="AC53">
        <v>1.8404801020752799</v>
      </c>
      <c r="AJ53">
        <v>0.796200538938313</v>
      </c>
      <c r="AK53">
        <v>0.100058714171293</v>
      </c>
      <c r="AL53">
        <v>0.103740746890393</v>
      </c>
    </row>
    <row r="54" spans="1:38" x14ac:dyDescent="0.2">
      <c r="A54">
        <v>118</v>
      </c>
      <c r="B54">
        <v>785</v>
      </c>
      <c r="C54">
        <v>125</v>
      </c>
      <c r="D54">
        <v>0.47888342862543298</v>
      </c>
      <c r="E54">
        <v>1.0223975340298299</v>
      </c>
      <c r="F54">
        <v>2.56189744978641</v>
      </c>
      <c r="G54">
        <v>-16.670187588662436</v>
      </c>
      <c r="H54">
        <v>-14.353840102686124</v>
      </c>
      <c r="I54">
        <v>2.1890539961029201</v>
      </c>
      <c r="J54">
        <v>1.24226149764967</v>
      </c>
      <c r="K54">
        <v>0.399078243399271</v>
      </c>
      <c r="L54">
        <v>3.0811234623831255E-5</v>
      </c>
      <c r="M54">
        <v>1.8235461880085055E-6</v>
      </c>
      <c r="N54" s="1">
        <v>-5.77982154872254E-9</v>
      </c>
      <c r="O54" s="1">
        <v>3.6145580372693402E-12</v>
      </c>
      <c r="P54" s="1">
        <v>2.5365902517314702E-11</v>
      </c>
      <c r="Q54">
        <v>65.665788680422494</v>
      </c>
      <c r="S54">
        <v>21.092014564837399</v>
      </c>
      <c r="AA54">
        <v>2.0789139012070499</v>
      </c>
      <c r="AB54">
        <v>9.2930704027815896</v>
      </c>
      <c r="AC54">
        <v>1.87021245075139</v>
      </c>
      <c r="AJ54">
        <v>0.79616167168913998</v>
      </c>
      <c r="AK54">
        <v>9.8421353346546697E-2</v>
      </c>
      <c r="AL54">
        <v>0.105416974964313</v>
      </c>
    </row>
    <row r="55" spans="1:38" x14ac:dyDescent="0.2">
      <c r="A55">
        <v>119</v>
      </c>
      <c r="B55">
        <v>784</v>
      </c>
      <c r="C55">
        <v>125</v>
      </c>
      <c r="D55">
        <v>0.47832426807926898</v>
      </c>
      <c r="E55">
        <v>1.41196024425985</v>
      </c>
      <c r="F55">
        <v>2.5615183030281199</v>
      </c>
      <c r="G55">
        <v>-23.016721905468952</v>
      </c>
      <c r="H55">
        <v>-19.822385626983795</v>
      </c>
      <c r="I55">
        <v>3.02164903607355</v>
      </c>
      <c r="J55">
        <v>1.7157315643707001</v>
      </c>
      <c r="K55">
        <v>0.55122004890251697</v>
      </c>
      <c r="L55">
        <v>3.0836929345331899E-5</v>
      </c>
      <c r="M55">
        <v>1.8243680182234402E-6</v>
      </c>
      <c r="N55" s="1">
        <v>-8.2378804943613106E-9</v>
      </c>
      <c r="O55" s="1">
        <v>4.9935762166360796E-12</v>
      </c>
      <c r="P55" s="1">
        <v>3.5779326851427302E-11</v>
      </c>
      <c r="Q55">
        <v>65.701542199659599</v>
      </c>
      <c r="S55">
        <v>21.061181908234001</v>
      </c>
      <c r="AA55">
        <v>2.0451340488760601</v>
      </c>
      <c r="AB55">
        <v>9.2919133855697709</v>
      </c>
      <c r="AC55">
        <v>1.90022845766049</v>
      </c>
      <c r="AJ55">
        <v>0.796067691060097</v>
      </c>
      <c r="AK55">
        <v>9.6822750296802901E-2</v>
      </c>
      <c r="AL55">
        <v>0.107109558643099</v>
      </c>
    </row>
    <row r="56" spans="1:38" x14ac:dyDescent="0.2">
      <c r="A56">
        <v>120</v>
      </c>
      <c r="B56">
        <v>783</v>
      </c>
      <c r="C56">
        <v>125</v>
      </c>
      <c r="D56">
        <v>0.47776404866733202</v>
      </c>
      <c r="E56">
        <v>1.8015353457387799</v>
      </c>
      <c r="F56">
        <v>2.5611449524619698</v>
      </c>
      <c r="G56">
        <v>-29.36052666894653</v>
      </c>
      <c r="H56">
        <v>-25.290724146430836</v>
      </c>
      <c r="I56">
        <v>3.8534322989307301</v>
      </c>
      <c r="J56">
        <v>2.18929444301259</v>
      </c>
      <c r="K56">
        <v>0.70341014631249499</v>
      </c>
      <c r="L56">
        <v>3.0862335704362085E-5</v>
      </c>
      <c r="M56">
        <v>1.8251637215519799E-6</v>
      </c>
      <c r="N56" s="1">
        <v>-1.0845050833462599E-8</v>
      </c>
      <c r="O56" s="1">
        <v>6.3734544935527599E-12</v>
      </c>
      <c r="P56" s="1">
        <v>4.6628566565067101E-11</v>
      </c>
      <c r="Q56">
        <v>65.736218534282102</v>
      </c>
      <c r="S56">
        <v>21.031011904281399</v>
      </c>
      <c r="AA56">
        <v>2.0121522380707799</v>
      </c>
      <c r="AB56">
        <v>9.2900931502754798</v>
      </c>
      <c r="AC56">
        <v>1.9305241730901299</v>
      </c>
      <c r="AJ56">
        <v>0.79591949318944599</v>
      </c>
      <c r="AK56">
        <v>9.5262220207498097E-2</v>
      </c>
      <c r="AL56">
        <v>0.108818286603055</v>
      </c>
    </row>
    <row r="57" spans="1:38" x14ac:dyDescent="0.2">
      <c r="A57">
        <v>121</v>
      </c>
      <c r="B57">
        <v>782</v>
      </c>
      <c r="C57">
        <v>125</v>
      </c>
      <c r="D57">
        <v>0.47720276737904699</v>
      </c>
      <c r="E57">
        <v>2.1909921259646499</v>
      </c>
      <c r="F57">
        <v>2.5607773018700599</v>
      </c>
      <c r="G57">
        <v>-35.699462084764825</v>
      </c>
      <c r="H57">
        <v>-30.757016429237577</v>
      </c>
      <c r="I57">
        <v>4.6841166237286203</v>
      </c>
      <c r="J57">
        <v>2.6627945235145098</v>
      </c>
      <c r="K57">
        <v>0.85559651140481197</v>
      </c>
      <c r="L57">
        <v>3.0887475489466137E-5</v>
      </c>
      <c r="M57">
        <v>1.8259338414671874E-6</v>
      </c>
      <c r="N57" s="1">
        <v>-1.3605957856029799E-8</v>
      </c>
      <c r="O57" s="1">
        <v>7.7536266577626898E-12</v>
      </c>
      <c r="P57" s="1">
        <v>5.7925699071302199E-11</v>
      </c>
      <c r="Q57">
        <v>65.769837273889806</v>
      </c>
      <c r="S57">
        <v>21.001492200735701</v>
      </c>
      <c r="AA57">
        <v>1.9799537070980999</v>
      </c>
      <c r="AB57">
        <v>9.2876209682580804</v>
      </c>
      <c r="AC57">
        <v>1.9610958500182101</v>
      </c>
      <c r="AJ57">
        <v>0.79571799648453501</v>
      </c>
      <c r="AK57">
        <v>9.3739044782577802E-2</v>
      </c>
      <c r="AL57">
        <v>0.110542958732886</v>
      </c>
    </row>
    <row r="58" spans="1:38" x14ac:dyDescent="0.2">
      <c r="A58">
        <v>122</v>
      </c>
      <c r="B58">
        <v>781</v>
      </c>
      <c r="C58">
        <v>125</v>
      </c>
      <c r="D58">
        <v>0.476640421192431</v>
      </c>
      <c r="E58">
        <v>2.5802042153210998</v>
      </c>
      <c r="F58">
        <v>2.5604152482169602</v>
      </c>
      <c r="G58">
        <v>-42.031461279926084</v>
      </c>
      <c r="H58">
        <v>-36.219484482004368</v>
      </c>
      <c r="I58">
        <v>5.5134248426900498</v>
      </c>
      <c r="J58">
        <v>3.1360817046945302</v>
      </c>
      <c r="K58">
        <v>1.00772881161285</v>
      </c>
      <c r="L58">
        <v>3.0912371182365821E-5</v>
      </c>
      <c r="M58">
        <v>1.8266789382399893E-6</v>
      </c>
      <c r="N58" s="1">
        <v>-1.6525386640713699E-8</v>
      </c>
      <c r="O58" s="1">
        <v>9.1335411758902303E-12</v>
      </c>
      <c r="P58" s="1">
        <v>6.9683274985813396E-11</v>
      </c>
      <c r="Q58">
        <v>65.802418755332795</v>
      </c>
      <c r="S58">
        <v>20.972609897361298</v>
      </c>
      <c r="AA58">
        <v>1.9485230678057399</v>
      </c>
      <c r="AB58">
        <v>9.28450833945295</v>
      </c>
      <c r="AC58">
        <v>1.9919399400471001</v>
      </c>
      <c r="AJ58">
        <v>0.79546413709698305</v>
      </c>
      <c r="AK58">
        <v>9.2252476994292398E-2</v>
      </c>
      <c r="AL58">
        <v>0.112283385908723</v>
      </c>
    </row>
    <row r="59" spans="1:38" x14ac:dyDescent="0.2">
      <c r="A59">
        <v>123</v>
      </c>
      <c r="B59">
        <v>780</v>
      </c>
      <c r="C59">
        <v>125</v>
      </c>
      <c r="D59">
        <v>0.47607700707401701</v>
      </c>
      <c r="E59">
        <v>3.4037713177356301</v>
      </c>
      <c r="F59">
        <v>2.5595391158802498</v>
      </c>
      <c r="G59">
        <v>-55.425417877275905</v>
      </c>
      <c r="H59">
        <v>-47.769436345011961</v>
      </c>
      <c r="I59">
        <v>7.2696021765787702</v>
      </c>
      <c r="J59">
        <v>4.1370067268333699</v>
      </c>
      <c r="K59">
        <v>1.3298375854533599</v>
      </c>
      <c r="L59">
        <v>3.0932517586454634E-5</v>
      </c>
      <c r="M59">
        <v>1.827756141771472E-6</v>
      </c>
      <c r="N59" s="1">
        <v>-2.24165563768728E-8</v>
      </c>
      <c r="O59" s="1">
        <v>1.20625460787205E-11</v>
      </c>
      <c r="P59" s="1">
        <v>9.3713021241060694E-11</v>
      </c>
      <c r="Q59">
        <v>65.859653897876399</v>
      </c>
      <c r="S59">
        <v>20.9151790216516</v>
      </c>
      <c r="AA59">
        <v>1.8877869692421401</v>
      </c>
      <c r="AB59">
        <v>9.2614912785895491</v>
      </c>
      <c r="AC59">
        <v>2.0758888326401599</v>
      </c>
      <c r="AJ59">
        <v>0.79358374109366003</v>
      </c>
      <c r="AK59">
        <v>8.93872576637742E-2</v>
      </c>
      <c r="AL59">
        <v>0.117029001242565</v>
      </c>
    </row>
    <row r="60" spans="1:38" x14ac:dyDescent="0.2">
      <c r="A60">
        <v>124</v>
      </c>
      <c r="B60">
        <v>779</v>
      </c>
      <c r="C60">
        <v>125</v>
      </c>
      <c r="D60">
        <v>0.475512521978807</v>
      </c>
      <c r="E60">
        <v>4.6711727698036301</v>
      </c>
      <c r="F60">
        <v>2.5581070318222601</v>
      </c>
      <c r="G60">
        <v>-76.018365409615981</v>
      </c>
      <c r="H60">
        <v>-65.52703335181171</v>
      </c>
      <c r="I60">
        <v>9.9713273371708198</v>
      </c>
      <c r="J60">
        <v>5.6765436152880699</v>
      </c>
      <c r="K60">
        <v>1.82602710195285</v>
      </c>
      <c r="L60">
        <v>3.0941985058132266E-5</v>
      </c>
      <c r="M60">
        <v>1.8290360915328912E-6</v>
      </c>
      <c r="N60" s="1">
        <v>-3.1505082811861502E-8</v>
      </c>
      <c r="O60" s="1">
        <v>1.6587922802656E-11</v>
      </c>
      <c r="P60" s="1">
        <v>1.30735943123735E-10</v>
      </c>
      <c r="Q60">
        <v>65.938293463638203</v>
      </c>
      <c r="S60">
        <v>20.829125564956001</v>
      </c>
      <c r="AA60">
        <v>1.7984425187524899</v>
      </c>
      <c r="AB60">
        <v>9.2111350099644405</v>
      </c>
      <c r="AC60">
        <v>2.2230034426887402</v>
      </c>
      <c r="AJ60">
        <v>0.78946759674926004</v>
      </c>
      <c r="AK60">
        <v>8.5178210805774798E-2</v>
      </c>
      <c r="AL60">
        <v>0.12535419244496401</v>
      </c>
    </row>
    <row r="61" spans="1:38" x14ac:dyDescent="0.2">
      <c r="A61">
        <v>125</v>
      </c>
      <c r="B61">
        <v>778</v>
      </c>
      <c r="C61">
        <v>125</v>
      </c>
      <c r="D61">
        <v>0.47494696285021398</v>
      </c>
      <c r="E61">
        <v>6.0205156310869601</v>
      </c>
      <c r="F61">
        <v>2.55652655587545</v>
      </c>
      <c r="G61">
        <v>-97.912304614591946</v>
      </c>
      <c r="H61">
        <v>-84.410655221923406</v>
      </c>
      <c r="I61">
        <v>12.844645761944999</v>
      </c>
      <c r="J61">
        <v>7.3145980460583102</v>
      </c>
      <c r="K61">
        <v>2.3549591602131001</v>
      </c>
      <c r="L61">
        <v>3.0940809700755085E-5</v>
      </c>
      <c r="M61">
        <v>1.8301415569083141E-6</v>
      </c>
      <c r="N61" s="1">
        <v>-4.1484397795342702E-8</v>
      </c>
      <c r="O61" s="1">
        <v>2.1427704956372799E-11</v>
      </c>
      <c r="P61" s="1">
        <v>1.7100858695555001E-10</v>
      </c>
      <c r="Q61">
        <v>66.014916700819199</v>
      </c>
      <c r="S61">
        <v>20.738706371507799</v>
      </c>
      <c r="AA61">
        <v>1.70596677344986</v>
      </c>
      <c r="AB61">
        <v>9.1448401147268505</v>
      </c>
      <c r="AC61">
        <v>2.3955700394961901</v>
      </c>
      <c r="AJ61">
        <v>0.78404503768835099</v>
      </c>
      <c r="AK61">
        <v>8.0825100309460801E-2</v>
      </c>
      <c r="AL61">
        <v>0.13512986200218699</v>
      </c>
    </row>
    <row r="62" spans="1:38" x14ac:dyDescent="0.2">
      <c r="A62">
        <v>126</v>
      </c>
      <c r="B62">
        <v>777</v>
      </c>
      <c r="C62">
        <v>125</v>
      </c>
      <c r="D62">
        <v>0.47438032662001101</v>
      </c>
      <c r="E62">
        <v>7.49284909107429</v>
      </c>
      <c r="F62">
        <v>2.55472070903825</v>
      </c>
      <c r="G62">
        <v>-121.76243531549039</v>
      </c>
      <c r="H62">
        <v>-104.98497139151654</v>
      </c>
      <c r="I62">
        <v>15.976254748344299</v>
      </c>
      <c r="J62">
        <v>9.1002617057309703</v>
      </c>
      <c r="K62">
        <v>2.93294255789512</v>
      </c>
      <c r="L62">
        <v>3.0924856077029805E-5</v>
      </c>
      <c r="M62">
        <v>1.8310314897663102E-6</v>
      </c>
      <c r="N62" s="1">
        <v>-5.2567227839198097E-8</v>
      </c>
      <c r="O62" s="1">
        <v>2.6736616370629199E-11</v>
      </c>
      <c r="P62" s="1">
        <v>2.1547749902962501E-10</v>
      </c>
      <c r="Q62">
        <v>66.090163174592007</v>
      </c>
      <c r="S62">
        <v>20.640878574121</v>
      </c>
      <c r="AA62">
        <v>1.6077001029595599</v>
      </c>
      <c r="AB62">
        <v>9.0560545576441207</v>
      </c>
      <c r="AC62">
        <v>2.6052035906831601</v>
      </c>
      <c r="AJ62">
        <v>0.77677681380397401</v>
      </c>
      <c r="AK62">
        <v>7.6203172690950505E-2</v>
      </c>
      <c r="AL62">
        <v>0.14702001350507399</v>
      </c>
    </row>
    <row r="63" spans="1:38" x14ac:dyDescent="0.2">
      <c r="A63">
        <v>127</v>
      </c>
      <c r="B63">
        <v>776</v>
      </c>
      <c r="C63">
        <v>125</v>
      </c>
      <c r="D63">
        <v>0.47381261020826598</v>
      </c>
      <c r="E63">
        <v>9.1710855934799493</v>
      </c>
      <c r="F63">
        <v>2.5525412421490099</v>
      </c>
      <c r="G63">
        <v>-148.89217106783042</v>
      </c>
      <c r="H63">
        <v>-128.39043526418408</v>
      </c>
      <c r="I63">
        <v>19.541281803027498</v>
      </c>
      <c r="J63">
        <v>11.132672900633899</v>
      </c>
      <c r="K63">
        <v>3.59292357045668</v>
      </c>
      <c r="L63">
        <v>3.0885972143150302E-5</v>
      </c>
      <c r="M63">
        <v>1.8316220020532347E-6</v>
      </c>
      <c r="N63" s="1">
        <v>-6.5156416966710105E-8</v>
      </c>
      <c r="O63" s="1">
        <v>3.2827789346815403E-11</v>
      </c>
      <c r="P63" s="1">
        <v>2.6597715113685901E-10</v>
      </c>
      <c r="Q63">
        <v>66.165102530126205</v>
      </c>
      <c r="S63">
        <v>20.5298183308769</v>
      </c>
      <c r="AA63">
        <v>1.4985881909899501</v>
      </c>
      <c r="AB63">
        <v>8.9318940268833291</v>
      </c>
      <c r="AC63">
        <v>2.8745969211234499</v>
      </c>
      <c r="AJ63">
        <v>0.76660142891253702</v>
      </c>
      <c r="AK63">
        <v>7.10753748845082E-2</v>
      </c>
      <c r="AL63">
        <v>0.16232319620295399</v>
      </c>
    </row>
    <row r="64" spans="1:38" x14ac:dyDescent="0.2">
      <c r="A64">
        <v>128</v>
      </c>
      <c r="B64">
        <v>775</v>
      </c>
      <c r="C64">
        <v>125</v>
      </c>
      <c r="D64">
        <v>0.473243810523307</v>
      </c>
      <c r="E64">
        <v>11.265649012898001</v>
      </c>
      <c r="F64">
        <v>2.5496370630513501</v>
      </c>
      <c r="G64">
        <v>-182.65946577462745</v>
      </c>
      <c r="H64">
        <v>-157.5205649992846</v>
      </c>
      <c r="I64">
        <v>23.9840679056841</v>
      </c>
      <c r="J64">
        <v>13.6633151303961</v>
      </c>
      <c r="K64">
        <v>4.4185304552388001</v>
      </c>
      <c r="L64">
        <v>3.0804174030461915E-5</v>
      </c>
      <c r="M64">
        <v>1.831697964762333E-6</v>
      </c>
      <c r="N64" s="1">
        <v>-8.0209361578330895E-8</v>
      </c>
      <c r="O64" s="1">
        <v>4.0497221516461603E-11</v>
      </c>
      <c r="P64" s="1">
        <v>3.2697429406728E-10</v>
      </c>
      <c r="Q64">
        <v>66.241710699342406</v>
      </c>
      <c r="S64">
        <v>20.391847136610998</v>
      </c>
      <c r="AA64">
        <v>1.3668850740226599</v>
      </c>
      <c r="AB64">
        <v>8.7409018011684196</v>
      </c>
      <c r="AC64">
        <v>3.2586552888554698</v>
      </c>
      <c r="AJ64">
        <v>0.75092374739332302</v>
      </c>
      <c r="AK64">
        <v>6.4890689536882304E-2</v>
      </c>
      <c r="AL64">
        <v>0.184185563069794</v>
      </c>
    </row>
    <row r="65" spans="1:38" x14ac:dyDescent="0.2">
      <c r="A65">
        <v>129</v>
      </c>
      <c r="B65">
        <v>774</v>
      </c>
      <c r="C65">
        <v>125</v>
      </c>
      <c r="D65">
        <v>0.47267392446163797</v>
      </c>
      <c r="E65">
        <v>12.0667194492192</v>
      </c>
      <c r="F65">
        <v>2.5492757889259199</v>
      </c>
      <c r="G65">
        <v>-195.55535519217446</v>
      </c>
      <c r="H65">
        <v>-168.67409557922969</v>
      </c>
      <c r="I65">
        <v>25.670877728066401</v>
      </c>
      <c r="J65">
        <v>14.6306068843551</v>
      </c>
      <c r="K65">
        <v>4.7333911464727301</v>
      </c>
      <c r="L65">
        <v>3.0760662563078055E-5</v>
      </c>
      <c r="M65">
        <v>1.830575579965789E-6</v>
      </c>
      <c r="N65" s="1">
        <v>-8.7498878692792498E-8</v>
      </c>
      <c r="O65" s="1">
        <v>4.3382769048823998E-11</v>
      </c>
      <c r="P65" s="1">
        <v>3.5478704259196401E-10</v>
      </c>
      <c r="Q65">
        <v>66.210605295581303</v>
      </c>
      <c r="S65">
        <v>20.3865203078985</v>
      </c>
      <c r="AA65">
        <v>1.36974840652205</v>
      </c>
      <c r="AB65">
        <v>8.6576201026871509</v>
      </c>
      <c r="AC65">
        <v>3.3755058873109598</v>
      </c>
      <c r="AJ65">
        <v>0.74407721183553299</v>
      </c>
      <c r="AK65">
        <v>6.5053560788781994E-2</v>
      </c>
      <c r="AL65">
        <v>0.19086922737568399</v>
      </c>
    </row>
    <row r="66" spans="1:38" x14ac:dyDescent="0.2">
      <c r="A66">
        <v>130</v>
      </c>
      <c r="B66">
        <v>773</v>
      </c>
      <c r="C66">
        <v>125</v>
      </c>
      <c r="D66">
        <v>0.472102948907902</v>
      </c>
      <c r="E66">
        <v>12.049120472384701</v>
      </c>
      <c r="F66">
        <v>2.55115346356822</v>
      </c>
      <c r="G66">
        <v>-195.34365403956818</v>
      </c>
      <c r="H66">
        <v>-168.5406043307074</v>
      </c>
      <c r="I66">
        <v>25.620656415294899</v>
      </c>
      <c r="J66">
        <v>14.6154362587347</v>
      </c>
      <c r="K66">
        <v>4.7230088838058402</v>
      </c>
      <c r="L66">
        <v>3.0785103243547064E-5</v>
      </c>
      <c r="M66">
        <v>1.8292635681360362E-6</v>
      </c>
      <c r="N66" s="1">
        <v>-9.0826509306150797E-8</v>
      </c>
      <c r="O66" s="1">
        <v>4.31680583936804E-11</v>
      </c>
      <c r="P66" s="1">
        <v>3.6448411070923998E-10</v>
      </c>
      <c r="Q66">
        <v>66.114043692577397</v>
      </c>
      <c r="S66">
        <v>20.487721619059201</v>
      </c>
      <c r="AA66">
        <v>1.4757718544274501</v>
      </c>
      <c r="AB66">
        <v>8.7077501420951808</v>
      </c>
      <c r="AC66">
        <v>3.2147126918406901</v>
      </c>
      <c r="AJ66">
        <v>0.74819731776179099</v>
      </c>
      <c r="AK66">
        <v>7.0071304317042504E-2</v>
      </c>
      <c r="AL66">
        <v>0.181731377921165</v>
      </c>
    </row>
    <row r="67" spans="1:38" x14ac:dyDescent="0.2">
      <c r="A67">
        <v>131</v>
      </c>
      <c r="B67">
        <v>772</v>
      </c>
      <c r="C67">
        <v>125</v>
      </c>
      <c r="D67">
        <v>0.47153088073482102</v>
      </c>
      <c r="E67">
        <v>14.065708284237401</v>
      </c>
      <c r="F67">
        <v>2.5552207554263999</v>
      </c>
      <c r="G67">
        <v>-228.23412278533669</v>
      </c>
      <c r="H67">
        <v>-196.9938001374986</v>
      </c>
      <c r="I67">
        <v>29.890755057013902</v>
      </c>
      <c r="J67">
        <v>17.0707943452697</v>
      </c>
      <c r="K67">
        <v>5.50469396993069</v>
      </c>
      <c r="L67">
        <v>3.0775086453089739E-5</v>
      </c>
      <c r="M67">
        <v>1.8250564823904627E-6</v>
      </c>
      <c r="N67" s="1">
        <v>-1.1041512806055901E-7</v>
      </c>
      <c r="O67" s="1">
        <v>5.0029579301129599E-11</v>
      </c>
      <c r="P67" s="1">
        <v>4.3859381123156698E-10</v>
      </c>
      <c r="Q67">
        <v>65.861608177790401</v>
      </c>
      <c r="S67">
        <v>20.727487654584198</v>
      </c>
      <c r="AA67">
        <v>1.73248366510443</v>
      </c>
      <c r="AB67">
        <v>8.7737889662841493</v>
      </c>
      <c r="AC67">
        <v>2.90463153623663</v>
      </c>
      <c r="AJ67">
        <v>0.753619882249984</v>
      </c>
      <c r="AK67">
        <v>8.2232804575404495E-2</v>
      </c>
      <c r="AL67">
        <v>0.16414731317461001</v>
      </c>
    </row>
    <row r="68" spans="1:38" x14ac:dyDescent="0.2">
      <c r="A68">
        <v>132</v>
      </c>
      <c r="B68">
        <v>771</v>
      </c>
      <c r="C68">
        <v>125</v>
      </c>
      <c r="D68">
        <v>0.47095771680314102</v>
      </c>
      <c r="E68">
        <v>15.382193520645201</v>
      </c>
      <c r="F68">
        <v>2.5570283580864399</v>
      </c>
      <c r="G68">
        <v>-249.66540775044237</v>
      </c>
      <c r="H68">
        <v>-215.55454737606297</v>
      </c>
      <c r="I68">
        <v>32.668544150150197</v>
      </c>
      <c r="J68">
        <v>18.673857172690798</v>
      </c>
      <c r="K68">
        <v>6.0156522988882903</v>
      </c>
      <c r="L68">
        <v>3.0775261427844964E-5</v>
      </c>
      <c r="M68">
        <v>1.8230704505445775E-6</v>
      </c>
      <c r="N68" s="1">
        <v>-1.2491044911239401E-7</v>
      </c>
      <c r="O68" s="1">
        <v>5.4518265132118499E-11</v>
      </c>
      <c r="P68" s="1">
        <v>4.91913489721962E-10</v>
      </c>
      <c r="Q68">
        <v>65.744198537719299</v>
      </c>
      <c r="S68">
        <v>20.835106442013199</v>
      </c>
      <c r="AA68">
        <v>1.8486662010795401</v>
      </c>
      <c r="AB68">
        <v>8.7942845212810195</v>
      </c>
      <c r="AC68">
        <v>2.7777442979067799</v>
      </c>
      <c r="AJ68">
        <v>0.75530147998393704</v>
      </c>
      <c r="AK68">
        <v>8.7738279712353207E-2</v>
      </c>
      <c r="AL68">
        <v>0.156960240303709</v>
      </c>
    </row>
    <row r="69" spans="1:38" x14ac:dyDescent="0.2">
      <c r="A69">
        <v>133</v>
      </c>
      <c r="B69">
        <v>770</v>
      </c>
      <c r="C69">
        <v>125</v>
      </c>
      <c r="D69">
        <v>0.47038345396155901</v>
      </c>
      <c r="E69">
        <v>16.238431142562099</v>
      </c>
      <c r="F69">
        <v>2.5580880205623799</v>
      </c>
      <c r="G69">
        <v>-263.59013771557414</v>
      </c>
      <c r="H69">
        <v>-227.63611298118653</v>
      </c>
      <c r="I69">
        <v>34.4667830459546</v>
      </c>
      <c r="J69">
        <v>19.717989257335301</v>
      </c>
      <c r="K69">
        <v>6.3478781855958903</v>
      </c>
      <c r="L69">
        <v>3.0785327387756334E-5</v>
      </c>
      <c r="M69">
        <v>1.8219948900698647E-6</v>
      </c>
      <c r="N69" s="1">
        <v>-1.36241279891076E-7</v>
      </c>
      <c r="O69" s="1">
        <v>5.7419907305890297E-11</v>
      </c>
      <c r="P69" s="1">
        <v>5.3213030081059905E-10</v>
      </c>
      <c r="Q69">
        <v>65.677298080100897</v>
      </c>
      <c r="S69">
        <v>20.896508153046401</v>
      </c>
      <c r="AA69">
        <v>1.91493354858262</v>
      </c>
      <c r="AB69">
        <v>8.8061730067782609</v>
      </c>
      <c r="AC69">
        <v>2.7050872114916502</v>
      </c>
      <c r="AJ69">
        <v>0.75627675131780203</v>
      </c>
      <c r="AK69">
        <v>9.0877848080656104E-2</v>
      </c>
      <c r="AL69">
        <v>0.15284540060154</v>
      </c>
    </row>
    <row r="70" spans="1:38" x14ac:dyDescent="0.2">
      <c r="A70">
        <v>134</v>
      </c>
      <c r="B70">
        <v>769</v>
      </c>
      <c r="C70">
        <v>125</v>
      </c>
      <c r="D70">
        <v>0.46980808904668597</v>
      </c>
      <c r="E70">
        <v>16.7156263557121</v>
      </c>
      <c r="F70">
        <v>2.5586599748105598</v>
      </c>
      <c r="G70">
        <v>-271.33541830760572</v>
      </c>
      <c r="H70">
        <v>-234.3811080978185</v>
      </c>
      <c r="I70">
        <v>35.459684507784097</v>
      </c>
      <c r="J70">
        <v>20.301959624810301</v>
      </c>
      <c r="K70">
        <v>6.5329612063633702</v>
      </c>
      <c r="L70">
        <v>3.0804814863835139E-5</v>
      </c>
      <c r="M70">
        <v>1.8215927793188939E-6</v>
      </c>
      <c r="N70" s="1">
        <v>-1.4484764619438701E-7</v>
      </c>
      <c r="O70" s="1">
        <v>5.9018559692488204E-11</v>
      </c>
      <c r="P70" s="1">
        <v>5.6120904260643798E-10</v>
      </c>
      <c r="Q70">
        <v>65.645964090084902</v>
      </c>
      <c r="S70">
        <v>20.926626032550299</v>
      </c>
      <c r="AA70">
        <v>1.9470924657628399</v>
      </c>
      <c r="AB70">
        <v>8.8153048267998297</v>
      </c>
      <c r="AC70">
        <v>2.6650125848020099</v>
      </c>
      <c r="AJ70">
        <v>0.75702610427765205</v>
      </c>
      <c r="AK70">
        <v>9.2399769433931994E-2</v>
      </c>
      <c r="AL70">
        <v>0.15057412628841499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BA435-09E5-457F-9126-430E561339FA}">
  <sheetPr codeName="Sheet10"/>
  <dimension ref="A1:AL36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24</v>
      </c>
      <c r="B2">
        <v>740</v>
      </c>
      <c r="C2">
        <v>275</v>
      </c>
      <c r="D2">
        <v>0.28977002418201098</v>
      </c>
      <c r="E2">
        <v>2.88588363832051</v>
      </c>
      <c r="F2">
        <v>2.57201803678897</v>
      </c>
      <c r="G2">
        <v>-46.571235691019439</v>
      </c>
      <c r="H2">
        <v>-40.474026017127549</v>
      </c>
      <c r="I2">
        <v>6.0180720267402501</v>
      </c>
      <c r="J2">
        <v>3.55307165844683</v>
      </c>
      <c r="K2">
        <v>1.12203087110671</v>
      </c>
      <c r="L2">
        <v>3.240428097493607E-5</v>
      </c>
      <c r="M2">
        <v>1.8179728051720272E-6</v>
      </c>
      <c r="N2" s="1">
        <v>-7.3002162473977905E-8</v>
      </c>
      <c r="O2" s="1">
        <v>9.7183417591734303E-12</v>
      </c>
      <c r="P2" s="1">
        <v>2.35165815619089E-10</v>
      </c>
      <c r="Q2">
        <v>65.507859025285299</v>
      </c>
      <c r="S2">
        <v>21.130969272377801</v>
      </c>
      <c r="AA2">
        <v>2.1479026597817898</v>
      </c>
      <c r="AB2">
        <v>9.0432574644328803</v>
      </c>
      <c r="AC2">
        <v>2.1700115781221698</v>
      </c>
      <c r="AJ2">
        <v>0.77571945356538496</v>
      </c>
      <c r="AK2">
        <v>0.101813454567812</v>
      </c>
      <c r="AL2">
        <v>0.12246709186680201</v>
      </c>
    </row>
    <row r="3" spans="1:38" x14ac:dyDescent="0.2">
      <c r="A3">
        <v>25</v>
      </c>
      <c r="B3">
        <v>739</v>
      </c>
      <c r="C3">
        <v>275</v>
      </c>
      <c r="D3">
        <v>0.28899916020352701</v>
      </c>
      <c r="E3">
        <v>6.8731189884846797</v>
      </c>
      <c r="F3">
        <v>2.5715952809078502</v>
      </c>
      <c r="G3">
        <v>-110.89426913852635</v>
      </c>
      <c r="H3">
        <v>-96.394694861353045</v>
      </c>
      <c r="I3">
        <v>14.3255192186665</v>
      </c>
      <c r="J3">
        <v>8.4682546181252505</v>
      </c>
      <c r="K3">
        <v>2.67270633116819</v>
      </c>
      <c r="L3">
        <v>3.2499091321195514E-5</v>
      </c>
      <c r="M3">
        <v>1.8193889274205437E-6</v>
      </c>
      <c r="N3" s="1">
        <v>-1.7983815460091501E-7</v>
      </c>
      <c r="O3" s="1">
        <v>2.3119566384248599E-11</v>
      </c>
      <c r="P3" s="1">
        <v>5.7705087186069195E-10</v>
      </c>
      <c r="Q3">
        <v>65.559779622480093</v>
      </c>
      <c r="S3">
        <v>21.0923073777751</v>
      </c>
      <c r="AA3">
        <v>2.1038912393130502</v>
      </c>
      <c r="AB3">
        <v>9.05760254832024</v>
      </c>
      <c r="AC3">
        <v>2.1864192121113701</v>
      </c>
      <c r="AJ3">
        <v>0.77689535141299304</v>
      </c>
      <c r="AK3">
        <v>9.9720245413377998E-2</v>
      </c>
      <c r="AL3">
        <v>0.123384403173628</v>
      </c>
    </row>
    <row r="4" spans="1:38" x14ac:dyDescent="0.2">
      <c r="A4">
        <v>26</v>
      </c>
      <c r="B4">
        <v>738</v>
      </c>
      <c r="C4">
        <v>275</v>
      </c>
      <c r="D4">
        <v>0.28822677149780002</v>
      </c>
      <c r="E4">
        <v>17.781006534064701</v>
      </c>
      <c r="F4">
        <v>2.5698943447891902</v>
      </c>
      <c r="G4">
        <v>-286.76726023970895</v>
      </c>
      <c r="H4">
        <v>-249.30761917095484</v>
      </c>
      <c r="I4">
        <v>37.046571793259297</v>
      </c>
      <c r="J4">
        <v>21.926149976058198</v>
      </c>
      <c r="K4">
        <v>6.9189640306101099</v>
      </c>
      <c r="L4">
        <v>3.2641394511763476E-5</v>
      </c>
      <c r="M4">
        <v>1.8231375437370392E-6</v>
      </c>
      <c r="N4" s="1">
        <v>-4.8208735083040301E-7</v>
      </c>
      <c r="O4" s="1">
        <v>5.9877792920925298E-11</v>
      </c>
      <c r="P4" s="1">
        <v>1.54060581163498E-9</v>
      </c>
      <c r="Q4">
        <v>65.724238752141304</v>
      </c>
      <c r="S4">
        <v>20.963266308682901</v>
      </c>
      <c r="AA4">
        <v>1.95905674643102</v>
      </c>
      <c r="AB4">
        <v>9.0857929617152298</v>
      </c>
      <c r="AC4">
        <v>2.2676452310294302</v>
      </c>
      <c r="AJ4">
        <v>0.77920667467984495</v>
      </c>
      <c r="AK4">
        <v>9.2842672685639796E-2</v>
      </c>
      <c r="AL4">
        <v>0.12795065263451499</v>
      </c>
    </row>
    <row r="5" spans="1:38" x14ac:dyDescent="0.2">
      <c r="A5">
        <v>27</v>
      </c>
      <c r="B5">
        <v>737</v>
      </c>
      <c r="C5">
        <v>275</v>
      </c>
      <c r="D5">
        <v>0.28745285353660599</v>
      </c>
      <c r="E5">
        <v>20.093770106715301</v>
      </c>
      <c r="F5">
        <v>2.5696671802598199</v>
      </c>
      <c r="G5">
        <v>-324.01454127245563</v>
      </c>
      <c r="H5">
        <v>-281.74724329969644</v>
      </c>
      <c r="I5">
        <v>41.842595627143702</v>
      </c>
      <c r="J5">
        <v>24.7967460672341</v>
      </c>
      <c r="K5">
        <v>7.8196002428157598</v>
      </c>
      <c r="L5">
        <v>3.2732613594570022E-5</v>
      </c>
      <c r="M5">
        <v>1.8241709188743731E-6</v>
      </c>
      <c r="N5" s="1">
        <v>-5.6328895144546195E-7</v>
      </c>
      <c r="O5" s="1">
        <v>6.7556436257449698E-11</v>
      </c>
      <c r="P5" s="1">
        <v>1.7934531178792899E-9</v>
      </c>
      <c r="Q5">
        <v>65.757642083258602</v>
      </c>
      <c r="S5">
        <v>20.939045607535299</v>
      </c>
      <c r="AA5">
        <v>1.93128020932071</v>
      </c>
      <c r="AB5">
        <v>9.0967327771307307</v>
      </c>
      <c r="AC5">
        <v>2.2752993227545302</v>
      </c>
      <c r="AJ5">
        <v>0.78010298077279805</v>
      </c>
      <c r="AK5">
        <v>9.1521384341821999E-2</v>
      </c>
      <c r="AL5">
        <v>0.12837563488537901</v>
      </c>
    </row>
    <row r="6" spans="1:38" x14ac:dyDescent="0.2">
      <c r="A6">
        <v>28</v>
      </c>
      <c r="B6">
        <v>736</v>
      </c>
      <c r="C6">
        <v>275</v>
      </c>
      <c r="D6">
        <v>0.28667740177377199</v>
      </c>
      <c r="E6">
        <v>20.9434016151172</v>
      </c>
      <c r="F6">
        <v>2.5696678406545299</v>
      </c>
      <c r="G6">
        <v>-337.67425657591531</v>
      </c>
      <c r="H6">
        <v>-293.68818866988209</v>
      </c>
      <c r="I6">
        <v>43.587244617780499</v>
      </c>
      <c r="J6">
        <v>25.8649908095284</v>
      </c>
      <c r="K6">
        <v>8.1502368842280397</v>
      </c>
      <c r="L6">
        <v>3.281858551281521E-5</v>
      </c>
      <c r="M6">
        <v>1.8248057013566783E-6</v>
      </c>
      <c r="N6" s="1">
        <v>-6.0688126527900702E-7</v>
      </c>
      <c r="O6" s="1">
        <v>7.0264740277421302E-11</v>
      </c>
      <c r="P6" s="1">
        <v>1.9253301270049899E-9</v>
      </c>
      <c r="Q6">
        <v>65.771279071913</v>
      </c>
      <c r="S6">
        <v>20.930787142195701</v>
      </c>
      <c r="AA6">
        <v>1.9212848859826701</v>
      </c>
      <c r="AB6">
        <v>9.1054714345994903</v>
      </c>
      <c r="AC6">
        <v>2.2711774653089698</v>
      </c>
      <c r="AJ6">
        <v>0.78081867125568505</v>
      </c>
      <c r="AK6">
        <v>9.1043786194508994E-2</v>
      </c>
      <c r="AL6">
        <v>0.128137542549805</v>
      </c>
    </row>
    <row r="7" spans="1:38" x14ac:dyDescent="0.2">
      <c r="A7">
        <v>49</v>
      </c>
      <c r="B7">
        <v>743</v>
      </c>
      <c r="C7">
        <v>250</v>
      </c>
      <c r="D7">
        <v>0.31913644639078897</v>
      </c>
      <c r="E7">
        <v>7.8405561189972399</v>
      </c>
      <c r="F7">
        <v>2.5685661651793801</v>
      </c>
      <c r="G7">
        <v>-126.59744941317157</v>
      </c>
      <c r="H7">
        <v>-109.94887124364379</v>
      </c>
      <c r="I7">
        <v>16.383976941915801</v>
      </c>
      <c r="J7">
        <v>9.6313655462244796</v>
      </c>
      <c r="K7">
        <v>3.05250307556304</v>
      </c>
      <c r="L7">
        <v>3.2196035345404068E-5</v>
      </c>
      <c r="M7">
        <v>1.8216233812151229E-6</v>
      </c>
      <c r="N7" s="1">
        <v>-1.76118331997864E-7</v>
      </c>
      <c r="O7" s="1">
        <v>2.6687735346563401E-11</v>
      </c>
      <c r="P7" s="1">
        <v>5.7538216127250398E-10</v>
      </c>
      <c r="Q7">
        <v>65.666078159712001</v>
      </c>
      <c r="S7">
        <v>20.994740952779399</v>
      </c>
      <c r="AA7">
        <v>1.99859462922233</v>
      </c>
      <c r="AB7">
        <v>9.0387000714147501</v>
      </c>
      <c r="AC7">
        <v>2.30188618687143</v>
      </c>
      <c r="AJ7">
        <v>0.775348555461013</v>
      </c>
      <c r="AK7">
        <v>9.4738501883038506E-2</v>
      </c>
      <c r="AL7">
        <v>0.12991294265594799</v>
      </c>
    </row>
    <row r="8" spans="1:38" x14ac:dyDescent="0.2">
      <c r="A8">
        <v>50</v>
      </c>
      <c r="B8">
        <v>742</v>
      </c>
      <c r="C8">
        <v>250</v>
      </c>
      <c r="D8">
        <v>0.318396788651924</v>
      </c>
      <c r="E8">
        <v>17.698797226641201</v>
      </c>
      <c r="F8">
        <v>2.5679454404669801</v>
      </c>
      <c r="G8">
        <v>-285.70654316450322</v>
      </c>
      <c r="H8">
        <v>-248.18062439353247</v>
      </c>
      <c r="I8">
        <v>36.965885604069101</v>
      </c>
      <c r="J8">
        <v>21.755186577628201</v>
      </c>
      <c r="K8">
        <v>6.8922014259861797</v>
      </c>
      <c r="L8">
        <v>3.2286855046828692E-5</v>
      </c>
      <c r="M8">
        <v>1.8232975197944385E-6</v>
      </c>
      <c r="N8" s="1">
        <v>-4.1114412729206898E-7</v>
      </c>
      <c r="O8" s="1">
        <v>6.0211422750696596E-11</v>
      </c>
      <c r="P8" s="1">
        <v>1.33752331896419E-9</v>
      </c>
      <c r="Q8">
        <v>65.732787100404806</v>
      </c>
      <c r="S8">
        <v>20.943348998388601</v>
      </c>
      <c r="AA8">
        <v>1.94063012129735</v>
      </c>
      <c r="AB8">
        <v>9.05262667911283</v>
      </c>
      <c r="AC8">
        <v>2.3306071007962998</v>
      </c>
      <c r="AJ8">
        <v>0.77649046082800299</v>
      </c>
      <c r="AK8">
        <v>9.1984588997426106E-2</v>
      </c>
      <c r="AL8">
        <v>0.13152495017457</v>
      </c>
    </row>
    <row r="9" spans="1:38" x14ac:dyDescent="0.2">
      <c r="A9">
        <v>51</v>
      </c>
      <c r="B9">
        <v>741</v>
      </c>
      <c r="C9">
        <v>250</v>
      </c>
      <c r="D9">
        <v>0.31765567223783697</v>
      </c>
      <c r="E9">
        <v>19.730971480103602</v>
      </c>
      <c r="F9">
        <v>2.5679488612401098</v>
      </c>
      <c r="G9">
        <v>-318.47308841470755</v>
      </c>
      <c r="H9">
        <v>-276.70294514439775</v>
      </c>
      <c r="I9">
        <v>41.187342375693802</v>
      </c>
      <c r="J9">
        <v>24.268382949503899</v>
      </c>
      <c r="K9">
        <v>7.6835531181782102</v>
      </c>
      <c r="L9">
        <v>3.2359546683952488E-5</v>
      </c>
      <c r="M9">
        <v>1.8238836542013395E-6</v>
      </c>
      <c r="N9" s="1">
        <v>-4.7370364659840999E-7</v>
      </c>
      <c r="O9" s="1">
        <v>6.7010087652751694E-11</v>
      </c>
      <c r="P9" s="1">
        <v>1.5348194888171599E-9</v>
      </c>
      <c r="Q9">
        <v>65.745950500846106</v>
      </c>
      <c r="S9">
        <v>20.9354450586589</v>
      </c>
      <c r="AA9">
        <v>1.9310377905527301</v>
      </c>
      <c r="AB9">
        <v>9.0612394056193093</v>
      </c>
      <c r="AC9">
        <v>2.3263272443228198</v>
      </c>
      <c r="AJ9">
        <v>0.77719614181789398</v>
      </c>
      <c r="AK9">
        <v>9.1526023552489094E-2</v>
      </c>
      <c r="AL9">
        <v>0.13127783462961601</v>
      </c>
    </row>
    <row r="10" spans="1:38" x14ac:dyDescent="0.2">
      <c r="A10">
        <v>52</v>
      </c>
      <c r="B10">
        <v>740</v>
      </c>
      <c r="C10">
        <v>250</v>
      </c>
      <c r="D10">
        <v>0.31691309282929903</v>
      </c>
      <c r="E10">
        <v>20.495381762943399</v>
      </c>
      <c r="F10">
        <v>2.5680276517284701</v>
      </c>
      <c r="G10">
        <v>-330.77611712701997</v>
      </c>
      <c r="H10">
        <v>-287.45503260494246</v>
      </c>
      <c r="I10">
        <v>42.758806220280803</v>
      </c>
      <c r="J10">
        <v>25.224900733381102</v>
      </c>
      <c r="K10">
        <v>7.9809817270263901</v>
      </c>
      <c r="L10">
        <v>3.2431953242791859E-5</v>
      </c>
      <c r="M10">
        <v>1.8243455916367923E-6</v>
      </c>
      <c r="N10" s="1">
        <v>-5.0851907987623298E-7</v>
      </c>
      <c r="O10" s="1">
        <v>6.9473207148815198E-11</v>
      </c>
      <c r="P10" s="1">
        <v>1.64113220328605E-9</v>
      </c>
      <c r="Q10">
        <v>65.752711089860995</v>
      </c>
      <c r="S10">
        <v>20.9327549286714</v>
      </c>
      <c r="AA10">
        <v>1.9272409147448899</v>
      </c>
      <c r="AB10">
        <v>9.0692524902476706</v>
      </c>
      <c r="AC10">
        <v>2.3180405764749299</v>
      </c>
      <c r="AJ10">
        <v>0.77785255185892499</v>
      </c>
      <c r="AK10">
        <v>9.1342435089586699E-2</v>
      </c>
      <c r="AL10">
        <v>0.13080501305148701</v>
      </c>
    </row>
    <row r="11" spans="1:38" x14ac:dyDescent="0.2">
      <c r="A11">
        <v>68</v>
      </c>
      <c r="B11">
        <v>748</v>
      </c>
      <c r="C11">
        <v>225</v>
      </c>
      <c r="D11">
        <v>0.34974342652891699</v>
      </c>
      <c r="E11">
        <v>8.6304349738198205</v>
      </c>
      <c r="F11">
        <v>2.52451972426047</v>
      </c>
      <c r="G11">
        <v>-136.53158785603603</v>
      </c>
      <c r="H11">
        <v>-118.31282795697791</v>
      </c>
      <c r="I11">
        <v>17.841413993103899</v>
      </c>
      <c r="J11">
        <v>10.3078595802862</v>
      </c>
      <c r="K11">
        <v>3.41864430326366</v>
      </c>
      <c r="L11">
        <v>2.9043306572789259E-5</v>
      </c>
      <c r="M11">
        <v>1.8018608979962962E-6</v>
      </c>
      <c r="N11" s="1">
        <v>-8.1415550359476403E-8</v>
      </c>
      <c r="O11" s="1">
        <v>3.2359299059471999E-11</v>
      </c>
      <c r="P11" s="1">
        <v>3.0494324175524298E-10</v>
      </c>
      <c r="Q11">
        <v>66.174687612495504</v>
      </c>
      <c r="S11">
        <v>19.056072393343701</v>
      </c>
      <c r="AA11">
        <v>0.28049615463924299</v>
      </c>
      <c r="AB11">
        <v>5.0896372937257803</v>
      </c>
      <c r="AC11">
        <v>9.3991065457957106</v>
      </c>
      <c r="AJ11">
        <v>0.44534357689925402</v>
      </c>
      <c r="AK11">
        <v>1.35626970522076E-2</v>
      </c>
      <c r="AL11">
        <v>0.541093726048538</v>
      </c>
    </row>
    <row r="12" spans="1:38" x14ac:dyDescent="0.2">
      <c r="A12">
        <v>69</v>
      </c>
      <c r="B12">
        <v>747</v>
      </c>
      <c r="C12">
        <v>225</v>
      </c>
      <c r="D12">
        <v>0.34903739646130499</v>
      </c>
      <c r="E12">
        <v>23.866513573809701</v>
      </c>
      <c r="F12">
        <v>2.5244833638056798</v>
      </c>
      <c r="G12">
        <v>-377.45771088163229</v>
      </c>
      <c r="H12">
        <v>-327.16221705378308</v>
      </c>
      <c r="I12">
        <v>49.302057371807201</v>
      </c>
      <c r="J12">
        <v>28.505642741481299</v>
      </c>
      <c r="K12">
        <v>9.45401895532029</v>
      </c>
      <c r="L12">
        <v>2.9042364549786365E-5</v>
      </c>
      <c r="M12">
        <v>1.8016601620511472E-6</v>
      </c>
      <c r="N12" s="1">
        <v>-2.3129088955845499E-7</v>
      </c>
      <c r="O12" s="1">
        <v>8.9458090423513995E-11</v>
      </c>
      <c r="P12" s="1">
        <v>8.6079085148317604E-10</v>
      </c>
      <c r="Q12">
        <v>66.166501769534804</v>
      </c>
      <c r="S12">
        <v>19.050558108723401</v>
      </c>
      <c r="AA12">
        <v>0.27785686791301201</v>
      </c>
      <c r="AB12">
        <v>5.0569391675573598</v>
      </c>
      <c r="AC12">
        <v>9.4481440862713004</v>
      </c>
      <c r="AJ12">
        <v>0.44255581149223999</v>
      </c>
      <c r="AK12">
        <v>1.34373071704943E-2</v>
      </c>
      <c r="AL12">
        <v>0.54400688133726405</v>
      </c>
    </row>
    <row r="13" spans="1:38" x14ac:dyDescent="0.2">
      <c r="A13">
        <v>70</v>
      </c>
      <c r="B13">
        <v>746</v>
      </c>
      <c r="C13">
        <v>225</v>
      </c>
      <c r="D13">
        <v>0.34832998086640898</v>
      </c>
      <c r="E13">
        <v>34.097529732896</v>
      </c>
      <c r="F13">
        <v>2.5244627814512102</v>
      </c>
      <c r="G13">
        <v>-539.13211186157798</v>
      </c>
      <c r="H13">
        <v>-467.39684248373351</v>
      </c>
      <c r="I13">
        <v>70.387351594803903</v>
      </c>
      <c r="J13">
        <v>40.728154329215798</v>
      </c>
      <c r="K13">
        <v>13.506845885560899</v>
      </c>
      <c r="L13">
        <v>2.904820036400479E-5</v>
      </c>
      <c r="M13">
        <v>1.8015549864424077E-6</v>
      </c>
      <c r="N13" s="1">
        <v>-3.4010717158424802E-7</v>
      </c>
      <c r="O13" s="1">
        <v>1.2775369172367099E-10</v>
      </c>
      <c r="P13" s="1">
        <v>1.2573579425163701E-9</v>
      </c>
      <c r="Q13">
        <v>66.160973121725803</v>
      </c>
      <c r="S13">
        <v>19.0456834487299</v>
      </c>
      <c r="AA13">
        <v>0.27512525789056202</v>
      </c>
      <c r="AB13">
        <v>5.0318393174272797</v>
      </c>
      <c r="AC13">
        <v>9.4863788542263201</v>
      </c>
      <c r="AJ13">
        <v>0.44041523715866499</v>
      </c>
      <c r="AK13">
        <v>1.33068979000167E-2</v>
      </c>
      <c r="AL13">
        <v>0.54627786494131703</v>
      </c>
    </row>
    <row r="14" spans="1:38" x14ac:dyDescent="0.2">
      <c r="A14">
        <v>71</v>
      </c>
      <c r="B14">
        <v>745</v>
      </c>
      <c r="C14">
        <v>225</v>
      </c>
      <c r="D14">
        <v>0.347621175661739</v>
      </c>
      <c r="E14">
        <v>36.993901864865897</v>
      </c>
      <c r="F14">
        <v>2.5244572951290798</v>
      </c>
      <c r="G14">
        <v>-584.80338640190723</v>
      </c>
      <c r="H14">
        <v>-507.1024789231887</v>
      </c>
      <c r="I14">
        <v>76.315776141745701</v>
      </c>
      <c r="J14">
        <v>44.193374118209</v>
      </c>
      <c r="K14">
        <v>14.654199909123101</v>
      </c>
      <c r="L14">
        <v>2.9061157155654208E-5</v>
      </c>
      <c r="M14">
        <v>1.8015484757451146E-6</v>
      </c>
      <c r="N14" s="1">
        <v>-3.8053683092146198E-7</v>
      </c>
      <c r="O14" s="1">
        <v>1.3853311254843401E-10</v>
      </c>
      <c r="P14" s="1">
        <v>1.3970970621096499E-9</v>
      </c>
      <c r="Q14">
        <v>66.158204308550907</v>
      </c>
      <c r="S14">
        <v>19.041446287263799</v>
      </c>
      <c r="AA14">
        <v>0.27227562099821701</v>
      </c>
      <c r="AB14">
        <v>5.0145608960727497</v>
      </c>
      <c r="AC14">
        <v>9.5135128871142491</v>
      </c>
      <c r="AJ14">
        <v>0.438941385433327</v>
      </c>
      <c r="AK14">
        <v>1.31702241949313E-2</v>
      </c>
      <c r="AL14">
        <v>0.54788839037173998</v>
      </c>
    </row>
    <row r="15" spans="1:38" x14ac:dyDescent="0.2">
      <c r="A15">
        <v>83</v>
      </c>
      <c r="B15">
        <v>753</v>
      </c>
      <c r="C15">
        <v>200</v>
      </c>
      <c r="D15">
        <v>0.380052136627202</v>
      </c>
      <c r="E15">
        <v>6.3669326819157597</v>
      </c>
      <c r="F15">
        <v>2.52381078155245</v>
      </c>
      <c r="G15">
        <v>-100.95338555376517</v>
      </c>
      <c r="H15">
        <v>-87.391657352258107</v>
      </c>
      <c r="I15">
        <v>13.2161264936968</v>
      </c>
      <c r="J15">
        <v>7.6057583162647697</v>
      </c>
      <c r="K15">
        <v>2.5227456544897202</v>
      </c>
      <c r="L15">
        <v>2.9064311389378243E-5</v>
      </c>
      <c r="M15">
        <v>1.8050265231965494E-6</v>
      </c>
      <c r="N15" s="1">
        <v>-5.1912109824878503E-8</v>
      </c>
      <c r="O15" s="1">
        <v>2.38989608213145E-11</v>
      </c>
      <c r="P15" s="1">
        <v>2.0165368570643401E-10</v>
      </c>
      <c r="Q15">
        <v>66.228319574857693</v>
      </c>
      <c r="S15">
        <v>19.094426973023602</v>
      </c>
      <c r="AA15">
        <v>0.29962479037331402</v>
      </c>
      <c r="AB15">
        <v>5.3097047632854197</v>
      </c>
      <c r="AC15">
        <v>9.0679238984598705</v>
      </c>
      <c r="AJ15">
        <v>0.46408199514543802</v>
      </c>
      <c r="AK15">
        <v>1.4471477692657201E-2</v>
      </c>
      <c r="AL15">
        <v>0.52144652716190398</v>
      </c>
    </row>
    <row r="16" spans="1:38" x14ac:dyDescent="0.2">
      <c r="A16">
        <v>84</v>
      </c>
      <c r="B16">
        <v>752</v>
      </c>
      <c r="C16">
        <v>200</v>
      </c>
      <c r="D16">
        <v>0.37937911525142798</v>
      </c>
      <c r="E16">
        <v>20.177482273487001</v>
      </c>
      <c r="F16">
        <v>2.5236539345787801</v>
      </c>
      <c r="G16">
        <v>-319.77762309634869</v>
      </c>
      <c r="H16">
        <v>-276.882357158106</v>
      </c>
      <c r="I16">
        <v>41.842916586102199</v>
      </c>
      <c r="J16">
        <v>24.096115061163101</v>
      </c>
      <c r="K16">
        <v>7.99534436834535</v>
      </c>
      <c r="L16">
        <v>2.9023506905729529E-5</v>
      </c>
      <c r="M16">
        <v>1.8042368973612627E-6</v>
      </c>
      <c r="N16" s="1">
        <v>-1.6701590033107699E-7</v>
      </c>
      <c r="O16" s="1">
        <v>7.5758935051086201E-11</v>
      </c>
      <c r="P16" s="1">
        <v>6.4605818884940101E-10</v>
      </c>
      <c r="Q16">
        <v>66.2040764050315</v>
      </c>
      <c r="S16">
        <v>19.084454575639601</v>
      </c>
      <c r="AA16">
        <v>0.29705427267588602</v>
      </c>
      <c r="AB16">
        <v>5.2295362229522304</v>
      </c>
      <c r="AC16">
        <v>9.1848785237007302</v>
      </c>
      <c r="AJ16">
        <v>0.45726055456647302</v>
      </c>
      <c r="AK16">
        <v>1.4353147799025001E-2</v>
      </c>
      <c r="AL16">
        <v>0.52838629763450096</v>
      </c>
    </row>
    <row r="17" spans="1:38" x14ac:dyDescent="0.2">
      <c r="A17">
        <v>85</v>
      </c>
      <c r="B17">
        <v>751</v>
      </c>
      <c r="C17">
        <v>200</v>
      </c>
      <c r="D17">
        <v>0.378704779573308</v>
      </c>
      <c r="E17">
        <v>32.126087727011097</v>
      </c>
      <c r="F17">
        <v>2.5235379605176198</v>
      </c>
      <c r="G17">
        <v>-508.92780873825171</v>
      </c>
      <c r="H17">
        <v>-440.75885882772582</v>
      </c>
      <c r="I17">
        <v>66.561489928746596</v>
      </c>
      <c r="J17">
        <v>38.356963246237498</v>
      </c>
      <c r="K17">
        <v>12.730574387880999</v>
      </c>
      <c r="L17">
        <v>2.8994097643244754E-5</v>
      </c>
      <c r="M17">
        <v>1.8036256044221514E-6</v>
      </c>
      <c r="N17" s="1">
        <v>-2.7090911642390802E-7</v>
      </c>
      <c r="O17" s="1">
        <v>1.2063518546241701E-10</v>
      </c>
      <c r="P17" s="1">
        <v>1.04272270124638E-9</v>
      </c>
      <c r="Q17">
        <v>66.184648500388505</v>
      </c>
      <c r="S17">
        <v>19.0758697503462</v>
      </c>
      <c r="AA17">
        <v>0.29450493985927501</v>
      </c>
      <c r="AB17">
        <v>5.1637359435279899</v>
      </c>
      <c r="AC17">
        <v>9.2812408658779404</v>
      </c>
      <c r="AJ17">
        <v>0.45165755704104998</v>
      </c>
      <c r="AK17">
        <v>1.42347101868591E-2</v>
      </c>
      <c r="AL17">
        <v>0.53410773277209</v>
      </c>
    </row>
    <row r="18" spans="1:38" x14ac:dyDescent="0.2">
      <c r="A18">
        <v>86</v>
      </c>
      <c r="B18">
        <v>750</v>
      </c>
      <c r="C18">
        <v>200</v>
      </c>
      <c r="D18">
        <v>0.37802912573913899</v>
      </c>
      <c r="E18">
        <v>36.690484718845703</v>
      </c>
      <c r="F18">
        <v>2.5234909760601298</v>
      </c>
      <c r="G18">
        <v>-581.06780563794871</v>
      </c>
      <c r="H18">
        <v>-503.34738112200841</v>
      </c>
      <c r="I18">
        <v>75.961906383169705</v>
      </c>
      <c r="J18">
        <v>43.805776495709303</v>
      </c>
      <c r="K18">
        <v>14.5395743701567</v>
      </c>
      <c r="L18">
        <v>2.8989779398757488E-5</v>
      </c>
      <c r="M18">
        <v>1.8033987055805604E-6</v>
      </c>
      <c r="N18" s="1">
        <v>-3.17695102496298E-7</v>
      </c>
      <c r="O18" s="1">
        <v>1.37743085680782E-10</v>
      </c>
      <c r="P18" s="1">
        <v>1.2145532604050899E-9</v>
      </c>
      <c r="Q18">
        <v>66.176035265454303</v>
      </c>
      <c r="S18">
        <v>19.069980259331</v>
      </c>
      <c r="AA18">
        <v>0.29165583008954998</v>
      </c>
      <c r="AB18">
        <v>5.1291017449177296</v>
      </c>
      <c r="AC18">
        <v>9.3332269002074</v>
      </c>
      <c r="AJ18">
        <v>0.44870691498040399</v>
      </c>
      <c r="AK18">
        <v>1.40994736703855E-2</v>
      </c>
      <c r="AL18">
        <v>0.53719361134920995</v>
      </c>
    </row>
    <row r="19" spans="1:38" x14ac:dyDescent="0.2">
      <c r="A19">
        <v>87</v>
      </c>
      <c r="B19">
        <v>749</v>
      </c>
      <c r="C19">
        <v>200</v>
      </c>
      <c r="D19">
        <v>0.37735214988015597</v>
      </c>
      <c r="E19">
        <v>38.286711328574597</v>
      </c>
      <c r="F19">
        <v>2.5234734514052799</v>
      </c>
      <c r="G19">
        <v>-606.20876851110302</v>
      </c>
      <c r="H19">
        <v>-525.24099443916748</v>
      </c>
      <c r="I19">
        <v>79.213201655271106</v>
      </c>
      <c r="J19">
        <v>45.7148855672542</v>
      </c>
      <c r="K19">
        <v>15.1722267207738</v>
      </c>
      <c r="L19">
        <v>2.8997076210903359E-5</v>
      </c>
      <c r="M19">
        <v>1.8033436744741841E-6</v>
      </c>
      <c r="N19" s="1">
        <v>-3.4160504200958599E-7</v>
      </c>
      <c r="O19" s="1">
        <v>1.4367884362102399E-10</v>
      </c>
      <c r="P19" s="1">
        <v>1.2962682115162599E-9</v>
      </c>
      <c r="Q19">
        <v>66.172249138746594</v>
      </c>
      <c r="S19">
        <v>19.065284871149402</v>
      </c>
      <c r="AA19">
        <v>0.28866552767040299</v>
      </c>
      <c r="AB19">
        <v>5.1083549939937303</v>
      </c>
      <c r="AC19">
        <v>9.3654454684397308</v>
      </c>
      <c r="AJ19">
        <v>0.44693892322189999</v>
      </c>
      <c r="AK19">
        <v>1.39563811762985E-2</v>
      </c>
      <c r="AL19">
        <v>0.53910469560179997</v>
      </c>
    </row>
    <row r="20" spans="1:38" x14ac:dyDescent="0.2">
      <c r="A20">
        <v>94</v>
      </c>
      <c r="B20">
        <v>759</v>
      </c>
      <c r="C20">
        <v>175</v>
      </c>
      <c r="D20">
        <v>0.41070629269001901</v>
      </c>
      <c r="E20">
        <v>1.6874134122848601</v>
      </c>
      <c r="F20">
        <v>2.5233729797220401</v>
      </c>
      <c r="G20">
        <v>-26.827728646941019</v>
      </c>
      <c r="H20">
        <v>-23.194734143912921</v>
      </c>
      <c r="I20">
        <v>3.5198319072112598</v>
      </c>
      <c r="J20">
        <v>2.0167813049926102</v>
      </c>
      <c r="K20">
        <v>0.66871343469435796</v>
      </c>
      <c r="L20">
        <v>2.912377805443113E-5</v>
      </c>
      <c r="M20">
        <v>1.8087622504641878E-6</v>
      </c>
      <c r="N20" s="1">
        <v>-1.16548295017618E-8</v>
      </c>
      <c r="O20" s="1">
        <v>6.3372131523716403E-12</v>
      </c>
      <c r="P20" s="1">
        <v>4.7407670525011703E-11</v>
      </c>
      <c r="Q20">
        <v>66.295292420842998</v>
      </c>
      <c r="S20">
        <v>19.145367600003599</v>
      </c>
      <c r="AA20">
        <v>0.32602413118888202</v>
      </c>
      <c r="AB20">
        <v>5.5924976359845298</v>
      </c>
      <c r="AC20">
        <v>8.6408182119798695</v>
      </c>
      <c r="AJ20">
        <v>0.48810016963215302</v>
      </c>
      <c r="AK20">
        <v>1.5724023563851702E-2</v>
      </c>
      <c r="AL20">
        <v>0.49617580680399398</v>
      </c>
    </row>
    <row r="21" spans="1:38" x14ac:dyDescent="0.2">
      <c r="A21">
        <v>95</v>
      </c>
      <c r="B21">
        <v>758</v>
      </c>
      <c r="C21">
        <v>175</v>
      </c>
      <c r="D21">
        <v>0.41006691557969399</v>
      </c>
      <c r="E21">
        <v>10.086586351769199</v>
      </c>
      <c r="F21">
        <v>2.5231328526336401</v>
      </c>
      <c r="G21">
        <v>-160.2772081187394</v>
      </c>
      <c r="H21">
        <v>-138.60368767394596</v>
      </c>
      <c r="I21">
        <v>21.018785283221099</v>
      </c>
      <c r="J21">
        <v>12.0506999339238</v>
      </c>
      <c r="K21">
        <v>3.9976437789397101</v>
      </c>
      <c r="L21">
        <v>2.907262019038017E-5</v>
      </c>
      <c r="M21">
        <v>1.8078190310040236E-6</v>
      </c>
      <c r="N21" s="1">
        <v>-7.0514519227614901E-8</v>
      </c>
      <c r="O21" s="1">
        <v>3.78985351114409E-11</v>
      </c>
      <c r="P21" s="1">
        <v>2.8573367498394198E-10</v>
      </c>
      <c r="Q21">
        <v>66.268105778863202</v>
      </c>
      <c r="S21">
        <v>19.132979827780701</v>
      </c>
      <c r="AA21">
        <v>0.32214772350517001</v>
      </c>
      <c r="AB21">
        <v>5.4994375066195103</v>
      </c>
      <c r="AC21">
        <v>8.7773291632312898</v>
      </c>
      <c r="AJ21">
        <v>0.480203916026059</v>
      </c>
      <c r="AK21">
        <v>1.554437565465E-2</v>
      </c>
      <c r="AL21">
        <v>0.50425170831929</v>
      </c>
    </row>
    <row r="22" spans="1:38" x14ac:dyDescent="0.2">
      <c r="A22">
        <v>96</v>
      </c>
      <c r="B22">
        <v>757</v>
      </c>
      <c r="C22">
        <v>175</v>
      </c>
      <c r="D22">
        <v>0.40942629714119499</v>
      </c>
      <c r="E22">
        <v>26.593962486308801</v>
      </c>
      <c r="F22">
        <v>2.5227803705121401</v>
      </c>
      <c r="G22">
        <v>-422.2592313062267</v>
      </c>
      <c r="H22">
        <v>-365.24333943458163</v>
      </c>
      <c r="I22">
        <v>55.347174558700203</v>
      </c>
      <c r="J22">
        <v>31.7503214409201</v>
      </c>
      <c r="K22">
        <v>10.541529019789399</v>
      </c>
      <c r="L22">
        <v>2.8981396643452281E-5</v>
      </c>
      <c r="M22">
        <v>1.8062404250384927E-6</v>
      </c>
      <c r="N22" s="1">
        <v>-1.85653464420461E-7</v>
      </c>
      <c r="O22" s="1">
        <v>1.0002044826176799E-10</v>
      </c>
      <c r="P22" s="1">
        <v>7.5218168568531804E-10</v>
      </c>
      <c r="Q22">
        <v>66.222797451875095</v>
      </c>
      <c r="S22">
        <v>19.116092786246</v>
      </c>
      <c r="AA22">
        <v>0.31878782002772099</v>
      </c>
      <c r="AB22">
        <v>5.3541987544136704</v>
      </c>
      <c r="AC22">
        <v>8.9881231874373402</v>
      </c>
      <c r="AJ22">
        <v>0.46786536400378398</v>
      </c>
      <c r="AK22">
        <v>1.5393554625179001E-2</v>
      </c>
      <c r="AL22">
        <v>0.51674108137103603</v>
      </c>
    </row>
    <row r="23" spans="1:38" x14ac:dyDescent="0.2">
      <c r="A23">
        <v>97</v>
      </c>
      <c r="B23">
        <v>756</v>
      </c>
      <c r="C23">
        <v>175</v>
      </c>
      <c r="D23">
        <v>0.40878443375601398</v>
      </c>
      <c r="E23">
        <v>34.741962901716597</v>
      </c>
      <c r="F23">
        <v>2.5226157850681399</v>
      </c>
      <c r="G23">
        <v>-551.3715601900617</v>
      </c>
      <c r="H23">
        <v>-477.02965069798643</v>
      </c>
      <c r="I23">
        <v>72.236223574867793</v>
      </c>
      <c r="J23">
        <v>41.465475311818203</v>
      </c>
      <c r="K23">
        <v>13.772197536922199</v>
      </c>
      <c r="L23">
        <v>2.8941285342430202E-5</v>
      </c>
      <c r="M23">
        <v>1.8054836579499149E-6</v>
      </c>
      <c r="N23" s="1">
        <v>-2.4629394432561601E-7</v>
      </c>
      <c r="O23" s="1">
        <v>1.30704670115577E-10</v>
      </c>
      <c r="P23" s="1">
        <v>9.9320222019630692E-10</v>
      </c>
      <c r="Q23">
        <v>66.199911235741396</v>
      </c>
      <c r="S23">
        <v>19.1058021554073</v>
      </c>
      <c r="AA23">
        <v>0.31563812987832601</v>
      </c>
      <c r="AB23">
        <v>5.2762198222526404</v>
      </c>
      <c r="AC23">
        <v>9.1024286567201802</v>
      </c>
      <c r="AJ23">
        <v>0.46123330438820298</v>
      </c>
      <c r="AK23">
        <v>1.5247478501050101E-2</v>
      </c>
      <c r="AL23">
        <v>0.523519217110746</v>
      </c>
    </row>
    <row r="24" spans="1:38" x14ac:dyDescent="0.2">
      <c r="A24">
        <v>98</v>
      </c>
      <c r="B24">
        <v>755</v>
      </c>
      <c r="C24">
        <v>175</v>
      </c>
      <c r="D24">
        <v>0.40814132179156798</v>
      </c>
      <c r="E24">
        <v>37.861486369768301</v>
      </c>
      <c r="F24">
        <v>2.5225480773072202</v>
      </c>
      <c r="G24">
        <v>-600.69503354082019</v>
      </c>
      <c r="H24">
        <v>-519.81791705195815</v>
      </c>
      <c r="I24">
        <v>78.662759800478696</v>
      </c>
      <c r="J24">
        <v>45.185384632051601</v>
      </c>
      <c r="K24">
        <v>15.0092229005937</v>
      </c>
      <c r="L24">
        <v>2.893119174443697E-5</v>
      </c>
      <c r="M24">
        <v>1.8052006645187661E-6</v>
      </c>
      <c r="N24" s="1">
        <v>-2.7531230179598299E-7</v>
      </c>
      <c r="O24" s="1">
        <v>1.4242628387458199E-10</v>
      </c>
      <c r="P24" s="1">
        <v>1.10214742736112E-9</v>
      </c>
      <c r="Q24">
        <v>66.190190350104899</v>
      </c>
      <c r="S24">
        <v>19.099171901293801</v>
      </c>
      <c r="AA24">
        <v>0.31243633811656302</v>
      </c>
      <c r="AB24">
        <v>5.2371752766743898</v>
      </c>
      <c r="AC24">
        <v>9.1610261338101999</v>
      </c>
      <c r="AJ24">
        <v>0.45791063915800301</v>
      </c>
      <c r="AK24">
        <v>1.5095793781977399E-2</v>
      </c>
      <c r="AL24">
        <v>0.52699356706001799</v>
      </c>
    </row>
    <row r="25" spans="1:38" x14ac:dyDescent="0.2">
      <c r="A25">
        <v>99</v>
      </c>
      <c r="B25">
        <v>754</v>
      </c>
      <c r="C25">
        <v>175</v>
      </c>
      <c r="D25">
        <v>0.40749695760112897</v>
      </c>
      <c r="E25">
        <v>39.164895250614599</v>
      </c>
      <c r="F25">
        <v>2.5225161137189098</v>
      </c>
      <c r="G25">
        <v>-621.22299855957658</v>
      </c>
      <c r="H25">
        <v>-537.70022764579289</v>
      </c>
      <c r="I25">
        <v>81.315066848837802</v>
      </c>
      <c r="J25">
        <v>46.7418388171602</v>
      </c>
      <c r="K25">
        <v>15.526122920528801</v>
      </c>
      <c r="L25">
        <v>2.8932978864090753E-5</v>
      </c>
      <c r="M25">
        <v>1.8050996443134666E-6</v>
      </c>
      <c r="N25" s="1">
        <v>-2.9324166972426602E-7</v>
      </c>
      <c r="O25" s="1">
        <v>1.47290040504124E-10</v>
      </c>
      <c r="P25" s="1">
        <v>1.1643629764726499E-9</v>
      </c>
      <c r="Q25">
        <v>66.185525456949605</v>
      </c>
      <c r="S25">
        <v>19.093937855250601</v>
      </c>
      <c r="AA25">
        <v>0.30920668558318298</v>
      </c>
      <c r="AB25">
        <v>5.2130580802246396</v>
      </c>
      <c r="AC25">
        <v>9.1982719219918696</v>
      </c>
      <c r="AJ25">
        <v>0.45585763760743098</v>
      </c>
      <c r="AK25">
        <v>1.4941573579809599E-2</v>
      </c>
      <c r="AL25">
        <v>0.529200788812759</v>
      </c>
    </row>
    <row r="26" spans="1:38" x14ac:dyDescent="0.2">
      <c r="A26">
        <v>110</v>
      </c>
      <c r="B26">
        <v>765</v>
      </c>
      <c r="C26">
        <v>150</v>
      </c>
      <c r="D26">
        <v>0.44100611664981298</v>
      </c>
      <c r="E26">
        <v>7.98593796982325</v>
      </c>
      <c r="F26">
        <v>2.5228241008496699</v>
      </c>
      <c r="G26">
        <v>-127.26089286222168</v>
      </c>
      <c r="H26">
        <v>-109.89117884049104</v>
      </c>
      <c r="I26">
        <v>16.731410703396001</v>
      </c>
      <c r="J26">
        <v>9.5461939106594702</v>
      </c>
      <c r="K26">
        <v>3.1654755347919901</v>
      </c>
      <c r="L26">
        <v>2.9127058732351614E-5</v>
      </c>
      <c r="M26">
        <v>1.8113608132617687E-6</v>
      </c>
      <c r="N26" s="1">
        <v>-4.5622069666825697E-8</v>
      </c>
      <c r="O26" s="1">
        <v>3.0018709444954799E-11</v>
      </c>
      <c r="P26" s="1">
        <v>1.9677359912226601E-10</v>
      </c>
      <c r="Q26">
        <v>66.326389381310705</v>
      </c>
      <c r="S26">
        <v>19.191924973320202</v>
      </c>
      <c r="AA26">
        <v>0.357178390281984</v>
      </c>
      <c r="AB26">
        <v>5.7838517520550896</v>
      </c>
      <c r="AC26">
        <v>8.3406555030319804</v>
      </c>
      <c r="AJ26">
        <v>0.50431320755388698</v>
      </c>
      <c r="AK26">
        <v>1.7209932036346898E-2</v>
      </c>
      <c r="AL26">
        <v>0.478476860409765</v>
      </c>
    </row>
    <row r="27" spans="1:38" x14ac:dyDescent="0.2">
      <c r="A27">
        <v>111</v>
      </c>
      <c r="B27">
        <v>764</v>
      </c>
      <c r="C27">
        <v>150</v>
      </c>
      <c r="D27">
        <v>0.44039965289495597</v>
      </c>
      <c r="E27">
        <v>22.9532352245811</v>
      </c>
      <c r="F27">
        <v>2.5222285203363501</v>
      </c>
      <c r="G27">
        <v>-365.41273769387078</v>
      </c>
      <c r="H27">
        <v>-315.61029910224494</v>
      </c>
      <c r="I27">
        <v>48.018549478499502</v>
      </c>
      <c r="J27">
        <v>27.4110705485332</v>
      </c>
      <c r="K27">
        <v>9.1003789067931695</v>
      </c>
      <c r="L27">
        <v>2.9000182727598071E-5</v>
      </c>
      <c r="M27">
        <v>1.8091920860064509E-6</v>
      </c>
      <c r="N27" s="1">
        <v>-1.2923771246516701E-7</v>
      </c>
      <c r="O27" s="1">
        <v>8.6411514835511197E-11</v>
      </c>
      <c r="P27" s="1">
        <v>5.5968381652914201E-10</v>
      </c>
      <c r="Q27">
        <v>66.267417446099302</v>
      </c>
      <c r="S27">
        <v>19.167269266674801</v>
      </c>
      <c r="AA27">
        <v>0.350597474728918</v>
      </c>
      <c r="AB27">
        <v>5.5877978159541701</v>
      </c>
      <c r="AC27">
        <v>8.6269179965426606</v>
      </c>
      <c r="AJ27">
        <v>0.48770129916812999</v>
      </c>
      <c r="AK27">
        <v>1.6909579305006198E-2</v>
      </c>
      <c r="AL27">
        <v>0.49538912152686299</v>
      </c>
    </row>
    <row r="28" spans="1:38" x14ac:dyDescent="0.2">
      <c r="A28">
        <v>112</v>
      </c>
      <c r="B28">
        <v>763</v>
      </c>
      <c r="C28">
        <v>150</v>
      </c>
      <c r="D28">
        <v>0.43979201853014099</v>
      </c>
      <c r="E28">
        <v>32.132618538402703</v>
      </c>
      <c r="F28">
        <v>2.5218979590187001</v>
      </c>
      <c r="G28">
        <v>-511.20448829479216</v>
      </c>
      <c r="H28">
        <v>-441.63226139382266</v>
      </c>
      <c r="I28">
        <v>67.144937413472405</v>
      </c>
      <c r="J28">
        <v>38.3513237283534</v>
      </c>
      <c r="K28">
        <v>12.741442778638699</v>
      </c>
      <c r="L28">
        <v>2.8926337972648102E-5</v>
      </c>
      <c r="M28">
        <v>1.8079052383744659E-6</v>
      </c>
      <c r="N28" s="1">
        <v>-1.8157016090134399E-7</v>
      </c>
      <c r="O28" s="1">
        <v>1.2106615286723001E-10</v>
      </c>
      <c r="P28" s="1">
        <v>7.8504342415022295E-10</v>
      </c>
      <c r="Q28">
        <v>66.231159310447893</v>
      </c>
      <c r="S28">
        <v>19.151246217832</v>
      </c>
      <c r="AA28">
        <v>0.34583863564450201</v>
      </c>
      <c r="AB28">
        <v>5.46499199905882</v>
      </c>
      <c r="AC28">
        <v>8.8067638370166001</v>
      </c>
      <c r="AJ28">
        <v>0.47727903080553102</v>
      </c>
      <c r="AK28">
        <v>1.6690414532173899E-2</v>
      </c>
      <c r="AL28">
        <v>0.50603055466229396</v>
      </c>
    </row>
    <row r="29" spans="1:38" x14ac:dyDescent="0.2">
      <c r="A29">
        <v>113</v>
      </c>
      <c r="B29">
        <v>762</v>
      </c>
      <c r="C29">
        <v>150</v>
      </c>
      <c r="D29">
        <v>0.439183210162781</v>
      </c>
      <c r="E29">
        <v>37.137396381594797</v>
      </c>
      <c r="F29">
        <v>2.5217219040360801</v>
      </c>
      <c r="G29">
        <v>-590.55729444116889</v>
      </c>
      <c r="H29">
        <v>-510.29984815783888</v>
      </c>
      <c r="I29">
        <v>77.5321898114573</v>
      </c>
      <c r="J29">
        <v>44.311670036768902</v>
      </c>
      <c r="K29">
        <v>14.7269991675748</v>
      </c>
      <c r="L29">
        <v>2.8888824441371172E-5</v>
      </c>
      <c r="M29">
        <v>1.8072145886092719E-6</v>
      </c>
      <c r="N29" s="1">
        <v>-2.13349832807767E-7</v>
      </c>
      <c r="O29" s="1">
        <v>1.39966984252162E-10</v>
      </c>
      <c r="P29" s="1">
        <v>9.1722907380764795E-10</v>
      </c>
      <c r="Q29">
        <v>66.210846363370294</v>
      </c>
      <c r="S29">
        <v>19.140635147041699</v>
      </c>
      <c r="AA29">
        <v>0.34182414209858603</v>
      </c>
      <c r="AB29">
        <v>5.3919073840228098</v>
      </c>
      <c r="AC29">
        <v>8.9147869634665202</v>
      </c>
      <c r="AJ29">
        <v>0.47107036130560198</v>
      </c>
      <c r="AK29">
        <v>1.6502771230173199E-2</v>
      </c>
      <c r="AL29">
        <v>0.51242686746422395</v>
      </c>
    </row>
    <row r="30" spans="1:38" x14ac:dyDescent="0.2">
      <c r="A30">
        <v>114</v>
      </c>
      <c r="B30">
        <v>761</v>
      </c>
      <c r="C30">
        <v>150</v>
      </c>
      <c r="D30">
        <v>0.43857322438717999</v>
      </c>
      <c r="E30">
        <v>39.211868031541798</v>
      </c>
      <c r="F30">
        <v>2.5216413381222802</v>
      </c>
      <c r="G30">
        <v>-623.35326195934749</v>
      </c>
      <c r="H30">
        <v>-538.75788795923404</v>
      </c>
      <c r="I30">
        <v>81.8018411256718</v>
      </c>
      <c r="J30">
        <v>46.782252919724201</v>
      </c>
      <c r="K30">
        <v>15.550136904378499</v>
      </c>
      <c r="L30">
        <v>2.8876666826657066E-5</v>
      </c>
      <c r="M30">
        <v>1.806933662749698E-6</v>
      </c>
      <c r="N30" s="1">
        <v>-2.31125731137463E-7</v>
      </c>
      <c r="O30" s="1">
        <v>1.4778206073742299E-10</v>
      </c>
      <c r="P30" s="1">
        <v>9.8531693074325201E-10</v>
      </c>
      <c r="Q30">
        <v>66.201725988938705</v>
      </c>
      <c r="S30">
        <v>19.133569101648401</v>
      </c>
      <c r="AA30">
        <v>0.33812269698870201</v>
      </c>
      <c r="AB30">
        <v>5.3530585619697097</v>
      </c>
      <c r="AC30">
        <v>8.9735236504544496</v>
      </c>
      <c r="AJ30">
        <v>0.46776823093339598</v>
      </c>
      <c r="AK30">
        <v>1.6327280089535001E-2</v>
      </c>
      <c r="AL30">
        <v>0.51590448897706798</v>
      </c>
    </row>
    <row r="31" spans="1:38" x14ac:dyDescent="0.2">
      <c r="A31">
        <v>129</v>
      </c>
      <c r="B31">
        <v>774</v>
      </c>
      <c r="C31">
        <v>125</v>
      </c>
      <c r="D31">
        <v>0.47267392446163797</v>
      </c>
      <c r="E31">
        <v>5.2700910885538796</v>
      </c>
      <c r="F31">
        <v>2.5231165021424302</v>
      </c>
      <c r="G31">
        <v>-84.283682233057959</v>
      </c>
      <c r="H31">
        <v>-72.642639021591521</v>
      </c>
      <c r="I31">
        <v>11.1168822150278</v>
      </c>
      <c r="J31">
        <v>6.3064077930229496</v>
      </c>
      <c r="K31">
        <v>2.0887228489365901</v>
      </c>
      <c r="L31">
        <v>2.9233525413172516E-5</v>
      </c>
      <c r="M31">
        <v>1.8155645809695375E-6</v>
      </c>
      <c r="N31" s="1">
        <v>-2.3364025235958998E-8</v>
      </c>
      <c r="O31" s="1">
        <v>1.9798850796487899E-11</v>
      </c>
      <c r="P31" s="1">
        <v>1.10302686687753E-10</v>
      </c>
      <c r="Q31">
        <v>66.393604331606099</v>
      </c>
      <c r="S31">
        <v>19.279391021336199</v>
      </c>
      <c r="AA31">
        <v>0.413655085711718</v>
      </c>
      <c r="AB31">
        <v>6.1629402811028404</v>
      </c>
      <c r="AC31">
        <v>7.7504092802430096</v>
      </c>
      <c r="AJ31">
        <v>0.536340286029104</v>
      </c>
      <c r="AK31">
        <v>1.9893061181809099E-2</v>
      </c>
      <c r="AL31">
        <v>0.443766652789086</v>
      </c>
    </row>
    <row r="32" spans="1:38" x14ac:dyDescent="0.2">
      <c r="A32">
        <v>130</v>
      </c>
      <c r="B32">
        <v>773</v>
      </c>
      <c r="C32">
        <v>125</v>
      </c>
      <c r="D32">
        <v>0.472102948907902</v>
      </c>
      <c r="E32">
        <v>12.216106542885701</v>
      </c>
      <c r="F32">
        <v>2.52254915508738</v>
      </c>
      <c r="G32">
        <v>-195.22073566108455</v>
      </c>
      <c r="H32">
        <v>-168.29416430606375</v>
      </c>
      <c r="I32">
        <v>25.7387290111559</v>
      </c>
      <c r="J32">
        <v>14.608598718363</v>
      </c>
      <c r="K32">
        <v>4.8427625357661501</v>
      </c>
      <c r="L32">
        <v>2.9148384512193149E-5</v>
      </c>
      <c r="M32">
        <v>1.8140975711798493E-6</v>
      </c>
      <c r="N32" s="1">
        <v>-5.4147656655835402E-8</v>
      </c>
      <c r="O32" s="1">
        <v>4.5943872812976E-11</v>
      </c>
      <c r="P32" s="1">
        <v>2.5553155063896701E-10</v>
      </c>
      <c r="Q32">
        <v>66.357195960880404</v>
      </c>
      <c r="S32">
        <v>19.256333409368999</v>
      </c>
      <c r="AA32">
        <v>0.40312771532225999</v>
      </c>
      <c r="AB32">
        <v>6.02135765161343</v>
      </c>
      <c r="AC32">
        <v>7.96198526281478</v>
      </c>
      <c r="AJ32">
        <v>0.52439296900553201</v>
      </c>
      <c r="AK32">
        <v>1.9400632266816799E-2</v>
      </c>
      <c r="AL32">
        <v>0.45620639872765001</v>
      </c>
    </row>
    <row r="33" spans="1:38" x14ac:dyDescent="0.2">
      <c r="A33">
        <v>131</v>
      </c>
      <c r="B33">
        <v>772</v>
      </c>
      <c r="C33">
        <v>125</v>
      </c>
      <c r="D33">
        <v>0.47153088073482102</v>
      </c>
      <c r="E33">
        <v>28.6345863373033</v>
      </c>
      <c r="F33">
        <v>2.5215238146013501</v>
      </c>
      <c r="G33">
        <v>-456.96099479370878</v>
      </c>
      <c r="H33">
        <v>-394.02266251213746</v>
      </c>
      <c r="I33">
        <v>60.219425232331503</v>
      </c>
      <c r="J33">
        <v>34.193503910237602</v>
      </c>
      <c r="K33">
        <v>11.356064206687</v>
      </c>
      <c r="L33">
        <v>2.8961148397915951E-5</v>
      </c>
      <c r="M33">
        <v>1.8109157280108782E-6</v>
      </c>
      <c r="N33" s="1">
        <v>-1.2185945413395499E-7</v>
      </c>
      <c r="O33" s="1">
        <v>1.0795456603499901E-10</v>
      </c>
      <c r="P33" s="1">
        <v>5.8359530342489002E-10</v>
      </c>
      <c r="Q33">
        <v>66.274846261536595</v>
      </c>
      <c r="S33">
        <v>19.2169714560664</v>
      </c>
      <c r="AA33">
        <v>0.389868877362816</v>
      </c>
      <c r="AB33">
        <v>5.7346532840545903</v>
      </c>
      <c r="AC33">
        <v>8.3836601209794193</v>
      </c>
      <c r="AJ33">
        <v>0.50014727310361995</v>
      </c>
      <c r="AK33">
        <v>1.8789710873563299E-2</v>
      </c>
      <c r="AL33">
        <v>0.48106301602281598</v>
      </c>
    </row>
    <row r="34" spans="1:38" x14ac:dyDescent="0.2">
      <c r="A34">
        <v>132</v>
      </c>
      <c r="B34">
        <v>771</v>
      </c>
      <c r="C34">
        <v>125</v>
      </c>
      <c r="D34">
        <v>0.47095771680314102</v>
      </c>
      <c r="E34">
        <v>35.225583214218801</v>
      </c>
      <c r="F34">
        <v>2.5211380551068499</v>
      </c>
      <c r="G34">
        <v>-561.76003561076686</v>
      </c>
      <c r="H34">
        <v>-484.49652537705367</v>
      </c>
      <c r="I34">
        <v>73.996562020507795</v>
      </c>
      <c r="J34">
        <v>42.039609665585999</v>
      </c>
      <c r="K34">
        <v>13.972096110669201</v>
      </c>
      <c r="L34">
        <v>2.8887036749151045E-5</v>
      </c>
      <c r="M34">
        <v>1.8096410855757468E-6</v>
      </c>
      <c r="N34" s="1">
        <v>-1.50278000956833E-7</v>
      </c>
      <c r="O34" s="1">
        <v>1.32918717366259E-10</v>
      </c>
      <c r="P34" s="1">
        <v>7.18698083132989E-10</v>
      </c>
      <c r="Q34">
        <v>66.240348535401907</v>
      </c>
      <c r="S34">
        <v>19.199020717787</v>
      </c>
      <c r="AA34">
        <v>0.38310890726082097</v>
      </c>
      <c r="AB34">
        <v>5.6107167569029102</v>
      </c>
      <c r="AC34">
        <v>8.5668050826472104</v>
      </c>
      <c r="AJ34">
        <v>0.48964461081867799</v>
      </c>
      <c r="AK34">
        <v>1.8475477588392401E-2</v>
      </c>
      <c r="AL34">
        <v>0.49187991159292899</v>
      </c>
    </row>
    <row r="35" spans="1:38" x14ac:dyDescent="0.2">
      <c r="A35">
        <v>133</v>
      </c>
      <c r="B35">
        <v>770</v>
      </c>
      <c r="C35">
        <v>125</v>
      </c>
      <c r="D35">
        <v>0.47038345396155901</v>
      </c>
      <c r="E35">
        <v>38.762482513041199</v>
      </c>
      <c r="F35">
        <v>2.5209313688055999</v>
      </c>
      <c r="G35">
        <v>-617.88138613632759</v>
      </c>
      <c r="H35">
        <v>-533.01779580312541</v>
      </c>
      <c r="I35">
        <v>81.353199763411098</v>
      </c>
      <c r="J35">
        <v>46.246310436381002</v>
      </c>
      <c r="K35">
        <v>15.3762545830061</v>
      </c>
      <c r="L35">
        <v>2.8848519731200652E-5</v>
      </c>
      <c r="M35">
        <v>1.8089629473498959E-6</v>
      </c>
      <c r="N35" s="1">
        <v>-1.6815095220686799E-7</v>
      </c>
      <c r="O35" s="1">
        <v>1.4632135533347399E-10</v>
      </c>
      <c r="P35" s="1">
        <v>7.9878776059642601E-10</v>
      </c>
      <c r="Q35">
        <v>66.221336688632306</v>
      </c>
      <c r="S35">
        <v>19.187347493273101</v>
      </c>
      <c r="AA35">
        <v>0.37791453204766901</v>
      </c>
      <c r="AB35">
        <v>5.5377470000652904</v>
      </c>
      <c r="AC35">
        <v>8.67565428598156</v>
      </c>
      <c r="AJ35">
        <v>0.483454846196261</v>
      </c>
      <c r="AK35">
        <v>1.8231701013098098E-2</v>
      </c>
      <c r="AL35">
        <v>0.49831345279063999</v>
      </c>
    </row>
    <row r="36" spans="1:38" x14ac:dyDescent="0.2">
      <c r="A36">
        <v>134</v>
      </c>
      <c r="B36">
        <v>769</v>
      </c>
      <c r="C36">
        <v>125</v>
      </c>
      <c r="D36">
        <v>0.46980808904668597</v>
      </c>
      <c r="E36">
        <v>40.378834416323699</v>
      </c>
      <c r="F36">
        <v>2.5208268374319802</v>
      </c>
      <c r="G36">
        <v>-643.44054852414104</v>
      </c>
      <c r="H36">
        <v>-555.18904485610858</v>
      </c>
      <c r="I36">
        <v>84.682151003245707</v>
      </c>
      <c r="J36">
        <v>48.168041174552798</v>
      </c>
      <c r="K36">
        <v>16.018091293195798</v>
      </c>
      <c r="L36">
        <v>2.8832559752973164E-5</v>
      </c>
      <c r="M36">
        <v>1.8086585813309209E-6</v>
      </c>
      <c r="N36" s="1">
        <v>-1.7973562776259899E-7</v>
      </c>
      <c r="O36" s="1">
        <v>1.5243548789605599E-10</v>
      </c>
      <c r="P36" s="1">
        <v>8.4531966980234696E-10</v>
      </c>
      <c r="Q36">
        <v>66.212258663758206</v>
      </c>
      <c r="S36">
        <v>19.179409342448199</v>
      </c>
      <c r="AA36">
        <v>0.37348370933681302</v>
      </c>
      <c r="AB36">
        <v>5.4967062139601399</v>
      </c>
      <c r="AC36">
        <v>8.7381420704965596</v>
      </c>
      <c r="AJ36">
        <v>0.479971511378676</v>
      </c>
      <c r="AK36">
        <v>1.8021684770566999E-2</v>
      </c>
      <c r="AL36">
        <v>0.50200680385075602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94050-C2BF-4248-AD4C-5D08977683D8}">
  <sheetPr codeName="Sheet11"/>
  <dimension ref="A1:AL10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24</v>
      </c>
      <c r="B2">
        <v>740</v>
      </c>
      <c r="C2">
        <v>275</v>
      </c>
      <c r="D2">
        <v>0.28977002418201098</v>
      </c>
      <c r="E2">
        <v>6.5544281105174802</v>
      </c>
      <c r="F2">
        <v>2.5262570318264199</v>
      </c>
      <c r="G2">
        <v>-103.27150378081582</v>
      </c>
      <c r="H2">
        <v>-89.638152192999044</v>
      </c>
      <c r="I2">
        <v>13.4563999287536</v>
      </c>
      <c r="J2">
        <v>7.8274482227847297</v>
      </c>
      <c r="K2">
        <v>2.5945214710708799</v>
      </c>
      <c r="L2">
        <v>2.9021359857580924E-5</v>
      </c>
      <c r="M2">
        <v>1.7958068865273792E-6</v>
      </c>
      <c r="N2" s="1">
        <v>-7.8075740046959798E-8</v>
      </c>
      <c r="O2" s="1">
        <v>2.45127120416087E-11</v>
      </c>
      <c r="P2" s="1">
        <v>2.7774355072872902E-10</v>
      </c>
      <c r="Q2">
        <v>66.071758924919095</v>
      </c>
      <c r="S2">
        <v>18.9959345802305</v>
      </c>
      <c r="AA2">
        <v>0.25489884517954597</v>
      </c>
      <c r="AB2">
        <v>4.7026071367524001</v>
      </c>
      <c r="AC2">
        <v>9.9748005129183301</v>
      </c>
      <c r="AJ2">
        <v>0.41228688486921999</v>
      </c>
      <c r="AK2">
        <v>1.2349218630154001E-2</v>
      </c>
      <c r="AL2">
        <v>0.57536389650062403</v>
      </c>
    </row>
    <row r="3" spans="1:38" x14ac:dyDescent="0.2">
      <c r="A3">
        <v>24</v>
      </c>
      <c r="B3">
        <v>740</v>
      </c>
      <c r="C3">
        <v>275</v>
      </c>
      <c r="D3">
        <v>0.28977002418201098</v>
      </c>
      <c r="E3">
        <v>2.88588363832051</v>
      </c>
      <c r="F3">
        <v>2.57201803678897</v>
      </c>
      <c r="G3">
        <v>-46.571235691019439</v>
      </c>
      <c r="H3">
        <v>-40.474026017127549</v>
      </c>
      <c r="I3">
        <v>6.0180720267402501</v>
      </c>
      <c r="J3">
        <v>3.55307165844683</v>
      </c>
      <c r="K3">
        <v>1.12203087110671</v>
      </c>
      <c r="L3">
        <v>3.240428097493607E-5</v>
      </c>
      <c r="M3">
        <v>1.8179728051720272E-6</v>
      </c>
      <c r="N3" s="1">
        <v>-7.3002162473977905E-8</v>
      </c>
      <c r="O3" s="1">
        <v>9.7183417591734303E-12</v>
      </c>
      <c r="P3" s="1">
        <v>2.35165815619089E-10</v>
      </c>
      <c r="Q3">
        <v>65.507859025285299</v>
      </c>
      <c r="S3">
        <v>21.130969272377801</v>
      </c>
      <c r="AA3">
        <v>2.1479026597817898</v>
      </c>
      <c r="AB3">
        <v>9.0432574644328803</v>
      </c>
      <c r="AC3">
        <v>2.1700115781221698</v>
      </c>
      <c r="AJ3">
        <v>0.77571945356538496</v>
      </c>
      <c r="AK3">
        <v>0.101813454567812</v>
      </c>
      <c r="AL3">
        <v>0.12246709186680201</v>
      </c>
    </row>
    <row r="4" spans="1:38" x14ac:dyDescent="0.2">
      <c r="A4">
        <v>25</v>
      </c>
      <c r="B4">
        <v>739</v>
      </c>
      <c r="C4">
        <v>275</v>
      </c>
      <c r="D4">
        <v>0.28899916020352701</v>
      </c>
      <c r="E4">
        <v>13.7745648446578</v>
      </c>
      <c r="F4">
        <v>2.52630582762152</v>
      </c>
      <c r="G4">
        <v>-217.01763501305305</v>
      </c>
      <c r="H4">
        <v>-188.40848034684791</v>
      </c>
      <c r="I4">
        <v>28.265726094161099</v>
      </c>
      <c r="J4">
        <v>16.4568495018625</v>
      </c>
      <c r="K4">
        <v>5.4524534179721202</v>
      </c>
      <c r="L4">
        <v>2.9069165636848298E-5</v>
      </c>
      <c r="M4">
        <v>1.7962425580649277E-6</v>
      </c>
      <c r="N4" s="1">
        <v>-1.7071960695058901E-7</v>
      </c>
      <c r="O4" s="1">
        <v>5.1458886494854597E-11</v>
      </c>
      <c r="P4" s="1">
        <v>6.0263964104464396E-10</v>
      </c>
      <c r="Q4">
        <v>66.081363673884795</v>
      </c>
      <c r="S4">
        <v>18.9943666758459</v>
      </c>
      <c r="AA4">
        <v>0.25136417114236898</v>
      </c>
      <c r="AB4">
        <v>4.7199003396506498</v>
      </c>
      <c r="AC4">
        <v>9.9530051394761596</v>
      </c>
      <c r="AJ4">
        <v>0.41376673186134999</v>
      </c>
      <c r="AK4">
        <v>1.21769046468857E-2</v>
      </c>
      <c r="AL4">
        <v>0.57405636349176303</v>
      </c>
    </row>
    <row r="5" spans="1:38" x14ac:dyDescent="0.2">
      <c r="A5">
        <v>25</v>
      </c>
      <c r="B5">
        <v>739</v>
      </c>
      <c r="C5">
        <v>275</v>
      </c>
      <c r="D5">
        <v>0.28899916020352701</v>
      </c>
      <c r="E5">
        <v>6.8731189884846797</v>
      </c>
      <c r="F5">
        <v>2.5715952809078502</v>
      </c>
      <c r="G5">
        <v>-110.89426913852635</v>
      </c>
      <c r="H5">
        <v>-96.394694861353045</v>
      </c>
      <c r="I5">
        <v>14.3255192186665</v>
      </c>
      <c r="J5">
        <v>8.4682546181252505</v>
      </c>
      <c r="K5">
        <v>2.67270633116819</v>
      </c>
      <c r="L5">
        <v>3.2499091321195514E-5</v>
      </c>
      <c r="M5">
        <v>1.8193889274205437E-6</v>
      </c>
      <c r="N5" s="1">
        <v>-1.7983815460091501E-7</v>
      </c>
      <c r="O5" s="1">
        <v>2.3119566384248599E-11</v>
      </c>
      <c r="P5" s="1">
        <v>5.7705087186069195E-10</v>
      </c>
      <c r="Q5">
        <v>65.559779622480093</v>
      </c>
      <c r="S5">
        <v>21.0923073777751</v>
      </c>
      <c r="AA5">
        <v>2.1038912393130502</v>
      </c>
      <c r="AB5">
        <v>9.05760254832024</v>
      </c>
      <c r="AC5">
        <v>2.1864192121113701</v>
      </c>
      <c r="AJ5">
        <v>0.77689535141299304</v>
      </c>
      <c r="AK5">
        <v>9.9720245413377998E-2</v>
      </c>
      <c r="AL5">
        <v>0.123384403173628</v>
      </c>
    </row>
    <row r="6" spans="1:38" x14ac:dyDescent="0.2">
      <c r="A6">
        <v>26</v>
      </c>
      <c r="B6">
        <v>738</v>
      </c>
      <c r="C6">
        <v>275</v>
      </c>
      <c r="D6">
        <v>0.28822677149780002</v>
      </c>
      <c r="E6">
        <v>32.0372777058464</v>
      </c>
      <c r="F6">
        <v>2.5264443499520399</v>
      </c>
      <c r="G6">
        <v>-504.86411967490858</v>
      </c>
      <c r="H6">
        <v>-438.39744907417395</v>
      </c>
      <c r="I6">
        <v>65.733739406353706</v>
      </c>
      <c r="J6">
        <v>38.312300515623797</v>
      </c>
      <c r="K6">
        <v>12.6807771192167</v>
      </c>
      <c r="L6">
        <v>2.9182337278401401E-5</v>
      </c>
      <c r="M6">
        <v>1.7975807665304972E-6</v>
      </c>
      <c r="N6" s="1">
        <v>-4.2052870634081597E-7</v>
      </c>
      <c r="O6" s="1">
        <v>1.1944023194971699E-10</v>
      </c>
      <c r="P6" s="1">
        <v>1.4689610872679401E-9</v>
      </c>
      <c r="Q6">
        <v>66.117306220496204</v>
      </c>
      <c r="S6">
        <v>18.997495070184399</v>
      </c>
      <c r="AA6">
        <v>0.245558426618189</v>
      </c>
      <c r="AB6">
        <v>4.8081978700891304</v>
      </c>
      <c r="AC6">
        <v>9.8314424126119899</v>
      </c>
      <c r="AJ6">
        <v>0.42131854036934901</v>
      </c>
      <c r="AK6">
        <v>1.18903290012803E-2</v>
      </c>
      <c r="AL6">
        <v>0.56679113062937003</v>
      </c>
    </row>
    <row r="7" spans="1:38" x14ac:dyDescent="0.2">
      <c r="A7">
        <v>26</v>
      </c>
      <c r="B7">
        <v>738</v>
      </c>
      <c r="C7">
        <v>275</v>
      </c>
      <c r="D7">
        <v>0.28822677149780002</v>
      </c>
      <c r="E7">
        <v>17.781006534064701</v>
      </c>
      <c r="F7">
        <v>2.5698943447891902</v>
      </c>
      <c r="G7">
        <v>-286.76726023970895</v>
      </c>
      <c r="H7">
        <v>-249.30761917095484</v>
      </c>
      <c r="I7">
        <v>37.046571793259297</v>
      </c>
      <c r="J7">
        <v>21.926149976058198</v>
      </c>
      <c r="K7">
        <v>6.9189640306101099</v>
      </c>
      <c r="L7">
        <v>3.2641394511763476E-5</v>
      </c>
      <c r="M7">
        <v>1.8231375437370392E-6</v>
      </c>
      <c r="N7" s="1">
        <v>-4.8208735083040301E-7</v>
      </c>
      <c r="O7" s="1">
        <v>5.9877792920925298E-11</v>
      </c>
      <c r="P7" s="1">
        <v>1.54060581163498E-9</v>
      </c>
      <c r="Q7">
        <v>65.724238752141304</v>
      </c>
      <c r="S7">
        <v>20.963266308682901</v>
      </c>
      <c r="AA7">
        <v>1.95905674643102</v>
      </c>
      <c r="AB7">
        <v>9.0857929617152298</v>
      </c>
      <c r="AC7">
        <v>2.2676452310294302</v>
      </c>
      <c r="AJ7">
        <v>0.77920667467984495</v>
      </c>
      <c r="AK7">
        <v>9.2842672685639796E-2</v>
      </c>
      <c r="AL7">
        <v>0.12795065263451499</v>
      </c>
    </row>
    <row r="8" spans="1:38" x14ac:dyDescent="0.2">
      <c r="A8">
        <v>27</v>
      </c>
      <c r="B8">
        <v>737</v>
      </c>
      <c r="C8">
        <v>275</v>
      </c>
      <c r="D8">
        <v>0.28745285353660599</v>
      </c>
      <c r="E8">
        <v>35.750632216863401</v>
      </c>
      <c r="F8">
        <v>2.52648127443593</v>
      </c>
      <c r="G8">
        <v>-563.31945069983783</v>
      </c>
      <c r="H8">
        <v>-489.26265114915913</v>
      </c>
      <c r="I8">
        <v>73.312675890391205</v>
      </c>
      <c r="J8">
        <v>42.769276262435397</v>
      </c>
      <c r="K8">
        <v>14.150365007096701</v>
      </c>
      <c r="L8">
        <v>2.92240484663593E-5</v>
      </c>
      <c r="M8">
        <v>1.797895789457156E-6</v>
      </c>
      <c r="N8" s="1">
        <v>-4.8676605591870003E-7</v>
      </c>
      <c r="O8" s="1">
        <v>1.3314481024541701E-10</v>
      </c>
      <c r="P8" s="1">
        <v>1.68897282145166E-9</v>
      </c>
      <c r="Q8">
        <v>66.123076091533704</v>
      </c>
      <c r="S8">
        <v>18.995182970706399</v>
      </c>
      <c r="AA8">
        <v>0.242304600347411</v>
      </c>
      <c r="AB8">
        <v>4.8149942489530204</v>
      </c>
      <c r="AC8">
        <v>9.8244420884593904</v>
      </c>
      <c r="AJ8">
        <v>0.42189955881588598</v>
      </c>
      <c r="AK8">
        <v>1.17323699389974E-2</v>
      </c>
      <c r="AL8">
        <v>0.56636807124511501</v>
      </c>
    </row>
    <row r="9" spans="1:38" x14ac:dyDescent="0.2">
      <c r="A9">
        <v>27</v>
      </c>
      <c r="B9">
        <v>737</v>
      </c>
      <c r="C9">
        <v>275</v>
      </c>
      <c r="D9">
        <v>0.28745285353660599</v>
      </c>
      <c r="E9">
        <v>20.093770106715301</v>
      </c>
      <c r="F9">
        <v>2.5696671802598199</v>
      </c>
      <c r="G9">
        <v>-324.01454127245563</v>
      </c>
      <c r="H9">
        <v>-281.74724329969644</v>
      </c>
      <c r="I9">
        <v>41.842595627143702</v>
      </c>
      <c r="J9">
        <v>24.7967460672341</v>
      </c>
      <c r="K9">
        <v>7.8196002428157598</v>
      </c>
      <c r="L9">
        <v>3.2732613594570022E-5</v>
      </c>
      <c r="M9">
        <v>1.8241709188743731E-6</v>
      </c>
      <c r="N9" s="1">
        <v>-5.6328895144546195E-7</v>
      </c>
      <c r="O9" s="1">
        <v>6.7556436257449698E-11</v>
      </c>
      <c r="P9" s="1">
        <v>1.7934531178792899E-9</v>
      </c>
      <c r="Q9">
        <v>65.757642083258602</v>
      </c>
      <c r="S9">
        <v>20.939045607535299</v>
      </c>
      <c r="AA9">
        <v>1.93128020932071</v>
      </c>
      <c r="AB9">
        <v>9.0967327771307307</v>
      </c>
      <c r="AC9">
        <v>2.2752993227545302</v>
      </c>
      <c r="AJ9">
        <v>0.78010298077279805</v>
      </c>
      <c r="AK9">
        <v>9.1521384341821999E-2</v>
      </c>
      <c r="AL9">
        <v>0.12837563488537901</v>
      </c>
    </row>
    <row r="10" spans="1:38" x14ac:dyDescent="0.2">
      <c r="A10">
        <v>28</v>
      </c>
      <c r="B10">
        <v>736</v>
      </c>
      <c r="C10">
        <v>275</v>
      </c>
      <c r="D10">
        <v>0.28667740177377199</v>
      </c>
      <c r="E10">
        <v>36.993755385028003</v>
      </c>
      <c r="F10">
        <v>2.5265017276461599</v>
      </c>
      <c r="G10">
        <v>-582.81148110049128</v>
      </c>
      <c r="H10">
        <v>-506.30250464767471</v>
      </c>
      <c r="I10">
        <v>75.815266761944599</v>
      </c>
      <c r="J10">
        <v>44.269735503716397</v>
      </c>
      <c r="K10">
        <v>14.6422838267732</v>
      </c>
      <c r="L10">
        <v>2.9255298593447006E-5</v>
      </c>
      <c r="M10">
        <v>1.7980510655117312E-6</v>
      </c>
      <c r="N10" s="1">
        <v>-5.2077464763102895E-7</v>
      </c>
      <c r="O10" s="1">
        <v>1.3764890545380901E-10</v>
      </c>
      <c r="P10" s="1">
        <v>1.7961252988747E-9</v>
      </c>
      <c r="Q10">
        <v>66.124075472142707</v>
      </c>
      <c r="S10">
        <v>18.992038073673701</v>
      </c>
      <c r="AA10">
        <v>0.23947683629153099</v>
      </c>
      <c r="AB10">
        <v>4.8089765586196602</v>
      </c>
      <c r="AC10">
        <v>9.8354330592723809</v>
      </c>
      <c r="AJ10">
        <v>0.42138516473716697</v>
      </c>
      <c r="AK10">
        <v>1.15958044829275E-2</v>
      </c>
      <c r="AL10">
        <v>0.56701903077990401</v>
      </c>
    </row>
    <row r="11" spans="1:38" x14ac:dyDescent="0.2">
      <c r="A11">
        <v>28</v>
      </c>
      <c r="B11">
        <v>736</v>
      </c>
      <c r="C11">
        <v>275</v>
      </c>
      <c r="D11">
        <v>0.28667740177377199</v>
      </c>
      <c r="E11">
        <v>20.9434016151172</v>
      </c>
      <c r="F11">
        <v>2.5696678406545299</v>
      </c>
      <c r="G11">
        <v>-337.67425657591531</v>
      </c>
      <c r="H11">
        <v>-293.68818866988209</v>
      </c>
      <c r="I11">
        <v>43.587244617780499</v>
      </c>
      <c r="J11">
        <v>25.8649908095284</v>
      </c>
      <c r="K11">
        <v>8.1502368842280397</v>
      </c>
      <c r="L11">
        <v>3.281858551281521E-5</v>
      </c>
      <c r="M11">
        <v>1.8248057013566783E-6</v>
      </c>
      <c r="N11" s="1">
        <v>-6.0688126527900702E-7</v>
      </c>
      <c r="O11" s="1">
        <v>7.0264740277421302E-11</v>
      </c>
      <c r="P11" s="1">
        <v>1.9253301270049899E-9</v>
      </c>
      <c r="Q11">
        <v>65.771279071913</v>
      </c>
      <c r="S11">
        <v>20.930787142195701</v>
      </c>
      <c r="AA11">
        <v>1.9212848859826701</v>
      </c>
      <c r="AB11">
        <v>9.1054714345994903</v>
      </c>
      <c r="AC11">
        <v>2.2711774653089698</v>
      </c>
      <c r="AJ11">
        <v>0.78081867125568505</v>
      </c>
      <c r="AK11">
        <v>9.1043786194508994E-2</v>
      </c>
      <c r="AL11">
        <v>0.128137542549805</v>
      </c>
    </row>
    <row r="12" spans="1:38" x14ac:dyDescent="0.2">
      <c r="A12">
        <v>49</v>
      </c>
      <c r="B12">
        <v>743</v>
      </c>
      <c r="C12">
        <v>250</v>
      </c>
      <c r="D12">
        <v>0.31913644639078897</v>
      </c>
      <c r="E12">
        <v>13.6923761371749</v>
      </c>
      <c r="F12">
        <v>2.52536886395055</v>
      </c>
      <c r="G12">
        <v>-216.1387943288903</v>
      </c>
      <c r="H12">
        <v>-187.49164611358125</v>
      </c>
      <c r="I12">
        <v>28.191849840386801</v>
      </c>
      <c r="J12">
        <v>16.355645001369702</v>
      </c>
      <c r="K12">
        <v>5.4219311612780698</v>
      </c>
      <c r="L12">
        <v>2.9053498627502665E-5</v>
      </c>
      <c r="M12">
        <v>1.7989860298013032E-6</v>
      </c>
      <c r="N12" s="1">
        <v>-1.5023121060591399E-7</v>
      </c>
      <c r="O12" s="1">
        <v>5.1244357885164697E-11</v>
      </c>
      <c r="P12" s="1">
        <v>5.4381981438180398E-10</v>
      </c>
      <c r="Q12">
        <v>66.126043833173497</v>
      </c>
      <c r="S12">
        <v>19.0219742965348</v>
      </c>
      <c r="AA12">
        <v>0.263715236537027</v>
      </c>
      <c r="AB12">
        <v>4.8918446458424603</v>
      </c>
      <c r="AC12">
        <v>9.6964219879121405</v>
      </c>
      <c r="AJ12">
        <v>0.42846612735989698</v>
      </c>
      <c r="AK12">
        <v>1.2764089792965901E-2</v>
      </c>
      <c r="AL12">
        <v>0.55876978284713597</v>
      </c>
    </row>
    <row r="13" spans="1:38" x14ac:dyDescent="0.2">
      <c r="A13">
        <v>49</v>
      </c>
      <c r="B13">
        <v>743</v>
      </c>
      <c r="C13">
        <v>250</v>
      </c>
      <c r="D13">
        <v>0.31913644639078897</v>
      </c>
      <c r="E13">
        <v>7.8405561189972399</v>
      </c>
      <c r="F13">
        <v>2.5685661651793801</v>
      </c>
      <c r="G13">
        <v>-126.59744941317157</v>
      </c>
      <c r="H13">
        <v>-109.94887124364379</v>
      </c>
      <c r="I13">
        <v>16.383976941915801</v>
      </c>
      <c r="J13">
        <v>9.6313655462244796</v>
      </c>
      <c r="K13">
        <v>3.05250307556304</v>
      </c>
      <c r="L13">
        <v>3.2196035345404068E-5</v>
      </c>
      <c r="M13">
        <v>1.8216233812151229E-6</v>
      </c>
      <c r="N13" s="1">
        <v>-1.76118331997864E-7</v>
      </c>
      <c r="O13" s="1">
        <v>2.6687735346563401E-11</v>
      </c>
      <c r="P13" s="1">
        <v>5.7538216127250398E-10</v>
      </c>
      <c r="Q13">
        <v>65.666078159712001</v>
      </c>
      <c r="S13">
        <v>20.994740952779399</v>
      </c>
      <c r="AA13">
        <v>1.99859462922233</v>
      </c>
      <c r="AB13">
        <v>9.0387000714147501</v>
      </c>
      <c r="AC13">
        <v>2.30188618687143</v>
      </c>
      <c r="AJ13">
        <v>0.775348555461013</v>
      </c>
      <c r="AK13">
        <v>9.4738501883038506E-2</v>
      </c>
      <c r="AL13">
        <v>0.12991294265594799</v>
      </c>
    </row>
    <row r="14" spans="1:38" x14ac:dyDescent="0.2">
      <c r="A14">
        <v>50</v>
      </c>
      <c r="B14">
        <v>742</v>
      </c>
      <c r="C14">
        <v>250</v>
      </c>
      <c r="D14">
        <v>0.318396788651924</v>
      </c>
      <c r="E14">
        <v>32.440538621067802</v>
      </c>
      <c r="F14">
        <v>2.5254401228849201</v>
      </c>
      <c r="G14">
        <v>-512.07790895124447</v>
      </c>
      <c r="H14">
        <v>-444.30133350642228</v>
      </c>
      <c r="I14">
        <v>66.765084415920896</v>
      </c>
      <c r="J14">
        <v>38.768866471509803</v>
      </c>
      <c r="K14">
        <v>12.8454990190024</v>
      </c>
      <c r="L14">
        <v>2.9109167424286852E-5</v>
      </c>
      <c r="M14">
        <v>1.7995728731070176E-6</v>
      </c>
      <c r="N14" s="1">
        <v>-3.7141973586514401E-7</v>
      </c>
      <c r="O14" s="1">
        <v>1.21269876253006E-10</v>
      </c>
      <c r="P14" s="1">
        <v>1.3328231043605601E-9</v>
      </c>
      <c r="Q14">
        <v>66.140223534142095</v>
      </c>
      <c r="S14">
        <v>19.021250177181301</v>
      </c>
      <c r="AA14">
        <v>0.25980919128390501</v>
      </c>
      <c r="AB14">
        <v>4.9215449761386196</v>
      </c>
      <c r="AC14">
        <v>9.6571721212540105</v>
      </c>
      <c r="AJ14">
        <v>0.43100264798517102</v>
      </c>
      <c r="AK14">
        <v>1.25731408708114E-2</v>
      </c>
      <c r="AL14">
        <v>0.55642421114401597</v>
      </c>
    </row>
    <row r="15" spans="1:38" x14ac:dyDescent="0.2">
      <c r="A15">
        <v>50</v>
      </c>
      <c r="B15">
        <v>742</v>
      </c>
      <c r="C15">
        <v>250</v>
      </c>
      <c r="D15">
        <v>0.318396788651924</v>
      </c>
      <c r="E15">
        <v>17.698797226641201</v>
      </c>
      <c r="F15">
        <v>2.5679454404669801</v>
      </c>
      <c r="G15">
        <v>-285.70654316450322</v>
      </c>
      <c r="H15">
        <v>-248.18062439353247</v>
      </c>
      <c r="I15">
        <v>36.965885604069101</v>
      </c>
      <c r="J15">
        <v>21.755186577628201</v>
      </c>
      <c r="K15">
        <v>6.8922014259861797</v>
      </c>
      <c r="L15">
        <v>3.2286855046828692E-5</v>
      </c>
      <c r="M15">
        <v>1.8232975197944385E-6</v>
      </c>
      <c r="N15" s="1">
        <v>-4.1114412729206898E-7</v>
      </c>
      <c r="O15" s="1">
        <v>6.0211422750696596E-11</v>
      </c>
      <c r="P15" s="1">
        <v>1.33752331896419E-9</v>
      </c>
      <c r="Q15">
        <v>65.732787100404806</v>
      </c>
      <c r="S15">
        <v>20.943348998388601</v>
      </c>
      <c r="AA15">
        <v>1.94063012129735</v>
      </c>
      <c r="AB15">
        <v>9.05262667911283</v>
      </c>
      <c r="AC15">
        <v>2.3306071007962998</v>
      </c>
      <c r="AJ15">
        <v>0.77649046082800299</v>
      </c>
      <c r="AK15">
        <v>9.1984588997426106E-2</v>
      </c>
      <c r="AL15">
        <v>0.13152495017457</v>
      </c>
    </row>
    <row r="16" spans="1:38" x14ac:dyDescent="0.2">
      <c r="A16">
        <v>51</v>
      </c>
      <c r="B16">
        <v>741</v>
      </c>
      <c r="C16">
        <v>250</v>
      </c>
      <c r="D16">
        <v>0.31765567223783697</v>
      </c>
      <c r="E16">
        <v>36.182869091203202</v>
      </c>
      <c r="F16">
        <v>2.52545729270176</v>
      </c>
      <c r="G16">
        <v>-571.05693895306115</v>
      </c>
      <c r="H16">
        <v>-495.58212391491162</v>
      </c>
      <c r="I16">
        <v>74.421747313661101</v>
      </c>
      <c r="J16">
        <v>43.251682359491802</v>
      </c>
      <c r="K16">
        <v>14.3272543930031</v>
      </c>
      <c r="L16">
        <v>2.9135150457481057E-5</v>
      </c>
      <c r="M16">
        <v>1.7997151459038978E-6</v>
      </c>
      <c r="N16" s="1">
        <v>-4.2839952381473798E-7</v>
      </c>
      <c r="O16" s="1">
        <v>1.3515677060495599E-10</v>
      </c>
      <c r="P16" s="1">
        <v>1.5268452801251601E-9</v>
      </c>
      <c r="Q16">
        <v>66.141369787638396</v>
      </c>
      <c r="S16">
        <v>19.017983402843399</v>
      </c>
      <c r="AA16">
        <v>0.25684660642294999</v>
      </c>
      <c r="AB16">
        <v>4.91553506695917</v>
      </c>
      <c r="AC16">
        <v>9.6682651361359504</v>
      </c>
      <c r="AJ16">
        <v>0.43048947598703602</v>
      </c>
      <c r="AK16">
        <v>1.24301498012372E-2</v>
      </c>
      <c r="AL16">
        <v>0.55708037421172596</v>
      </c>
    </row>
    <row r="17" spans="1:38" x14ac:dyDescent="0.2">
      <c r="A17">
        <v>51</v>
      </c>
      <c r="B17">
        <v>741</v>
      </c>
      <c r="C17">
        <v>250</v>
      </c>
      <c r="D17">
        <v>0.31765567223783697</v>
      </c>
      <c r="E17">
        <v>19.730971480103602</v>
      </c>
      <c r="F17">
        <v>2.5679488612401098</v>
      </c>
      <c r="G17">
        <v>-318.47308841470755</v>
      </c>
      <c r="H17">
        <v>-276.70294514439775</v>
      </c>
      <c r="I17">
        <v>41.187342375693802</v>
      </c>
      <c r="J17">
        <v>24.268382949503899</v>
      </c>
      <c r="K17">
        <v>7.6835531181782102</v>
      </c>
      <c r="L17">
        <v>3.2359546683952488E-5</v>
      </c>
      <c r="M17">
        <v>1.8238836542013395E-6</v>
      </c>
      <c r="N17" s="1">
        <v>-4.7370364659840999E-7</v>
      </c>
      <c r="O17" s="1">
        <v>6.7010087652751694E-11</v>
      </c>
      <c r="P17" s="1">
        <v>1.5348194888171599E-9</v>
      </c>
      <c r="Q17">
        <v>65.745950500846106</v>
      </c>
      <c r="S17">
        <v>20.9354450586589</v>
      </c>
      <c r="AA17">
        <v>1.9310377905527301</v>
      </c>
      <c r="AB17">
        <v>9.0612394056193093</v>
      </c>
      <c r="AC17">
        <v>2.3263272443228198</v>
      </c>
      <c r="AJ17">
        <v>0.77719614181789398</v>
      </c>
      <c r="AK17">
        <v>9.1526023552489094E-2</v>
      </c>
      <c r="AL17">
        <v>0.13127783462961601</v>
      </c>
    </row>
    <row r="18" spans="1:38" x14ac:dyDescent="0.2">
      <c r="A18">
        <v>52</v>
      </c>
      <c r="B18">
        <v>740</v>
      </c>
      <c r="C18">
        <v>250</v>
      </c>
      <c r="D18">
        <v>0.31691309282929903</v>
      </c>
      <c r="E18">
        <v>37.455575672960698</v>
      </c>
      <c r="F18">
        <v>2.5254683661990098</v>
      </c>
      <c r="G18">
        <v>-591.03525579328345</v>
      </c>
      <c r="H18">
        <v>-513.03207024273581</v>
      </c>
      <c r="I18">
        <v>76.990757094751601</v>
      </c>
      <c r="J18">
        <v>44.782951810755698</v>
      </c>
      <c r="K18">
        <v>14.831140304217501</v>
      </c>
      <c r="L18">
        <v>2.9158267864954431E-5</v>
      </c>
      <c r="M18">
        <v>1.7998050836471338E-6</v>
      </c>
      <c r="N18" s="1">
        <v>-4.5808886034777398E-7</v>
      </c>
      <c r="O18" s="1">
        <v>1.3980816597734401E-10</v>
      </c>
      <c r="P18" s="1">
        <v>1.62213804763699E-9</v>
      </c>
      <c r="Q18">
        <v>66.140904723794705</v>
      </c>
      <c r="S18">
        <v>19.014430252643301</v>
      </c>
      <c r="AA18">
        <v>0.25402373741663398</v>
      </c>
      <c r="AB18">
        <v>4.9051836519286498</v>
      </c>
      <c r="AC18">
        <v>9.6854576342165704</v>
      </c>
      <c r="AJ18">
        <v>0.42960549809679399</v>
      </c>
      <c r="AK18">
        <v>1.2294182351733299E-2</v>
      </c>
      <c r="AL18">
        <v>0.55810031955147099</v>
      </c>
    </row>
    <row r="19" spans="1:38" x14ac:dyDescent="0.2">
      <c r="A19">
        <v>52</v>
      </c>
      <c r="B19">
        <v>740</v>
      </c>
      <c r="C19">
        <v>250</v>
      </c>
      <c r="D19">
        <v>0.31691309282929903</v>
      </c>
      <c r="E19">
        <v>20.495381762943399</v>
      </c>
      <c r="F19">
        <v>2.5680276517284701</v>
      </c>
      <c r="G19">
        <v>-330.77611712701997</v>
      </c>
      <c r="H19">
        <v>-287.45503260494246</v>
      </c>
      <c r="I19">
        <v>42.758806220280803</v>
      </c>
      <c r="J19">
        <v>25.224900733381102</v>
      </c>
      <c r="K19">
        <v>7.9809817270263901</v>
      </c>
      <c r="L19">
        <v>3.2431953242791859E-5</v>
      </c>
      <c r="M19">
        <v>1.8243455916367923E-6</v>
      </c>
      <c r="N19" s="1">
        <v>-5.0851907987623298E-7</v>
      </c>
      <c r="O19" s="1">
        <v>6.9473207148815198E-11</v>
      </c>
      <c r="P19" s="1">
        <v>1.64113220328605E-9</v>
      </c>
      <c r="Q19">
        <v>65.752711089860995</v>
      </c>
      <c r="S19">
        <v>20.9327549286714</v>
      </c>
      <c r="AA19">
        <v>1.9272409147448899</v>
      </c>
      <c r="AB19">
        <v>9.0692524902476706</v>
      </c>
      <c r="AC19">
        <v>2.3180405764749299</v>
      </c>
      <c r="AJ19">
        <v>0.77785255185892499</v>
      </c>
      <c r="AK19">
        <v>9.1342435089586699E-2</v>
      </c>
      <c r="AL19">
        <v>0.13080501305148701</v>
      </c>
    </row>
    <row r="20" spans="1:38" x14ac:dyDescent="0.2">
      <c r="A20">
        <v>65</v>
      </c>
      <c r="B20">
        <v>751</v>
      </c>
      <c r="C20">
        <v>225</v>
      </c>
      <c r="D20">
        <v>0.35185324415369101</v>
      </c>
      <c r="E20">
        <v>3.8253485733831798E-2</v>
      </c>
      <c r="F20">
        <v>2.5696312826805601</v>
      </c>
      <c r="G20">
        <v>-0.61925758431120315</v>
      </c>
      <c r="H20">
        <v>-0.53700553980752563</v>
      </c>
      <c r="I20">
        <v>8.0312497684594406E-2</v>
      </c>
      <c r="J20">
        <v>4.6830232828284898E-2</v>
      </c>
      <c r="K20">
        <v>1.48867605993366E-2</v>
      </c>
      <c r="L20">
        <v>3.1772221252624742E-5</v>
      </c>
      <c r="M20">
        <v>1.8193436585153E-6</v>
      </c>
      <c r="N20" s="1">
        <v>-6.6206900840632096E-10</v>
      </c>
      <c r="O20" s="1">
        <v>1.3122168324450801E-13</v>
      </c>
      <c r="P20" s="1">
        <v>2.24358517683726E-12</v>
      </c>
      <c r="Q20">
        <v>65.5260768777907</v>
      </c>
      <c r="S20">
        <v>21.157061202785599</v>
      </c>
      <c r="AA20">
        <v>2.1651778827000898</v>
      </c>
      <c r="AB20">
        <v>9.1522583596855807</v>
      </c>
      <c r="AC20">
        <v>1.99942567703785</v>
      </c>
      <c r="AJ20">
        <v>0.78464443671830997</v>
      </c>
      <c r="AK20">
        <v>0.102576765594692</v>
      </c>
      <c r="AL20">
        <v>0.112778797686996</v>
      </c>
    </row>
    <row r="21" spans="1:38" x14ac:dyDescent="0.2">
      <c r="A21">
        <v>66</v>
      </c>
      <c r="B21">
        <v>750</v>
      </c>
      <c r="C21">
        <v>225</v>
      </c>
      <c r="D21">
        <v>0.35115134633240402</v>
      </c>
      <c r="E21">
        <v>1.4121949690195099</v>
      </c>
      <c r="F21">
        <v>2.5675921991605302</v>
      </c>
      <c r="G21">
        <v>-22.844238640235286</v>
      </c>
      <c r="H21">
        <v>-19.812168810127698</v>
      </c>
      <c r="I21">
        <v>2.9634656014343701</v>
      </c>
      <c r="J21">
        <v>1.7289387438142101</v>
      </c>
      <c r="K21">
        <v>0.55000750098914797</v>
      </c>
      <c r="L21">
        <v>3.1815867382021079E-5</v>
      </c>
      <c r="M21">
        <v>1.821634188401886E-6</v>
      </c>
      <c r="N21" s="1">
        <v>-2.50534902125524E-8</v>
      </c>
      <c r="O21" s="1">
        <v>4.8569808946059797E-12</v>
      </c>
      <c r="P21" s="1">
        <v>8.4557776150333703E-11</v>
      </c>
      <c r="Q21">
        <v>65.653134261986807</v>
      </c>
      <c r="S21">
        <v>21.028785263198301</v>
      </c>
      <c r="AA21">
        <v>2.0297018154835702</v>
      </c>
      <c r="AB21">
        <v>9.0991068751838693</v>
      </c>
      <c r="AC21">
        <v>2.1892717841472802</v>
      </c>
      <c r="AJ21">
        <v>0.78029573159134102</v>
      </c>
      <c r="AK21">
        <v>9.6184146501140905E-2</v>
      </c>
      <c r="AL21">
        <v>0.123520121907517</v>
      </c>
    </row>
    <row r="22" spans="1:38" x14ac:dyDescent="0.2">
      <c r="A22">
        <v>67</v>
      </c>
      <c r="B22">
        <v>749</v>
      </c>
      <c r="C22">
        <v>225</v>
      </c>
      <c r="D22">
        <v>0.350448075135744</v>
      </c>
      <c r="E22">
        <v>2.9398193819023999</v>
      </c>
      <c r="F22">
        <v>2.56514338649882</v>
      </c>
      <c r="G22">
        <v>-47.512334461144555</v>
      </c>
      <c r="H22">
        <v>-41.209906847011254</v>
      </c>
      <c r="I22">
        <v>6.1658539491594198</v>
      </c>
      <c r="J22">
        <v>3.5987388367500399</v>
      </c>
      <c r="K22">
        <v>1.1460643476601</v>
      </c>
      <c r="L22">
        <v>3.1835829389240191E-5</v>
      </c>
      <c r="M22">
        <v>1.8237130485068055E-6</v>
      </c>
      <c r="N22" s="1">
        <v>-5.3242211004327001E-8</v>
      </c>
      <c r="O22" s="1">
        <v>1.01447515874679E-11</v>
      </c>
      <c r="P22" s="1">
        <v>1.79076386603102E-10</v>
      </c>
      <c r="Q22">
        <v>65.784308498506206</v>
      </c>
      <c r="S22">
        <v>20.884460012134902</v>
      </c>
      <c r="AA22">
        <v>1.8800242907587601</v>
      </c>
      <c r="AB22">
        <v>9.0130542187602192</v>
      </c>
      <c r="AC22">
        <v>2.4381529798398001</v>
      </c>
      <c r="AJ22">
        <v>0.77324906838974605</v>
      </c>
      <c r="AK22">
        <v>8.9129541562748799E-2</v>
      </c>
      <c r="AL22">
        <v>0.13762139004750501</v>
      </c>
    </row>
    <row r="23" spans="1:38" x14ac:dyDescent="0.2">
      <c r="A23">
        <v>68</v>
      </c>
      <c r="B23">
        <v>748</v>
      </c>
      <c r="C23">
        <v>225</v>
      </c>
      <c r="D23">
        <v>0.34974342652891699</v>
      </c>
      <c r="E23">
        <v>6.66979600281753</v>
      </c>
      <c r="F23">
        <v>2.5652695288118301</v>
      </c>
      <c r="G23">
        <v>-107.7793591538196</v>
      </c>
      <c r="H23">
        <v>-93.502978233090545</v>
      </c>
      <c r="I23">
        <v>13.9806893411634</v>
      </c>
      <c r="J23">
        <v>8.1678735474586102</v>
      </c>
      <c r="K23">
        <v>2.6000371219888199</v>
      </c>
      <c r="L23">
        <v>3.1875044310781948E-5</v>
      </c>
      <c r="M23">
        <v>1.8236739451452133E-6</v>
      </c>
      <c r="N23" s="1">
        <v>-1.24527970423247E-7</v>
      </c>
      <c r="O23" s="1">
        <v>2.2982450806862902E-11</v>
      </c>
      <c r="P23" s="1">
        <v>4.1696898028895199E-10</v>
      </c>
      <c r="Q23">
        <v>65.774559817203297</v>
      </c>
      <c r="S23">
        <v>20.889737555861299</v>
      </c>
      <c r="AA23">
        <v>1.88665303987981</v>
      </c>
      <c r="AB23">
        <v>9.0051655721864297</v>
      </c>
      <c r="AC23">
        <v>2.4438840148690102</v>
      </c>
      <c r="AJ23">
        <v>0.77260244344211204</v>
      </c>
      <c r="AK23">
        <v>8.9447293666633607E-2</v>
      </c>
      <c r="AL23">
        <v>0.13795026289125401</v>
      </c>
    </row>
    <row r="24" spans="1:38" x14ac:dyDescent="0.2">
      <c r="A24">
        <v>68</v>
      </c>
      <c r="B24">
        <v>748</v>
      </c>
      <c r="C24">
        <v>225</v>
      </c>
      <c r="D24">
        <v>0.34974342652891699</v>
      </c>
      <c r="E24">
        <v>8.6304349738198205</v>
      </c>
      <c r="F24">
        <v>2.52451972426047</v>
      </c>
      <c r="G24">
        <v>-136.53158785603603</v>
      </c>
      <c r="H24">
        <v>-118.31282795697791</v>
      </c>
      <c r="I24">
        <v>17.841413993103899</v>
      </c>
      <c r="J24">
        <v>10.3078595802862</v>
      </c>
      <c r="K24">
        <v>3.41864430326366</v>
      </c>
      <c r="L24">
        <v>2.9043306572789259E-5</v>
      </c>
      <c r="M24">
        <v>1.8018608979962962E-6</v>
      </c>
      <c r="N24" s="1">
        <v>-8.1415550359476403E-8</v>
      </c>
      <c r="O24" s="1">
        <v>3.2359299059471999E-11</v>
      </c>
      <c r="P24" s="1">
        <v>3.0494324175524298E-10</v>
      </c>
      <c r="Q24">
        <v>66.174687612495504</v>
      </c>
      <c r="S24">
        <v>19.056072393343701</v>
      </c>
      <c r="AA24">
        <v>0.28049615463924299</v>
      </c>
      <c r="AB24">
        <v>5.0896372937257803</v>
      </c>
      <c r="AC24">
        <v>9.3991065457957106</v>
      </c>
      <c r="AJ24">
        <v>0.44534357689925402</v>
      </c>
      <c r="AK24">
        <v>1.35626970522076E-2</v>
      </c>
      <c r="AL24">
        <v>0.541093726048538</v>
      </c>
    </row>
    <row r="25" spans="1:38" x14ac:dyDescent="0.2">
      <c r="A25">
        <v>69</v>
      </c>
      <c r="B25">
        <v>747</v>
      </c>
      <c r="C25">
        <v>225</v>
      </c>
      <c r="D25">
        <v>0.34903739646130499</v>
      </c>
      <c r="E25">
        <v>13.417753794977999</v>
      </c>
      <c r="F25">
        <v>2.56572635680218</v>
      </c>
      <c r="G25">
        <v>-216.81451075347672</v>
      </c>
      <c r="H25">
        <v>-188.13945275473085</v>
      </c>
      <c r="I25">
        <v>28.108668331858901</v>
      </c>
      <c r="J25">
        <v>16.439516426951599</v>
      </c>
      <c r="K25">
        <v>5.22961217567308</v>
      </c>
      <c r="L25">
        <v>3.1922408218806045E-5</v>
      </c>
      <c r="M25">
        <v>1.8234688867324747E-6</v>
      </c>
      <c r="N25" s="1">
        <v>-2.5873291482025799E-7</v>
      </c>
      <c r="O25" s="1">
        <v>4.6135603893655299E-11</v>
      </c>
      <c r="P25" s="1">
        <v>8.6237198862820198E-10</v>
      </c>
      <c r="Q25">
        <v>65.750112255554995</v>
      </c>
      <c r="S25">
        <v>20.912909474023198</v>
      </c>
      <c r="AA25">
        <v>1.91147461391588</v>
      </c>
      <c r="AB25">
        <v>9.0114336878951704</v>
      </c>
      <c r="AC25">
        <v>2.4140699686107001</v>
      </c>
      <c r="AJ25">
        <v>0.77311574003443695</v>
      </c>
      <c r="AK25">
        <v>9.0621229245845605E-2</v>
      </c>
      <c r="AL25">
        <v>0.13626303071971699</v>
      </c>
    </row>
    <row r="26" spans="1:38" x14ac:dyDescent="0.2">
      <c r="A26">
        <v>69</v>
      </c>
      <c r="B26">
        <v>747</v>
      </c>
      <c r="C26">
        <v>225</v>
      </c>
      <c r="D26">
        <v>0.34903739646130499</v>
      </c>
      <c r="E26">
        <v>23.866513573809701</v>
      </c>
      <c r="F26">
        <v>2.5244833638056798</v>
      </c>
      <c r="G26">
        <v>-377.45771088163229</v>
      </c>
      <c r="H26">
        <v>-327.16221705378308</v>
      </c>
      <c r="I26">
        <v>49.302057371807201</v>
      </c>
      <c r="J26">
        <v>28.505642741481299</v>
      </c>
      <c r="K26">
        <v>9.45401895532029</v>
      </c>
      <c r="L26">
        <v>2.9042364549786365E-5</v>
      </c>
      <c r="M26">
        <v>1.8016601620511472E-6</v>
      </c>
      <c r="N26" s="1">
        <v>-2.3129088955845499E-7</v>
      </c>
      <c r="O26" s="1">
        <v>8.9458090423513995E-11</v>
      </c>
      <c r="P26" s="1">
        <v>8.6079085148317604E-10</v>
      </c>
      <c r="Q26">
        <v>66.166501769534804</v>
      </c>
      <c r="S26">
        <v>19.050558108723401</v>
      </c>
      <c r="AA26">
        <v>0.27785686791301201</v>
      </c>
      <c r="AB26">
        <v>5.0569391675573598</v>
      </c>
      <c r="AC26">
        <v>9.4481440862713004</v>
      </c>
      <c r="AJ26">
        <v>0.44255581149223999</v>
      </c>
      <c r="AK26">
        <v>1.34373071704943E-2</v>
      </c>
      <c r="AL26">
        <v>0.54400688133726405</v>
      </c>
    </row>
    <row r="27" spans="1:38" x14ac:dyDescent="0.2">
      <c r="A27">
        <v>70</v>
      </c>
      <c r="B27">
        <v>746</v>
      </c>
      <c r="C27">
        <v>225</v>
      </c>
      <c r="D27">
        <v>0.34832998086640898</v>
      </c>
      <c r="E27">
        <v>18.092083593796499</v>
      </c>
      <c r="F27">
        <v>2.5660570414325798</v>
      </c>
      <c r="G27">
        <v>-292.32894596282057</v>
      </c>
      <c r="H27">
        <v>-253.72467624870953</v>
      </c>
      <c r="I27">
        <v>37.878888989953403</v>
      </c>
      <c r="J27">
        <v>22.1778039468118</v>
      </c>
      <c r="K27">
        <v>7.0505383558021197</v>
      </c>
      <c r="L27">
        <v>3.1974715096655633E-5</v>
      </c>
      <c r="M27">
        <v>1.8234701638534753E-6</v>
      </c>
      <c r="N27" s="1">
        <v>-3.6035286527264602E-7</v>
      </c>
      <c r="O27" s="1">
        <v>6.20857656112681E-11</v>
      </c>
      <c r="P27" s="1">
        <v>1.19567071436457E-9</v>
      </c>
      <c r="Q27">
        <v>65.735839920439403</v>
      </c>
      <c r="S27">
        <v>20.927573893852401</v>
      </c>
      <c r="AA27">
        <v>1.9269031647105299</v>
      </c>
      <c r="AB27">
        <v>9.0180732374290606</v>
      </c>
      <c r="AC27">
        <v>2.3916097835685202</v>
      </c>
      <c r="AJ27">
        <v>0.77365959824989206</v>
      </c>
      <c r="AK27">
        <v>9.1349640017439296E-2</v>
      </c>
      <c r="AL27">
        <v>0.134990761732667</v>
      </c>
    </row>
    <row r="28" spans="1:38" x14ac:dyDescent="0.2">
      <c r="A28">
        <v>70</v>
      </c>
      <c r="B28">
        <v>746</v>
      </c>
      <c r="C28">
        <v>225</v>
      </c>
      <c r="D28">
        <v>0.34832998086640898</v>
      </c>
      <c r="E28">
        <v>34.097529732896</v>
      </c>
      <c r="F28">
        <v>2.5244627814512102</v>
      </c>
      <c r="G28">
        <v>-539.13211186157798</v>
      </c>
      <c r="H28">
        <v>-467.39684248373351</v>
      </c>
      <c r="I28">
        <v>70.387351594803903</v>
      </c>
      <c r="J28">
        <v>40.728154329215798</v>
      </c>
      <c r="K28">
        <v>13.506845885560899</v>
      </c>
      <c r="L28">
        <v>2.904820036400479E-5</v>
      </c>
      <c r="M28">
        <v>1.8015549864424077E-6</v>
      </c>
      <c r="N28" s="1">
        <v>-3.4010717158424802E-7</v>
      </c>
      <c r="O28" s="1">
        <v>1.2775369172367099E-10</v>
      </c>
      <c r="P28" s="1">
        <v>1.2573579425163701E-9</v>
      </c>
      <c r="Q28">
        <v>66.160973121725803</v>
      </c>
      <c r="S28">
        <v>19.0456834487299</v>
      </c>
      <c r="AA28">
        <v>0.27512525789056202</v>
      </c>
      <c r="AB28">
        <v>5.0318393174272797</v>
      </c>
      <c r="AC28">
        <v>9.4863788542263201</v>
      </c>
      <c r="AJ28">
        <v>0.44041523715866499</v>
      </c>
      <c r="AK28">
        <v>1.33068979000167E-2</v>
      </c>
      <c r="AL28">
        <v>0.54627786494131703</v>
      </c>
    </row>
    <row r="29" spans="1:38" x14ac:dyDescent="0.2">
      <c r="A29">
        <v>71</v>
      </c>
      <c r="B29">
        <v>745</v>
      </c>
      <c r="C29">
        <v>225</v>
      </c>
      <c r="D29">
        <v>0.347621175661739</v>
      </c>
      <c r="E29">
        <v>19.482907114810999</v>
      </c>
      <c r="F29">
        <v>2.5662554801299602</v>
      </c>
      <c r="G29">
        <v>-314.77535016863533</v>
      </c>
      <c r="H29">
        <v>-273.26783224113228</v>
      </c>
      <c r="I29">
        <v>40.767586237296001</v>
      </c>
      <c r="J29">
        <v>23.895357922043502</v>
      </c>
      <c r="K29">
        <v>7.59195928295662</v>
      </c>
      <c r="L29">
        <v>3.2032483485154108E-5</v>
      </c>
      <c r="M29">
        <v>1.8236955622907064E-6</v>
      </c>
      <c r="N29" s="1">
        <v>-4.0089065267833497E-7</v>
      </c>
      <c r="O29" s="1">
        <v>6.6739543151045398E-11</v>
      </c>
      <c r="P29" s="1">
        <v>1.32428802405039E-9</v>
      </c>
      <c r="Q29">
        <v>65.732493372627204</v>
      </c>
      <c r="S29">
        <v>20.933202994347401</v>
      </c>
      <c r="AA29">
        <v>1.9323281014379901</v>
      </c>
      <c r="AB29">
        <v>9.0253730538448504</v>
      </c>
      <c r="AC29">
        <v>2.3766024777425101</v>
      </c>
      <c r="AJ29">
        <v>0.77425769003255196</v>
      </c>
      <c r="AK29">
        <v>9.16034911454153E-2</v>
      </c>
      <c r="AL29">
        <v>0.13413881882203199</v>
      </c>
    </row>
    <row r="30" spans="1:38" x14ac:dyDescent="0.2">
      <c r="A30">
        <v>71</v>
      </c>
      <c r="B30">
        <v>745</v>
      </c>
      <c r="C30">
        <v>225</v>
      </c>
      <c r="D30">
        <v>0.347621175661739</v>
      </c>
      <c r="E30">
        <v>36.993901864865897</v>
      </c>
      <c r="F30">
        <v>2.5244572951290798</v>
      </c>
      <c r="G30">
        <v>-584.80338640190723</v>
      </c>
      <c r="H30">
        <v>-507.1024789231887</v>
      </c>
      <c r="I30">
        <v>76.315776141745701</v>
      </c>
      <c r="J30">
        <v>44.193374118209</v>
      </c>
      <c r="K30">
        <v>14.654199909123101</v>
      </c>
      <c r="L30">
        <v>2.9061157155654208E-5</v>
      </c>
      <c r="M30">
        <v>1.8015484757451146E-6</v>
      </c>
      <c r="N30" s="1">
        <v>-3.8053683092146198E-7</v>
      </c>
      <c r="O30" s="1">
        <v>1.3853311254843401E-10</v>
      </c>
      <c r="P30" s="1">
        <v>1.3970970621096499E-9</v>
      </c>
      <c r="Q30">
        <v>66.158204308550907</v>
      </c>
      <c r="S30">
        <v>19.041446287263799</v>
      </c>
      <c r="AA30">
        <v>0.27227562099821701</v>
      </c>
      <c r="AB30">
        <v>5.0145608960727497</v>
      </c>
      <c r="AC30">
        <v>9.5135128871142491</v>
      </c>
      <c r="AJ30">
        <v>0.438941385433327</v>
      </c>
      <c r="AK30">
        <v>1.31702241949313E-2</v>
      </c>
      <c r="AL30">
        <v>0.54788839037173998</v>
      </c>
    </row>
    <row r="31" spans="1:38" x14ac:dyDescent="0.2">
      <c r="A31">
        <v>79</v>
      </c>
      <c r="B31">
        <v>757</v>
      </c>
      <c r="C31">
        <v>200</v>
      </c>
      <c r="D31">
        <v>0.38273115565694399</v>
      </c>
      <c r="E31">
        <v>0.16862457041565401</v>
      </c>
      <c r="F31">
        <v>2.5682618090524301</v>
      </c>
      <c r="G31">
        <v>-2.7341171230313943</v>
      </c>
      <c r="H31">
        <v>-2.3680991745788038</v>
      </c>
      <c r="I31">
        <v>0.35530548798970102</v>
      </c>
      <c r="J31">
        <v>0.205988003457163</v>
      </c>
      <c r="K31">
        <v>6.5657079749929903E-2</v>
      </c>
      <c r="L31">
        <v>3.1521980086324183E-5</v>
      </c>
      <c r="M31">
        <v>1.8203922251176173E-6</v>
      </c>
      <c r="N31" s="1">
        <v>-2.3857426436846899E-9</v>
      </c>
      <c r="O31" s="1">
        <v>5.8278277779612801E-13</v>
      </c>
      <c r="P31" s="1">
        <v>8.3557109523983794E-12</v>
      </c>
      <c r="Q31">
        <v>65.5465556777865</v>
      </c>
      <c r="S31">
        <v>21.160432287068499</v>
      </c>
      <c r="AA31">
        <v>2.1631806137346898</v>
      </c>
      <c r="AB31">
        <v>9.2067320031651594</v>
      </c>
      <c r="AC31">
        <v>1.9230994182450301</v>
      </c>
      <c r="AJ31">
        <v>0.78910129323247902</v>
      </c>
      <c r="AK31">
        <v>0.102454449955763</v>
      </c>
      <c r="AL31">
        <v>0.108444256811756</v>
      </c>
    </row>
    <row r="32" spans="1:38" x14ac:dyDescent="0.2">
      <c r="A32">
        <v>80</v>
      </c>
      <c r="B32">
        <v>756</v>
      </c>
      <c r="C32">
        <v>200</v>
      </c>
      <c r="D32">
        <v>0.38206335325268598</v>
      </c>
      <c r="E32">
        <v>1.4753245413254901</v>
      </c>
      <c r="F32">
        <v>2.5665018779009099</v>
      </c>
      <c r="G32">
        <v>-23.905975137821905</v>
      </c>
      <c r="H32">
        <v>-20.708223444505489</v>
      </c>
      <c r="I32">
        <v>3.1071774700640402</v>
      </c>
      <c r="J32">
        <v>1.80234236807022</v>
      </c>
      <c r="K32">
        <v>0.57483867595379501</v>
      </c>
      <c r="L32">
        <v>3.1564124133155636E-5</v>
      </c>
      <c r="M32">
        <v>1.8225137164066689E-6</v>
      </c>
      <c r="N32" s="1">
        <v>-2.1417135224208201E-8</v>
      </c>
      <c r="O32" s="1">
        <v>5.1105374540430802E-12</v>
      </c>
      <c r="P32" s="1">
        <v>7.4653528131873298E-11</v>
      </c>
      <c r="Q32">
        <v>65.660908194556299</v>
      </c>
      <c r="S32">
        <v>21.047434338442201</v>
      </c>
      <c r="AA32">
        <v>2.0432735526224302</v>
      </c>
      <c r="AB32">
        <v>9.1653216423904595</v>
      </c>
      <c r="AC32">
        <v>2.08306227198843</v>
      </c>
      <c r="AJ32">
        <v>0.78571549701182797</v>
      </c>
      <c r="AK32">
        <v>9.6795443179188603E-2</v>
      </c>
      <c r="AL32">
        <v>0.117489059808983</v>
      </c>
    </row>
    <row r="33" spans="1:38" x14ac:dyDescent="0.2">
      <c r="A33">
        <v>81</v>
      </c>
      <c r="B33">
        <v>755</v>
      </c>
      <c r="C33">
        <v>200</v>
      </c>
      <c r="D33">
        <v>0.38139425181150599</v>
      </c>
      <c r="E33">
        <v>2.88615133513985</v>
      </c>
      <c r="F33">
        <v>2.5645055219464101</v>
      </c>
      <c r="G33">
        <v>-46.731839643684914</v>
      </c>
      <c r="H33">
        <v>-40.485383291642044</v>
      </c>
      <c r="I33">
        <v>6.0754329154723203</v>
      </c>
      <c r="J33">
        <v>3.5257103571464001</v>
      </c>
      <c r="K33">
        <v>1.1254221566071401</v>
      </c>
      <c r="L33">
        <v>3.15910946686926E-5</v>
      </c>
      <c r="M33">
        <v>1.8244486134941723E-6</v>
      </c>
      <c r="N33" s="1">
        <v>-4.28739912480907E-8</v>
      </c>
      <c r="O33" s="1">
        <v>1.00243418733906E-11</v>
      </c>
      <c r="P33" s="1">
        <v>1.4880685990944499E-10</v>
      </c>
      <c r="Q33">
        <v>65.775383699596603</v>
      </c>
      <c r="S33">
        <v>20.9261709801991</v>
      </c>
      <c r="AA33">
        <v>1.91651874631359</v>
      </c>
      <c r="AB33">
        <v>9.1025165084948902</v>
      </c>
      <c r="AC33">
        <v>2.2794100653956799</v>
      </c>
      <c r="AJ33">
        <v>0.78057680796377804</v>
      </c>
      <c r="AK33">
        <v>9.0819274936263794E-2</v>
      </c>
      <c r="AL33">
        <v>0.128603917099958</v>
      </c>
    </row>
    <row r="34" spans="1:38" x14ac:dyDescent="0.2">
      <c r="A34">
        <v>82</v>
      </c>
      <c r="B34">
        <v>754</v>
      </c>
      <c r="C34">
        <v>200</v>
      </c>
      <c r="D34">
        <v>0.38072384753930699</v>
      </c>
      <c r="E34">
        <v>4.4674730972425101</v>
      </c>
      <c r="F34">
        <v>2.5620930764491399</v>
      </c>
      <c r="G34">
        <v>-72.26862317013186</v>
      </c>
      <c r="H34">
        <v>-62.614679179224453</v>
      </c>
      <c r="I34">
        <v>9.3987674545172606</v>
      </c>
      <c r="J34">
        <v>5.4560786165898802</v>
      </c>
      <c r="K34">
        <v>1.7436810310709201</v>
      </c>
      <c r="L34">
        <v>3.1593606409253704E-5</v>
      </c>
      <c r="M34">
        <v>1.8261411954913678E-6</v>
      </c>
      <c r="N34" s="1">
        <v>-6.7609220557657201E-8</v>
      </c>
      <c r="O34" s="1">
        <v>1.55690621117209E-11</v>
      </c>
      <c r="P34" s="1">
        <v>2.33821439898194E-10</v>
      </c>
      <c r="Q34">
        <v>65.893002208252199</v>
      </c>
      <c r="S34">
        <v>20.788991646905298</v>
      </c>
      <c r="AA34">
        <v>1.7758997206954801</v>
      </c>
      <c r="AB34">
        <v>9.0049895918217508</v>
      </c>
      <c r="AC34">
        <v>2.5371168323251201</v>
      </c>
      <c r="AJ34">
        <v>0.77258985625869703</v>
      </c>
      <c r="AK34">
        <v>8.4196689475474498E-2</v>
      </c>
      <c r="AL34">
        <v>0.14321345426582799</v>
      </c>
    </row>
    <row r="35" spans="1:38" x14ac:dyDescent="0.2">
      <c r="A35">
        <v>83</v>
      </c>
      <c r="B35">
        <v>753</v>
      </c>
      <c r="C35">
        <v>200</v>
      </c>
      <c r="D35">
        <v>0.380052136627202</v>
      </c>
      <c r="E35">
        <v>7.1872919257703103</v>
      </c>
      <c r="F35">
        <v>2.5617016073568601</v>
      </c>
      <c r="G35">
        <v>-116.22451793744666</v>
      </c>
      <c r="H35">
        <v>-100.71800263159589</v>
      </c>
      <c r="I35">
        <v>15.111353414072701</v>
      </c>
      <c r="J35">
        <v>8.7785548733542402</v>
      </c>
      <c r="K35">
        <v>2.8056710059943599</v>
      </c>
      <c r="L35">
        <v>3.1602249262103857E-5</v>
      </c>
      <c r="M35">
        <v>1.8260192807807537E-6</v>
      </c>
      <c r="N35" s="1">
        <v>-1.11575834768175E-7</v>
      </c>
      <c r="O35" s="1">
        <v>2.50406473140504E-11</v>
      </c>
      <c r="P35" s="1">
        <v>3.8419025313144702E-10</v>
      </c>
      <c r="Q35">
        <v>65.895174662666307</v>
      </c>
      <c r="S35">
        <v>20.770515447731501</v>
      </c>
      <c r="AA35">
        <v>1.76014975465774</v>
      </c>
      <c r="AB35">
        <v>8.9613930317973107</v>
      </c>
      <c r="AC35">
        <v>2.6127671031470099</v>
      </c>
      <c r="AJ35">
        <v>0.76901622671371805</v>
      </c>
      <c r="AK35">
        <v>8.3468073223807102E-2</v>
      </c>
      <c r="AL35">
        <v>0.147515700062474</v>
      </c>
    </row>
    <row r="36" spans="1:38" x14ac:dyDescent="0.2">
      <c r="A36">
        <v>83</v>
      </c>
      <c r="B36">
        <v>753</v>
      </c>
      <c r="C36">
        <v>200</v>
      </c>
      <c r="D36">
        <v>0.380052136627202</v>
      </c>
      <c r="E36">
        <v>6.3669326819157597</v>
      </c>
      <c r="F36">
        <v>2.52381078155245</v>
      </c>
      <c r="G36">
        <v>-100.95338555376517</v>
      </c>
      <c r="H36">
        <v>-87.391657352258107</v>
      </c>
      <c r="I36">
        <v>13.2161264936968</v>
      </c>
      <c r="J36">
        <v>7.6057583162647697</v>
      </c>
      <c r="K36">
        <v>2.5227456544897202</v>
      </c>
      <c r="L36">
        <v>2.9064311389378243E-5</v>
      </c>
      <c r="M36">
        <v>1.8050265231965494E-6</v>
      </c>
      <c r="N36" s="1">
        <v>-5.1912109824878503E-8</v>
      </c>
      <c r="O36" s="1">
        <v>2.38989608213145E-11</v>
      </c>
      <c r="P36" s="1">
        <v>2.0165368570643401E-10</v>
      </c>
      <c r="Q36">
        <v>66.228319574857693</v>
      </c>
      <c r="S36">
        <v>19.094426973023602</v>
      </c>
      <c r="AA36">
        <v>0.29962479037331402</v>
      </c>
      <c r="AB36">
        <v>5.3097047632854197</v>
      </c>
      <c r="AC36">
        <v>9.0679238984598705</v>
      </c>
      <c r="AJ36">
        <v>0.46408199514543802</v>
      </c>
      <c r="AK36">
        <v>1.4471477692657201E-2</v>
      </c>
      <c r="AL36">
        <v>0.52144652716190398</v>
      </c>
    </row>
    <row r="37" spans="1:38" x14ac:dyDescent="0.2">
      <c r="A37">
        <v>84</v>
      </c>
      <c r="B37">
        <v>752</v>
      </c>
      <c r="C37">
        <v>200</v>
      </c>
      <c r="D37">
        <v>0.37937911525142798</v>
      </c>
      <c r="E37">
        <v>12.168105153663999</v>
      </c>
      <c r="F37">
        <v>2.5629095806075002</v>
      </c>
      <c r="G37">
        <v>-196.79296134364404</v>
      </c>
      <c r="H37">
        <v>-170.58242424765209</v>
      </c>
      <c r="I37">
        <v>25.5675141159752</v>
      </c>
      <c r="J37">
        <v>14.868363462099101</v>
      </c>
      <c r="K37">
        <v>4.7477699743038801</v>
      </c>
      <c r="L37">
        <v>3.1625800437518204E-5</v>
      </c>
      <c r="M37">
        <v>1.8247015564885474E-6</v>
      </c>
      <c r="N37" s="1">
        <v>-1.9506948819341199E-7</v>
      </c>
      <c r="O37" s="1">
        <v>4.2259216543338902E-11</v>
      </c>
      <c r="P37" s="1">
        <v>6.6823890236133804E-10</v>
      </c>
      <c r="Q37">
        <v>65.813923263321598</v>
      </c>
      <c r="S37">
        <v>20.842666123622902</v>
      </c>
      <c r="AA37">
        <v>1.8386337042912499</v>
      </c>
      <c r="AB37">
        <v>8.9694810219606005</v>
      </c>
      <c r="AC37">
        <v>2.5352958868035702</v>
      </c>
      <c r="AJ37">
        <v>0.76967807196494797</v>
      </c>
      <c r="AK37">
        <v>8.7186211309378703E-2</v>
      </c>
      <c r="AL37">
        <v>0.14313571672567199</v>
      </c>
    </row>
    <row r="38" spans="1:38" x14ac:dyDescent="0.2">
      <c r="A38">
        <v>84</v>
      </c>
      <c r="B38">
        <v>752</v>
      </c>
      <c r="C38">
        <v>200</v>
      </c>
      <c r="D38">
        <v>0.37937911525142798</v>
      </c>
      <c r="E38">
        <v>20.177482273487001</v>
      </c>
      <c r="F38">
        <v>2.5236539345787801</v>
      </c>
      <c r="G38">
        <v>-319.77762309634869</v>
      </c>
      <c r="H38">
        <v>-276.882357158106</v>
      </c>
      <c r="I38">
        <v>41.842916586102199</v>
      </c>
      <c r="J38">
        <v>24.096115061163101</v>
      </c>
      <c r="K38">
        <v>7.99534436834535</v>
      </c>
      <c r="L38">
        <v>2.9023506905729529E-5</v>
      </c>
      <c r="M38">
        <v>1.8042368973612627E-6</v>
      </c>
      <c r="N38" s="1">
        <v>-1.6701590033107699E-7</v>
      </c>
      <c r="O38" s="1">
        <v>7.5758935051086201E-11</v>
      </c>
      <c r="P38" s="1">
        <v>6.4605818884940101E-10</v>
      </c>
      <c r="Q38">
        <v>66.2040764050315</v>
      </c>
      <c r="S38">
        <v>19.084454575639601</v>
      </c>
      <c r="AA38">
        <v>0.29705427267588602</v>
      </c>
      <c r="AB38">
        <v>5.2295362229522304</v>
      </c>
      <c r="AC38">
        <v>9.1848785237007302</v>
      </c>
      <c r="AJ38">
        <v>0.45726055456647302</v>
      </c>
      <c r="AK38">
        <v>1.4353147799025001E-2</v>
      </c>
      <c r="AL38">
        <v>0.52838629763450096</v>
      </c>
    </row>
    <row r="39" spans="1:38" x14ac:dyDescent="0.2">
      <c r="A39">
        <v>85</v>
      </c>
      <c r="B39">
        <v>751</v>
      </c>
      <c r="C39">
        <v>200</v>
      </c>
      <c r="D39">
        <v>0.378704779573308</v>
      </c>
      <c r="E39">
        <v>16.772124152224901</v>
      </c>
      <c r="F39">
        <v>2.5639033712324202</v>
      </c>
      <c r="G39">
        <v>-271.27341966961342</v>
      </c>
      <c r="H39">
        <v>-235.20335174008085</v>
      </c>
      <c r="I39">
        <v>35.219516603556599</v>
      </c>
      <c r="J39">
        <v>20.5026521295162</v>
      </c>
      <c r="K39">
        <v>6.5416366078425403</v>
      </c>
      <c r="L39">
        <v>3.1653249784305683E-5</v>
      </c>
      <c r="M39">
        <v>1.8236471960729625E-6</v>
      </c>
      <c r="N39" s="1">
        <v>-2.7760123199889199E-7</v>
      </c>
      <c r="O39" s="1">
        <v>5.8082445952069903E-11</v>
      </c>
      <c r="P39" s="1">
        <v>9.4620461811739008E-10</v>
      </c>
      <c r="Q39">
        <v>65.747201009903193</v>
      </c>
      <c r="S39">
        <v>20.901609539846401</v>
      </c>
      <c r="AA39">
        <v>1.9028313518915301</v>
      </c>
      <c r="AB39">
        <v>8.9753218865189801</v>
      </c>
      <c r="AC39">
        <v>2.47303621183974</v>
      </c>
      <c r="AJ39">
        <v>0.77015587481094006</v>
      </c>
      <c r="AK39">
        <v>9.0227658787281603E-2</v>
      </c>
      <c r="AL39">
        <v>0.139616466401777</v>
      </c>
    </row>
    <row r="40" spans="1:38" x14ac:dyDescent="0.2">
      <c r="A40">
        <v>85</v>
      </c>
      <c r="B40">
        <v>751</v>
      </c>
      <c r="C40">
        <v>200</v>
      </c>
      <c r="D40">
        <v>0.378704779573308</v>
      </c>
      <c r="E40">
        <v>32.126087727011097</v>
      </c>
      <c r="F40">
        <v>2.5235379605176198</v>
      </c>
      <c r="G40">
        <v>-508.92780873825171</v>
      </c>
      <c r="H40">
        <v>-440.75885882772582</v>
      </c>
      <c r="I40">
        <v>66.561489928746596</v>
      </c>
      <c r="J40">
        <v>38.356963246237498</v>
      </c>
      <c r="K40">
        <v>12.730574387880999</v>
      </c>
      <c r="L40">
        <v>2.8994097643244754E-5</v>
      </c>
      <c r="M40">
        <v>1.8036256044221514E-6</v>
      </c>
      <c r="N40" s="1">
        <v>-2.7090911642390802E-7</v>
      </c>
      <c r="O40" s="1">
        <v>1.2063518546241701E-10</v>
      </c>
      <c r="P40" s="1">
        <v>1.04272270124638E-9</v>
      </c>
      <c r="Q40">
        <v>66.184648500388505</v>
      </c>
      <c r="S40">
        <v>19.0758697503462</v>
      </c>
      <c r="AA40">
        <v>0.29450493985927501</v>
      </c>
      <c r="AB40">
        <v>5.1637359435279899</v>
      </c>
      <c r="AC40">
        <v>9.2812408658779404</v>
      </c>
      <c r="AJ40">
        <v>0.45165755704104998</v>
      </c>
      <c r="AK40">
        <v>1.42347101868591E-2</v>
      </c>
      <c r="AL40">
        <v>0.53410773277209</v>
      </c>
    </row>
    <row r="41" spans="1:38" x14ac:dyDescent="0.2">
      <c r="A41">
        <v>86</v>
      </c>
      <c r="B41">
        <v>750</v>
      </c>
      <c r="C41">
        <v>200</v>
      </c>
      <c r="D41">
        <v>0.37802912573913899</v>
      </c>
      <c r="E41">
        <v>18.609445363858701</v>
      </c>
      <c r="F41">
        <v>2.5643897718667099</v>
      </c>
      <c r="G41">
        <v>-300.9822394828725</v>
      </c>
      <c r="H41">
        <v>-261.02335165831136</v>
      </c>
      <c r="I41">
        <v>39.054769901344898</v>
      </c>
      <c r="J41">
        <v>22.758474040557001</v>
      </c>
      <c r="K41">
        <v>7.2568708423416597</v>
      </c>
      <c r="L41">
        <v>3.1694347419082074E-5</v>
      </c>
      <c r="M41">
        <v>1.8233817701733022E-6</v>
      </c>
      <c r="N41" s="1">
        <v>-3.1806213044966298E-7</v>
      </c>
      <c r="O41" s="1">
        <v>6.4315687230526605E-11</v>
      </c>
      <c r="P41" s="1">
        <v>1.0787390076310799E-9</v>
      </c>
      <c r="Q41">
        <v>65.720508857678993</v>
      </c>
      <c r="S41">
        <v>20.926751943053599</v>
      </c>
      <c r="AA41">
        <v>1.9298023407914899</v>
      </c>
      <c r="AB41">
        <v>8.9817539352064095</v>
      </c>
      <c r="AC41">
        <v>2.44118292326936</v>
      </c>
      <c r="AJ41">
        <v>0.77068272804205296</v>
      </c>
      <c r="AK41">
        <v>9.1503581362941996E-2</v>
      </c>
      <c r="AL41">
        <v>0.13781369059500301</v>
      </c>
    </row>
    <row r="42" spans="1:38" x14ac:dyDescent="0.2">
      <c r="A42">
        <v>86</v>
      </c>
      <c r="B42">
        <v>750</v>
      </c>
      <c r="C42">
        <v>200</v>
      </c>
      <c r="D42">
        <v>0.37802912573913899</v>
      </c>
      <c r="E42">
        <v>36.690484718845703</v>
      </c>
      <c r="F42">
        <v>2.5234909760601298</v>
      </c>
      <c r="G42">
        <v>-581.06780563794871</v>
      </c>
      <c r="H42">
        <v>-503.34738112200841</v>
      </c>
      <c r="I42">
        <v>75.961906383169705</v>
      </c>
      <c r="J42">
        <v>43.805776495709303</v>
      </c>
      <c r="K42">
        <v>14.5395743701567</v>
      </c>
      <c r="L42">
        <v>2.8989779398757488E-5</v>
      </c>
      <c r="M42">
        <v>1.8033987055805604E-6</v>
      </c>
      <c r="N42" s="1">
        <v>-3.17695102496298E-7</v>
      </c>
      <c r="O42" s="1">
        <v>1.37743085680782E-10</v>
      </c>
      <c r="P42" s="1">
        <v>1.2145532604050899E-9</v>
      </c>
      <c r="Q42">
        <v>66.176035265454303</v>
      </c>
      <c r="S42">
        <v>19.069980259331</v>
      </c>
      <c r="AA42">
        <v>0.29165583008954998</v>
      </c>
      <c r="AB42">
        <v>5.1291017449177296</v>
      </c>
      <c r="AC42">
        <v>9.3332269002074</v>
      </c>
      <c r="AJ42">
        <v>0.44870691498040399</v>
      </c>
      <c r="AK42">
        <v>1.40994736703855E-2</v>
      </c>
      <c r="AL42">
        <v>0.53719361134920995</v>
      </c>
    </row>
    <row r="43" spans="1:38" x14ac:dyDescent="0.2">
      <c r="A43">
        <v>87</v>
      </c>
      <c r="B43">
        <v>749</v>
      </c>
      <c r="C43">
        <v>200</v>
      </c>
      <c r="D43">
        <v>0.37735214988015597</v>
      </c>
      <c r="E43">
        <v>19.324121008124099</v>
      </c>
      <c r="F43">
        <v>2.5646459770599201</v>
      </c>
      <c r="G43">
        <v>-312.51864014316544</v>
      </c>
      <c r="H43">
        <v>-271.08930681584314</v>
      </c>
      <c r="I43">
        <v>40.5315592890692</v>
      </c>
      <c r="J43">
        <v>23.6431278890865</v>
      </c>
      <c r="K43">
        <v>7.5348103328776102</v>
      </c>
      <c r="L43">
        <v>3.1742996583964666E-5</v>
      </c>
      <c r="M43">
        <v>1.823491459380123E-6</v>
      </c>
      <c r="N43" s="1">
        <v>-3.4111349143577301E-7</v>
      </c>
      <c r="O43" s="1">
        <v>6.6675623541147201E-11</v>
      </c>
      <c r="P43" s="1">
        <v>1.1512627439763201E-9</v>
      </c>
      <c r="Q43">
        <v>65.712465081014699</v>
      </c>
      <c r="S43">
        <v>20.936334225649802</v>
      </c>
      <c r="AA43">
        <v>1.93958472736722</v>
      </c>
      <c r="AB43">
        <v>8.9889500098077395</v>
      </c>
      <c r="AC43">
        <v>2.4226659561604098</v>
      </c>
      <c r="AJ43">
        <v>0.77127245998456295</v>
      </c>
      <c r="AK43">
        <v>9.1964116950231198E-2</v>
      </c>
      <c r="AL43">
        <v>0.136763423065205</v>
      </c>
    </row>
    <row r="44" spans="1:38" x14ac:dyDescent="0.2">
      <c r="A44">
        <v>87</v>
      </c>
      <c r="B44">
        <v>749</v>
      </c>
      <c r="C44">
        <v>200</v>
      </c>
      <c r="D44">
        <v>0.37735214988015597</v>
      </c>
      <c r="E44">
        <v>38.286711328574597</v>
      </c>
      <c r="F44">
        <v>2.5234734514052799</v>
      </c>
      <c r="G44">
        <v>-606.20876851110302</v>
      </c>
      <c r="H44">
        <v>-525.24099443916748</v>
      </c>
      <c r="I44">
        <v>79.213201655271106</v>
      </c>
      <c r="J44">
        <v>45.7148855672542</v>
      </c>
      <c r="K44">
        <v>15.1722267207738</v>
      </c>
      <c r="L44">
        <v>2.8997076210903359E-5</v>
      </c>
      <c r="M44">
        <v>1.8033436744741841E-6</v>
      </c>
      <c r="N44" s="1">
        <v>-3.4160504200958599E-7</v>
      </c>
      <c r="O44" s="1">
        <v>1.4367884362102399E-10</v>
      </c>
      <c r="P44" s="1">
        <v>1.2962682115162599E-9</v>
      </c>
      <c r="Q44">
        <v>66.172249138746594</v>
      </c>
      <c r="S44">
        <v>19.065284871149402</v>
      </c>
      <c r="AA44">
        <v>0.28866552767040299</v>
      </c>
      <c r="AB44">
        <v>5.1083549939937303</v>
      </c>
      <c r="AC44">
        <v>9.3654454684397308</v>
      </c>
      <c r="AJ44">
        <v>0.44693892322189999</v>
      </c>
      <c r="AK44">
        <v>1.39563811762985E-2</v>
      </c>
      <c r="AL44">
        <v>0.53910469560179997</v>
      </c>
    </row>
    <row r="45" spans="1:38" x14ac:dyDescent="0.2">
      <c r="A45">
        <v>89</v>
      </c>
      <c r="B45">
        <v>764</v>
      </c>
      <c r="C45">
        <v>175</v>
      </c>
      <c r="D45">
        <v>0.41388468398978101</v>
      </c>
      <c r="E45">
        <v>0.11514784563969301</v>
      </c>
      <c r="F45">
        <v>2.5668943217790998</v>
      </c>
      <c r="G45">
        <v>-1.8702894778893542</v>
      </c>
      <c r="H45">
        <v>-1.6176126913246043</v>
      </c>
      <c r="I45">
        <v>0.243626077775394</v>
      </c>
      <c r="J45">
        <v>0.14039456182644899</v>
      </c>
      <c r="K45">
        <v>4.4858818168986597E-2</v>
      </c>
      <c r="L45">
        <v>3.1285027155947395E-5</v>
      </c>
      <c r="M45">
        <v>1.8212312623579228E-6</v>
      </c>
      <c r="N45" s="1">
        <v>-1.2941946651020601E-9</v>
      </c>
      <c r="O45" s="1">
        <v>4.0065825732902599E-13</v>
      </c>
      <c r="P45" s="1">
        <v>4.7365374017041302E-12</v>
      </c>
      <c r="Q45">
        <v>65.558823449028495</v>
      </c>
      <c r="S45">
        <v>21.169885020246902</v>
      </c>
      <c r="AA45">
        <v>2.1681166986870499</v>
      </c>
      <c r="AB45">
        <v>9.2588516425726404</v>
      </c>
      <c r="AC45">
        <v>1.84432318946481</v>
      </c>
      <c r="AJ45">
        <v>0.79336318210262002</v>
      </c>
      <c r="AK45">
        <v>0.102661678710139</v>
      </c>
      <c r="AL45">
        <v>0.103975139187239</v>
      </c>
    </row>
    <row r="46" spans="1:38" x14ac:dyDescent="0.2">
      <c r="A46">
        <v>90</v>
      </c>
      <c r="B46">
        <v>763</v>
      </c>
      <c r="C46">
        <v>175</v>
      </c>
      <c r="D46">
        <v>0.41325145973073701</v>
      </c>
      <c r="E46">
        <v>1.35470360013872</v>
      </c>
      <c r="F46">
        <v>2.5653628540143698</v>
      </c>
      <c r="G46">
        <v>-21.991428020587023</v>
      </c>
      <c r="H46">
        <v>-19.02293231870809</v>
      </c>
      <c r="I46">
        <v>2.8649285353268601</v>
      </c>
      <c r="J46">
        <v>1.6518126486339799</v>
      </c>
      <c r="K46">
        <v>0.52807484836651397</v>
      </c>
      <c r="L46">
        <v>3.1324690597915761E-5</v>
      </c>
      <c r="M46">
        <v>1.8232130991983979E-6</v>
      </c>
      <c r="N46" s="1">
        <v>-1.5636066609822899E-8</v>
      </c>
      <c r="O46" s="1">
        <v>4.7233869671504603E-12</v>
      </c>
      <c r="P46" s="1">
        <v>5.6898347643874701E-11</v>
      </c>
      <c r="Q46">
        <v>65.662873041504099</v>
      </c>
      <c r="S46">
        <v>21.069338706415</v>
      </c>
      <c r="AA46">
        <v>2.0608864103086701</v>
      </c>
      <c r="AB46">
        <v>9.2271253468653001</v>
      </c>
      <c r="AC46">
        <v>1.9797764949068499</v>
      </c>
      <c r="AJ46">
        <v>0.79077091170893199</v>
      </c>
      <c r="AK46">
        <v>9.7599841180029595E-2</v>
      </c>
      <c r="AL46">
        <v>0.111629247111037</v>
      </c>
    </row>
    <row r="47" spans="1:38" x14ac:dyDescent="0.2">
      <c r="A47">
        <v>91</v>
      </c>
      <c r="B47">
        <v>762</v>
      </c>
      <c r="C47">
        <v>175</v>
      </c>
      <c r="D47">
        <v>0.41261701202724399</v>
      </c>
      <c r="E47">
        <v>2.6650911792307501</v>
      </c>
      <c r="F47">
        <v>2.5636915040962198</v>
      </c>
      <c r="G47">
        <v>-43.236131970034499</v>
      </c>
      <c r="H47">
        <v>-37.404723668787774</v>
      </c>
      <c r="I47">
        <v>5.6333944850956099</v>
      </c>
      <c r="J47">
        <v>3.2495159244398799</v>
      </c>
      <c r="K47">
        <v>1.03955221405247</v>
      </c>
      <c r="L47">
        <v>3.1354070215041868E-5</v>
      </c>
      <c r="M47">
        <v>1.8250319265726426E-6</v>
      </c>
      <c r="N47" s="1">
        <v>-3.1528917823577302E-8</v>
      </c>
      <c r="O47" s="1">
        <v>9.3132007211751103E-12</v>
      </c>
      <c r="P47" s="1">
        <v>1.1412678099278701E-10</v>
      </c>
      <c r="Q47">
        <v>65.765168177922405</v>
      </c>
      <c r="S47">
        <v>20.964704875845602</v>
      </c>
      <c r="AA47">
        <v>1.9506932571050799</v>
      </c>
      <c r="AB47">
        <v>9.1807733833637499</v>
      </c>
      <c r="AC47">
        <v>2.13866030576306</v>
      </c>
      <c r="AJ47">
        <v>0.78698134455628199</v>
      </c>
      <c r="AK47">
        <v>9.2402759927746103E-2</v>
      </c>
      <c r="AL47">
        <v>0.120615895515971</v>
      </c>
    </row>
    <row r="48" spans="1:38" x14ac:dyDescent="0.2">
      <c r="A48">
        <v>92</v>
      </c>
      <c r="B48">
        <v>761</v>
      </c>
      <c r="C48">
        <v>175</v>
      </c>
      <c r="D48">
        <v>0.411981337330175</v>
      </c>
      <c r="E48">
        <v>4.0775332659404198</v>
      </c>
      <c r="F48">
        <v>2.5618050519077098</v>
      </c>
      <c r="G48">
        <v>-66.101797796801563</v>
      </c>
      <c r="H48">
        <v>-57.193189227379214</v>
      </c>
      <c r="I48">
        <v>8.6144259241138492</v>
      </c>
      <c r="J48">
        <v>4.9710410253014903</v>
      </c>
      <c r="K48">
        <v>1.5916641521586401</v>
      </c>
      <c r="L48">
        <v>3.1369219487524907E-5</v>
      </c>
      <c r="M48">
        <v>1.826658943842329E-6</v>
      </c>
      <c r="N48" s="1">
        <v>-4.9311412306779501E-8</v>
      </c>
      <c r="O48" s="1">
        <v>1.42858321493893E-11</v>
      </c>
      <c r="P48" s="1">
        <v>1.7765442132777599E-10</v>
      </c>
      <c r="Q48">
        <v>65.866764726720703</v>
      </c>
      <c r="S48">
        <v>20.8528679998008</v>
      </c>
      <c r="AA48">
        <v>1.8347205235018</v>
      </c>
      <c r="AB48">
        <v>9.1139809346341796</v>
      </c>
      <c r="AC48">
        <v>2.3316658153424301</v>
      </c>
      <c r="AJ48">
        <v>0.78151682211543905</v>
      </c>
      <c r="AK48">
        <v>8.6938256075800996E-2</v>
      </c>
      <c r="AL48">
        <v>0.13154492180875799</v>
      </c>
    </row>
    <row r="49" spans="1:38" x14ac:dyDescent="0.2">
      <c r="A49">
        <v>93</v>
      </c>
      <c r="B49">
        <v>760</v>
      </c>
      <c r="C49">
        <v>175</v>
      </c>
      <c r="D49">
        <v>0.41134443207665999</v>
      </c>
      <c r="E49">
        <v>5.6550687447607402</v>
      </c>
      <c r="F49">
        <v>2.55955322453425</v>
      </c>
      <c r="G49">
        <v>-91.592883924896938</v>
      </c>
      <c r="H49">
        <v>-79.256930523532105</v>
      </c>
      <c r="I49">
        <v>11.940137832226499</v>
      </c>
      <c r="J49">
        <v>6.89214289010825</v>
      </c>
      <c r="K49">
        <v>2.2093968160360302</v>
      </c>
      <c r="L49">
        <v>3.1362264652424286E-5</v>
      </c>
      <c r="M49">
        <v>1.8280367239337831E-6</v>
      </c>
      <c r="N49" s="1">
        <v>-6.96132408536197E-8</v>
      </c>
      <c r="O49" s="1">
        <v>1.9875768591413701E-11</v>
      </c>
      <c r="P49" s="1">
        <v>2.49815739132957E-10</v>
      </c>
      <c r="Q49">
        <v>65.969778857517198</v>
      </c>
      <c r="S49">
        <v>20.727581710984801</v>
      </c>
      <c r="AA49">
        <v>1.7073211132716599</v>
      </c>
      <c r="AB49">
        <v>9.0150881072574602</v>
      </c>
      <c r="AC49">
        <v>2.5802302109687001</v>
      </c>
      <c r="AJ49">
        <v>0.77341861349101004</v>
      </c>
      <c r="AK49">
        <v>8.0941387639039797E-2</v>
      </c>
      <c r="AL49">
        <v>0.14563999886994899</v>
      </c>
    </row>
    <row r="50" spans="1:38" x14ac:dyDescent="0.2">
      <c r="A50">
        <v>94</v>
      </c>
      <c r="B50">
        <v>759</v>
      </c>
      <c r="C50">
        <v>175</v>
      </c>
      <c r="D50">
        <v>0.41070629269001901</v>
      </c>
      <c r="E50">
        <v>7.5947076782841298</v>
      </c>
      <c r="F50">
        <v>2.5573667154321802</v>
      </c>
      <c r="G50">
        <v>-122.88956778355478</v>
      </c>
      <c r="H50">
        <v>-106.34991300325326</v>
      </c>
      <c r="I50">
        <v>16.024468129924401</v>
      </c>
      <c r="J50">
        <v>9.2518994234334802</v>
      </c>
      <c r="K50">
        <v>2.9697374383011201</v>
      </c>
      <c r="L50">
        <v>3.1328207027424388E-5</v>
      </c>
      <c r="M50">
        <v>1.8286450980443056E-6</v>
      </c>
      <c r="N50" s="1">
        <v>-9.4815047538411494E-8</v>
      </c>
      <c r="O50" s="1">
        <v>2.6773817659681199E-11</v>
      </c>
      <c r="P50" s="1">
        <v>3.3916636105551498E-10</v>
      </c>
      <c r="Q50">
        <v>66.0451899407025</v>
      </c>
      <c r="S50">
        <v>20.6155998826071</v>
      </c>
      <c r="AA50">
        <v>1.59733881293207</v>
      </c>
      <c r="AB50">
        <v>8.8895627410320603</v>
      </c>
      <c r="AC50">
        <v>2.8523086227261101</v>
      </c>
      <c r="AJ50">
        <v>0.76312712517398495</v>
      </c>
      <c r="AK50">
        <v>7.5774717527847202E-2</v>
      </c>
      <c r="AL50">
        <v>0.16109815729816701</v>
      </c>
    </row>
    <row r="51" spans="1:38" x14ac:dyDescent="0.2">
      <c r="A51">
        <v>94</v>
      </c>
      <c r="B51">
        <v>759</v>
      </c>
      <c r="C51">
        <v>175</v>
      </c>
      <c r="D51">
        <v>0.41070629269001901</v>
      </c>
      <c r="E51">
        <v>1.6874134122848601</v>
      </c>
      <c r="F51">
        <v>2.5233729797220401</v>
      </c>
      <c r="G51">
        <v>-26.827728646941019</v>
      </c>
      <c r="H51">
        <v>-23.194734143912921</v>
      </c>
      <c r="I51">
        <v>3.5198319072112598</v>
      </c>
      <c r="J51">
        <v>2.0167813049926102</v>
      </c>
      <c r="K51">
        <v>0.66871343469435796</v>
      </c>
      <c r="L51">
        <v>2.912377805443113E-5</v>
      </c>
      <c r="M51">
        <v>1.8087622504641878E-6</v>
      </c>
      <c r="N51" s="1">
        <v>-1.16548295017618E-8</v>
      </c>
      <c r="O51" s="1">
        <v>6.3372131523716403E-12</v>
      </c>
      <c r="P51" s="1">
        <v>4.7407670525011703E-11</v>
      </c>
      <c r="Q51">
        <v>66.295292420842998</v>
      </c>
      <c r="S51">
        <v>19.145367600003599</v>
      </c>
      <c r="AA51">
        <v>0.32602413118888202</v>
      </c>
      <c r="AB51">
        <v>5.5924976359845298</v>
      </c>
      <c r="AC51">
        <v>8.6408182119798695</v>
      </c>
      <c r="AJ51">
        <v>0.48810016963215302</v>
      </c>
      <c r="AK51">
        <v>1.5724023563851702E-2</v>
      </c>
      <c r="AL51">
        <v>0.49617580680399398</v>
      </c>
    </row>
    <row r="52" spans="1:38" x14ac:dyDescent="0.2">
      <c r="A52">
        <v>95</v>
      </c>
      <c r="B52">
        <v>758</v>
      </c>
      <c r="C52">
        <v>175</v>
      </c>
      <c r="D52">
        <v>0.41006691557969399</v>
      </c>
      <c r="E52">
        <v>9.5792388392227696</v>
      </c>
      <c r="F52">
        <v>2.5587029453727301</v>
      </c>
      <c r="G52">
        <v>-155.02861126023342</v>
      </c>
      <c r="H52">
        <v>-134.19966476220952</v>
      </c>
      <c r="I52">
        <v>20.199725062332199</v>
      </c>
      <c r="J52">
        <v>11.674071103879401</v>
      </c>
      <c r="K52">
        <v>3.7437870060478402</v>
      </c>
      <c r="L52">
        <v>3.1350426487195904E-5</v>
      </c>
      <c r="M52">
        <v>1.8273767829994298E-6</v>
      </c>
      <c r="N52" s="1">
        <v>-1.2363234938088801E-7</v>
      </c>
      <c r="O52" s="1">
        <v>3.3665003066686599E-11</v>
      </c>
      <c r="P52" s="1">
        <v>4.3952857297470999E-10</v>
      </c>
      <c r="Q52">
        <v>65.962934722770598</v>
      </c>
      <c r="S52">
        <v>20.692371202081201</v>
      </c>
      <c r="AA52">
        <v>1.67986906817719</v>
      </c>
      <c r="AB52">
        <v>8.9075273931729697</v>
      </c>
      <c r="AC52">
        <v>2.7572976137979901</v>
      </c>
      <c r="AJ52">
        <v>0.76459969280572404</v>
      </c>
      <c r="AK52">
        <v>7.9682541266187804E-2</v>
      </c>
      <c r="AL52">
        <v>0.155717765928087</v>
      </c>
    </row>
    <row r="53" spans="1:38" x14ac:dyDescent="0.2">
      <c r="A53">
        <v>95</v>
      </c>
      <c r="B53">
        <v>758</v>
      </c>
      <c r="C53">
        <v>175</v>
      </c>
      <c r="D53">
        <v>0.41006691557969399</v>
      </c>
      <c r="E53">
        <v>10.086586351769199</v>
      </c>
      <c r="F53">
        <v>2.5231328526336401</v>
      </c>
      <c r="G53">
        <v>-160.2772081187394</v>
      </c>
      <c r="H53">
        <v>-138.60368767394596</v>
      </c>
      <c r="I53">
        <v>21.018785283221099</v>
      </c>
      <c r="J53">
        <v>12.0506999339238</v>
      </c>
      <c r="K53">
        <v>3.9976437789397101</v>
      </c>
      <c r="L53">
        <v>2.907262019038017E-5</v>
      </c>
      <c r="M53">
        <v>1.8078190310040236E-6</v>
      </c>
      <c r="N53" s="1">
        <v>-7.0514519227614901E-8</v>
      </c>
      <c r="O53" s="1">
        <v>3.78985351114409E-11</v>
      </c>
      <c r="P53" s="1">
        <v>2.8573367498394198E-10</v>
      </c>
      <c r="Q53">
        <v>66.268105778863202</v>
      </c>
      <c r="S53">
        <v>19.132979827780701</v>
      </c>
      <c r="AA53">
        <v>0.32214772350517001</v>
      </c>
      <c r="AB53">
        <v>5.4994375066195103</v>
      </c>
      <c r="AC53">
        <v>8.7773291632312898</v>
      </c>
      <c r="AJ53">
        <v>0.480203916026059</v>
      </c>
      <c r="AK53">
        <v>1.554437565465E-2</v>
      </c>
      <c r="AL53">
        <v>0.50425170831929</v>
      </c>
    </row>
    <row r="54" spans="1:38" x14ac:dyDescent="0.2">
      <c r="A54">
        <v>96</v>
      </c>
      <c r="B54">
        <v>757</v>
      </c>
      <c r="C54">
        <v>175</v>
      </c>
      <c r="D54">
        <v>0.40942629714119499</v>
      </c>
      <c r="E54">
        <v>14.480974138039199</v>
      </c>
      <c r="F54">
        <v>2.5608981233942401</v>
      </c>
      <c r="G54">
        <v>-234.43814398485378</v>
      </c>
      <c r="H54">
        <v>-203.00240182057874</v>
      </c>
      <c r="I54">
        <v>30.515693990462601</v>
      </c>
      <c r="J54">
        <v>17.654777261544201</v>
      </c>
      <c r="K54">
        <v>5.6546467060727803</v>
      </c>
      <c r="L54">
        <v>3.1351317893807359E-5</v>
      </c>
      <c r="M54">
        <v>1.8247322654612271E-6</v>
      </c>
      <c r="N54" s="1">
        <v>-1.9312233572652901E-7</v>
      </c>
      <c r="O54" s="1">
        <v>5.0654967231010503E-11</v>
      </c>
      <c r="P54" s="1">
        <v>6.8255812295320102E-10</v>
      </c>
      <c r="Q54">
        <v>65.811292815883405</v>
      </c>
      <c r="S54">
        <v>20.827060603043201</v>
      </c>
      <c r="AA54">
        <v>1.82637276897446</v>
      </c>
      <c r="AB54">
        <v>8.9227073098279508</v>
      </c>
      <c r="AC54">
        <v>2.61256650227083</v>
      </c>
      <c r="AJ54">
        <v>0.765842523983436</v>
      </c>
      <c r="AK54">
        <v>8.6624959317508396E-2</v>
      </c>
      <c r="AL54">
        <v>0.14753251669905501</v>
      </c>
    </row>
    <row r="55" spans="1:38" x14ac:dyDescent="0.2">
      <c r="A55">
        <v>96</v>
      </c>
      <c r="B55">
        <v>757</v>
      </c>
      <c r="C55">
        <v>175</v>
      </c>
      <c r="D55">
        <v>0.40942629714119499</v>
      </c>
      <c r="E55">
        <v>26.593962486308801</v>
      </c>
      <c r="F55">
        <v>2.5227803705121401</v>
      </c>
      <c r="G55">
        <v>-422.2592313062267</v>
      </c>
      <c r="H55">
        <v>-365.24333943458163</v>
      </c>
      <c r="I55">
        <v>55.347174558700203</v>
      </c>
      <c r="J55">
        <v>31.7503214409201</v>
      </c>
      <c r="K55">
        <v>10.541529019789399</v>
      </c>
      <c r="L55">
        <v>2.8981396643452281E-5</v>
      </c>
      <c r="M55">
        <v>1.8062404250384927E-6</v>
      </c>
      <c r="N55" s="1">
        <v>-1.85653464420461E-7</v>
      </c>
      <c r="O55" s="1">
        <v>1.0002044826176799E-10</v>
      </c>
      <c r="P55" s="1">
        <v>7.5218168568531804E-10</v>
      </c>
      <c r="Q55">
        <v>66.222797451875095</v>
      </c>
      <c r="S55">
        <v>19.116092786246</v>
      </c>
      <c r="AA55">
        <v>0.31878782002772099</v>
      </c>
      <c r="AB55">
        <v>5.3541987544136704</v>
      </c>
      <c r="AC55">
        <v>8.9881231874373402</v>
      </c>
      <c r="AJ55">
        <v>0.46786536400378398</v>
      </c>
      <c r="AK55">
        <v>1.5393554625179001E-2</v>
      </c>
      <c r="AL55">
        <v>0.51674108137103603</v>
      </c>
    </row>
    <row r="56" spans="1:38" x14ac:dyDescent="0.2">
      <c r="A56">
        <v>97</v>
      </c>
      <c r="B56">
        <v>756</v>
      </c>
      <c r="C56">
        <v>175</v>
      </c>
      <c r="D56">
        <v>0.40878443375601398</v>
      </c>
      <c r="E56">
        <v>17.147556150432202</v>
      </c>
      <c r="F56">
        <v>2.56207105572215</v>
      </c>
      <c r="G56">
        <v>-277.64067592040772</v>
      </c>
      <c r="H56">
        <v>-240.47554121782775</v>
      </c>
      <c r="I56">
        <v>36.112456592896898</v>
      </c>
      <c r="J56">
        <v>20.9132603212189</v>
      </c>
      <c r="K56">
        <v>6.6928495648607003</v>
      </c>
      <c r="L56">
        <v>3.1369123640650368E-5</v>
      </c>
      <c r="M56">
        <v>1.8234279647667499E-6</v>
      </c>
      <c r="N56" s="1">
        <v>-2.3610008636452701E-7</v>
      </c>
      <c r="O56" s="1">
        <v>5.9806530924412603E-11</v>
      </c>
      <c r="P56" s="1">
        <v>8.2971836246029399E-10</v>
      </c>
      <c r="Q56">
        <v>65.732126410282007</v>
      </c>
      <c r="S56">
        <v>20.8972655170591</v>
      </c>
      <c r="AA56">
        <v>1.90276494035141</v>
      </c>
      <c r="AB56">
        <v>8.9303405290325397</v>
      </c>
      <c r="AC56">
        <v>2.5375026032747798</v>
      </c>
      <c r="AJ56">
        <v>0.76646736290523998</v>
      </c>
      <c r="AK56">
        <v>9.0244673539736295E-2</v>
      </c>
      <c r="AL56">
        <v>0.14328796355502299</v>
      </c>
    </row>
    <row r="57" spans="1:38" x14ac:dyDescent="0.2">
      <c r="A57">
        <v>97</v>
      </c>
      <c r="B57">
        <v>756</v>
      </c>
      <c r="C57">
        <v>175</v>
      </c>
      <c r="D57">
        <v>0.40878443375601398</v>
      </c>
      <c r="E57">
        <v>34.741962901716597</v>
      </c>
      <c r="F57">
        <v>2.5226157850681399</v>
      </c>
      <c r="G57">
        <v>-551.3715601900617</v>
      </c>
      <c r="H57">
        <v>-477.02965069798643</v>
      </c>
      <c r="I57">
        <v>72.236223574867793</v>
      </c>
      <c r="J57">
        <v>41.465475311818203</v>
      </c>
      <c r="K57">
        <v>13.772197536922199</v>
      </c>
      <c r="L57">
        <v>2.8941285342430202E-5</v>
      </c>
      <c r="M57">
        <v>1.8054836579499149E-6</v>
      </c>
      <c r="N57" s="1">
        <v>-2.4629394432561601E-7</v>
      </c>
      <c r="O57" s="1">
        <v>1.30704670115577E-10</v>
      </c>
      <c r="P57" s="1">
        <v>9.9320222019630692E-10</v>
      </c>
      <c r="Q57">
        <v>66.199911235741396</v>
      </c>
      <c r="S57">
        <v>19.1058021554073</v>
      </c>
      <c r="AA57">
        <v>0.31563812987832601</v>
      </c>
      <c r="AB57">
        <v>5.2762198222526404</v>
      </c>
      <c r="AC57">
        <v>9.1024286567201802</v>
      </c>
      <c r="AJ57">
        <v>0.46123330438820298</v>
      </c>
      <c r="AK57">
        <v>1.5247478501050101E-2</v>
      </c>
      <c r="AL57">
        <v>0.523519217110746</v>
      </c>
    </row>
    <row r="58" spans="1:38" x14ac:dyDescent="0.2">
      <c r="A58">
        <v>98</v>
      </c>
      <c r="B58">
        <v>755</v>
      </c>
      <c r="C58">
        <v>175</v>
      </c>
      <c r="D58">
        <v>0.40814132179156798</v>
      </c>
      <c r="E58">
        <v>18.2521878331134</v>
      </c>
      <c r="F58">
        <v>2.5626238997067201</v>
      </c>
      <c r="G58">
        <v>-295.52249586413132</v>
      </c>
      <c r="H58">
        <v>-256.02470225387088</v>
      </c>
      <c r="I58">
        <v>38.416372718241902</v>
      </c>
      <c r="J58">
        <v>22.268474146249002</v>
      </c>
      <c r="K58">
        <v>7.1224606292020596</v>
      </c>
      <c r="L58">
        <v>3.1401713840301329E-5</v>
      </c>
      <c r="M58">
        <v>1.8230511519107448E-6</v>
      </c>
      <c r="N58" s="1">
        <v>-2.59465465041048E-7</v>
      </c>
      <c r="O58" s="1">
        <v>6.3538546317671097E-11</v>
      </c>
      <c r="P58" s="1">
        <v>9.0671008803055901E-10</v>
      </c>
      <c r="Q58">
        <v>65.700662558828597</v>
      </c>
      <c r="S58">
        <v>20.926682891540398</v>
      </c>
      <c r="AA58">
        <v>1.9343762351065199</v>
      </c>
      <c r="AB58">
        <v>8.9373464948151806</v>
      </c>
      <c r="AC58">
        <v>2.5009318197091601</v>
      </c>
      <c r="AJ58">
        <v>0.76704144657058904</v>
      </c>
      <c r="AK58">
        <v>9.1740684071970502E-2</v>
      </c>
      <c r="AL58">
        <v>0.14121786935743899</v>
      </c>
    </row>
    <row r="59" spans="1:38" x14ac:dyDescent="0.2">
      <c r="A59">
        <v>98</v>
      </c>
      <c r="B59">
        <v>755</v>
      </c>
      <c r="C59">
        <v>175</v>
      </c>
      <c r="D59">
        <v>0.40814132179156798</v>
      </c>
      <c r="E59">
        <v>37.861486369768301</v>
      </c>
      <c r="F59">
        <v>2.5225480773072202</v>
      </c>
      <c r="G59">
        <v>-600.69503354082019</v>
      </c>
      <c r="H59">
        <v>-519.81791705195815</v>
      </c>
      <c r="I59">
        <v>78.662759800478696</v>
      </c>
      <c r="J59">
        <v>45.185384632051601</v>
      </c>
      <c r="K59">
        <v>15.0092229005937</v>
      </c>
      <c r="L59">
        <v>2.893119174443697E-5</v>
      </c>
      <c r="M59">
        <v>1.8052006645187661E-6</v>
      </c>
      <c r="N59" s="1">
        <v>-2.7531230179598299E-7</v>
      </c>
      <c r="O59" s="1">
        <v>1.4242628387458199E-10</v>
      </c>
      <c r="P59" s="1">
        <v>1.10214742736112E-9</v>
      </c>
      <c r="Q59">
        <v>66.190190350104899</v>
      </c>
      <c r="S59">
        <v>19.099171901293801</v>
      </c>
      <c r="AA59">
        <v>0.31243633811656302</v>
      </c>
      <c r="AB59">
        <v>5.2371752766743898</v>
      </c>
      <c r="AC59">
        <v>9.1610261338101999</v>
      </c>
      <c r="AJ59">
        <v>0.45791063915800301</v>
      </c>
      <c r="AK59">
        <v>1.5095793781977399E-2</v>
      </c>
      <c r="AL59">
        <v>0.52699356706001799</v>
      </c>
    </row>
    <row r="60" spans="1:38" x14ac:dyDescent="0.2">
      <c r="A60">
        <v>99</v>
      </c>
      <c r="B60">
        <v>754</v>
      </c>
      <c r="C60">
        <v>175</v>
      </c>
      <c r="D60">
        <v>0.40749695760112897</v>
      </c>
      <c r="E60">
        <v>18.781975612347399</v>
      </c>
      <c r="F60">
        <v>2.5629345620900299</v>
      </c>
      <c r="G60">
        <v>-304.08190703901136</v>
      </c>
      <c r="H60">
        <v>-263.50017591569474</v>
      </c>
      <c r="I60">
        <v>39.509060140502001</v>
      </c>
      <c r="J60">
        <v>22.923344877240101</v>
      </c>
      <c r="K60">
        <v>7.3283086857399402</v>
      </c>
      <c r="L60">
        <v>3.1441415262596342E-5</v>
      </c>
      <c r="M60">
        <v>1.8230552580073955E-6</v>
      </c>
      <c r="N60" s="1">
        <v>-2.75691643578313E-7</v>
      </c>
      <c r="O60" s="1">
        <v>6.5284228124619998E-11</v>
      </c>
      <c r="P60" s="1">
        <v>9.5808556817225703E-10</v>
      </c>
      <c r="Q60">
        <v>65.688373722629393</v>
      </c>
      <c r="S60">
        <v>20.939920992508</v>
      </c>
      <c r="AA60">
        <v>1.9481652358800301</v>
      </c>
      <c r="AB60">
        <v>8.9446668850033202</v>
      </c>
      <c r="AC60">
        <v>2.4788731639791699</v>
      </c>
      <c r="AJ60">
        <v>0.76764156830901398</v>
      </c>
      <c r="AK60">
        <v>9.2391260517418097E-2</v>
      </c>
      <c r="AL60">
        <v>0.139967171173567</v>
      </c>
    </row>
    <row r="61" spans="1:38" x14ac:dyDescent="0.2">
      <c r="A61">
        <v>99</v>
      </c>
      <c r="B61">
        <v>754</v>
      </c>
      <c r="C61">
        <v>175</v>
      </c>
      <c r="D61">
        <v>0.40749695760112897</v>
      </c>
      <c r="E61">
        <v>39.164895250614599</v>
      </c>
      <c r="F61">
        <v>2.5225161137189098</v>
      </c>
      <c r="G61">
        <v>-621.22299855957658</v>
      </c>
      <c r="H61">
        <v>-537.70022764579289</v>
      </c>
      <c r="I61">
        <v>81.315066848837802</v>
      </c>
      <c r="J61">
        <v>46.7418388171602</v>
      </c>
      <c r="K61">
        <v>15.526122920528801</v>
      </c>
      <c r="L61">
        <v>2.8932978864090753E-5</v>
      </c>
      <c r="M61">
        <v>1.8050996443134666E-6</v>
      </c>
      <c r="N61" s="1">
        <v>-2.9324166972426602E-7</v>
      </c>
      <c r="O61" s="1">
        <v>1.47290040504124E-10</v>
      </c>
      <c r="P61" s="1">
        <v>1.1643629764726499E-9</v>
      </c>
      <c r="Q61">
        <v>66.185525456949605</v>
      </c>
      <c r="S61">
        <v>19.093937855250601</v>
      </c>
      <c r="AA61">
        <v>0.30920668558318298</v>
      </c>
      <c r="AB61">
        <v>5.2130580802246396</v>
      </c>
      <c r="AC61">
        <v>9.1982719219918696</v>
      </c>
      <c r="AJ61">
        <v>0.45585763760743098</v>
      </c>
      <c r="AK61">
        <v>1.4941573579809599E-2</v>
      </c>
      <c r="AL61">
        <v>0.529200788812759</v>
      </c>
    </row>
    <row r="62" spans="1:38" x14ac:dyDescent="0.2">
      <c r="A62">
        <v>101</v>
      </c>
      <c r="B62">
        <v>774</v>
      </c>
      <c r="C62">
        <v>150</v>
      </c>
      <c r="D62">
        <v>0.44641216635630598</v>
      </c>
      <c r="E62">
        <v>0.23996744053481001</v>
      </c>
      <c r="F62">
        <v>2.5649123226033699</v>
      </c>
      <c r="G62">
        <v>-3.9053292674276272</v>
      </c>
      <c r="H62">
        <v>-3.3706422999571917</v>
      </c>
      <c r="I62">
        <v>0.51061162915574199</v>
      </c>
      <c r="J62">
        <v>0.29198581069046298</v>
      </c>
      <c r="K62">
        <v>9.3557755725250102E-2</v>
      </c>
      <c r="L62">
        <v>3.1010695194726285E-5</v>
      </c>
      <c r="M62">
        <v>1.821655075079125E-6</v>
      </c>
      <c r="N62" s="1">
        <v>-1.94871076762839E-9</v>
      </c>
      <c r="O62" s="1">
        <v>8.4158670925884501E-13</v>
      </c>
      <c r="P62" s="1">
        <v>7.6918825286520105E-12</v>
      </c>
      <c r="Q62">
        <v>65.576516956280201</v>
      </c>
      <c r="S62">
        <v>21.162718020780598</v>
      </c>
      <c r="AA62">
        <v>2.1580753127116599</v>
      </c>
      <c r="AB62">
        <v>9.2794914539207092</v>
      </c>
      <c r="AC62">
        <v>1.82319825630671</v>
      </c>
      <c r="AJ62">
        <v>0.79505052064831905</v>
      </c>
      <c r="AK62">
        <v>0.102175774216597</v>
      </c>
      <c r="AL62">
        <v>0.10277370513508199</v>
      </c>
    </row>
    <row r="63" spans="1:38" x14ac:dyDescent="0.2">
      <c r="A63">
        <v>102</v>
      </c>
      <c r="B63">
        <v>773</v>
      </c>
      <c r="C63">
        <v>150</v>
      </c>
      <c r="D63">
        <v>0.44581608755914398</v>
      </c>
      <c r="E63">
        <v>0.64747828234989302</v>
      </c>
      <c r="F63">
        <v>2.5644843743301302</v>
      </c>
      <c r="G63">
        <v>-10.534830947389844</v>
      </c>
      <c r="H63">
        <v>-9.0942359439444225</v>
      </c>
      <c r="I63">
        <v>1.3770444041919601</v>
      </c>
      <c r="J63">
        <v>0.78795157336292099</v>
      </c>
      <c r="K63">
        <v>0.252478934491078</v>
      </c>
      <c r="L63">
        <v>3.104501262051745E-5</v>
      </c>
      <c r="M63">
        <v>1.8226052634154034E-6</v>
      </c>
      <c r="N63" s="1">
        <v>-5.4221016897903602E-9</v>
      </c>
      <c r="O63" s="1">
        <v>2.2714065358301202E-12</v>
      </c>
      <c r="P63" s="1">
        <v>2.1231103599225599E-11</v>
      </c>
      <c r="Q63">
        <v>65.617268832784802</v>
      </c>
      <c r="S63">
        <v>21.128021961009299</v>
      </c>
      <c r="AA63">
        <v>2.1199418148725799</v>
      </c>
      <c r="AB63">
        <v>9.2793445941970401</v>
      </c>
      <c r="AC63">
        <v>1.8554227971360999</v>
      </c>
      <c r="AJ63">
        <v>0.79503916665194996</v>
      </c>
      <c r="AK63">
        <v>0.100370468864735</v>
      </c>
      <c r="AL63">
        <v>0.10459036448331301</v>
      </c>
    </row>
    <row r="64" spans="1:38" x14ac:dyDescent="0.2">
      <c r="A64">
        <v>103</v>
      </c>
      <c r="B64">
        <v>772</v>
      </c>
      <c r="C64">
        <v>150</v>
      </c>
      <c r="D64">
        <v>0.44521886810505501</v>
      </c>
      <c r="E64">
        <v>1.05560981265188</v>
      </c>
      <c r="F64">
        <v>2.5640625341207999</v>
      </c>
      <c r="G64">
        <v>-17.171270185849536</v>
      </c>
      <c r="H64">
        <v>-14.826029420643245</v>
      </c>
      <c r="I64">
        <v>2.2439274412345398</v>
      </c>
      <c r="J64">
        <v>1.28482503864691</v>
      </c>
      <c r="K64">
        <v>0.41169425417849398</v>
      </c>
      <c r="L64">
        <v>3.1079062247988412E-5</v>
      </c>
      <c r="M64">
        <v>1.8235252148687934E-6</v>
      </c>
      <c r="N64" s="1">
        <v>-9.1143401893877102E-9</v>
      </c>
      <c r="O64" s="1">
        <v>3.7040972653668404E-12</v>
      </c>
      <c r="P64" s="1">
        <v>3.5411127411040297E-11</v>
      </c>
      <c r="Q64">
        <v>65.656782714263898</v>
      </c>
      <c r="S64">
        <v>21.0940713268294</v>
      </c>
      <c r="AA64">
        <v>2.0827121699937101</v>
      </c>
      <c r="AB64">
        <v>9.2783931590373907</v>
      </c>
      <c r="AC64">
        <v>1.88804062987542</v>
      </c>
      <c r="AJ64">
        <v>0.79496203468981497</v>
      </c>
      <c r="AK64">
        <v>9.8608343280766106E-2</v>
      </c>
      <c r="AL64">
        <v>0.106429622029418</v>
      </c>
    </row>
    <row r="65" spans="1:38" x14ac:dyDescent="0.2">
      <c r="A65">
        <v>104</v>
      </c>
      <c r="B65">
        <v>771</v>
      </c>
      <c r="C65">
        <v>150</v>
      </c>
      <c r="D65">
        <v>0.44462050471675502</v>
      </c>
      <c r="E65">
        <v>1.6955218718598899</v>
      </c>
      <c r="F65">
        <v>2.5633607629847699</v>
      </c>
      <c r="G65">
        <v>-27.571572421799644</v>
      </c>
      <c r="H65">
        <v>-23.810104281192508</v>
      </c>
      <c r="I65">
        <v>3.6024212427401499</v>
      </c>
      <c r="J65">
        <v>2.0639071128046802</v>
      </c>
      <c r="K65">
        <v>0.66144488764259202</v>
      </c>
      <c r="L65">
        <v>3.1111805092490044E-5</v>
      </c>
      <c r="M65">
        <v>1.8246601827638658E-6</v>
      </c>
      <c r="N65" s="1">
        <v>-1.5073945180561999E-8</v>
      </c>
      <c r="O65" s="1">
        <v>5.9538294667893398E-12</v>
      </c>
      <c r="P65" s="1">
        <v>5.8135243305519198E-11</v>
      </c>
      <c r="Q65">
        <v>65.710877207413802</v>
      </c>
      <c r="S65">
        <v>21.0440661357637</v>
      </c>
      <c r="AA65">
        <v>2.0288351648948901</v>
      </c>
      <c r="AB65">
        <v>9.2678447270939692</v>
      </c>
      <c r="AC65">
        <v>1.94837676483348</v>
      </c>
      <c r="AJ65">
        <v>0.794100719452279</v>
      </c>
      <c r="AK65">
        <v>9.6062612728181201E-2</v>
      </c>
      <c r="AL65">
        <v>0.10983666781953801</v>
      </c>
    </row>
    <row r="66" spans="1:38" x14ac:dyDescent="0.2">
      <c r="A66">
        <v>105</v>
      </c>
      <c r="B66">
        <v>770</v>
      </c>
      <c r="C66">
        <v>150</v>
      </c>
      <c r="D66">
        <v>0.44402099410439499</v>
      </c>
      <c r="E66">
        <v>2.9501810864539202</v>
      </c>
      <c r="F66">
        <v>2.5618791678346402</v>
      </c>
      <c r="G66">
        <v>-47.946551281815374</v>
      </c>
      <c r="H66">
        <v>-41.411092479589151</v>
      </c>
      <c r="I66">
        <v>6.2651189207939604</v>
      </c>
      <c r="J66">
        <v>3.5909720635194202</v>
      </c>
      <c r="K66">
        <v>1.1515691776156101</v>
      </c>
      <c r="L66">
        <v>3.1136297040726063E-5</v>
      </c>
      <c r="M66">
        <v>1.82629632186981E-6</v>
      </c>
      <c r="N66" s="1">
        <v>-2.6896305002651901E-8</v>
      </c>
      <c r="O66" s="1">
        <v>1.03809029905105E-11</v>
      </c>
      <c r="P66" s="1">
        <v>1.03068923911906E-10</v>
      </c>
      <c r="Q66">
        <v>65.802432108198403</v>
      </c>
      <c r="S66">
        <v>20.9507146871407</v>
      </c>
      <c r="AA66">
        <v>1.9304561794761099</v>
      </c>
      <c r="AB66">
        <v>9.2271369554330995</v>
      </c>
      <c r="AC66">
        <v>2.0892600697516199</v>
      </c>
      <c r="AJ66">
        <v>0.79077407152840895</v>
      </c>
      <c r="AK66">
        <v>9.14231523921466E-2</v>
      </c>
      <c r="AL66">
        <v>0.11780277607944301</v>
      </c>
    </row>
    <row r="67" spans="1:38" x14ac:dyDescent="0.2">
      <c r="A67">
        <v>106</v>
      </c>
      <c r="B67">
        <v>769</v>
      </c>
      <c r="C67">
        <v>150</v>
      </c>
      <c r="D67">
        <v>0.44342033296550898</v>
      </c>
      <c r="E67">
        <v>4.2804337469156204</v>
      </c>
      <c r="F67">
        <v>2.5602536343498499</v>
      </c>
      <c r="G67">
        <v>-69.520890528549401</v>
      </c>
      <c r="H67">
        <v>-60.052544087495633</v>
      </c>
      <c r="I67">
        <v>9.0853969592225194</v>
      </c>
      <c r="J67">
        <v>5.20948668968924</v>
      </c>
      <c r="K67">
        <v>1.6718787894632099</v>
      </c>
      <c r="L67">
        <v>3.1150283133918307E-5</v>
      </c>
      <c r="M67">
        <v>1.8277630799141149E-6</v>
      </c>
      <c r="N67" s="1">
        <v>-3.9933337076391197E-8</v>
      </c>
      <c r="O67" s="1">
        <v>1.509577212068E-11</v>
      </c>
      <c r="P67" s="1">
        <v>1.52138944883265E-10</v>
      </c>
      <c r="Q67">
        <v>65.892078782867401</v>
      </c>
      <c r="S67">
        <v>20.8531597821076</v>
      </c>
      <c r="AA67">
        <v>1.829054557956</v>
      </c>
      <c r="AB67">
        <v>9.1711568967232608</v>
      </c>
      <c r="AC67">
        <v>2.2545499803456202</v>
      </c>
      <c r="AJ67">
        <v>0.78619657997550296</v>
      </c>
      <c r="AK67">
        <v>8.6645193783227895E-2</v>
      </c>
      <c r="AL67">
        <v>0.12715822624126799</v>
      </c>
    </row>
    <row r="68" spans="1:38" x14ac:dyDescent="0.2">
      <c r="A68">
        <v>107</v>
      </c>
      <c r="B68">
        <v>768</v>
      </c>
      <c r="C68">
        <v>150</v>
      </c>
      <c r="D68">
        <v>0.442818517984921</v>
      </c>
      <c r="E68">
        <v>5.7220922551332096</v>
      </c>
      <c r="F68">
        <v>2.5584072998871599</v>
      </c>
      <c r="G68">
        <v>-92.865582476249372</v>
      </c>
      <c r="H68">
        <v>-80.227532214610832</v>
      </c>
      <c r="I68">
        <v>12.1385489714628</v>
      </c>
      <c r="J68">
        <v>6.9623827482031801</v>
      </c>
      <c r="K68">
        <v>2.2365837743605401</v>
      </c>
      <c r="L68">
        <v>3.1149705534162407E-5</v>
      </c>
      <c r="M68">
        <v>1.8290260039828193E-6</v>
      </c>
      <c r="N68" s="1">
        <v>-5.4464541952887701E-8</v>
      </c>
      <c r="O68" s="1">
        <v>2.0232367284968E-11</v>
      </c>
      <c r="P68" s="1">
        <v>2.06444261700372E-10</v>
      </c>
      <c r="Q68">
        <v>65.980702666092</v>
      </c>
      <c r="S68">
        <v>20.748283136838999</v>
      </c>
      <c r="AA68">
        <v>1.7218510801741</v>
      </c>
      <c r="AB68">
        <v>9.0937027082007909</v>
      </c>
      <c r="AC68">
        <v>2.45546040869398</v>
      </c>
      <c r="AJ68">
        <v>0.779858366280059</v>
      </c>
      <c r="AK68">
        <v>8.1598347035205396E-2</v>
      </c>
      <c r="AL68">
        <v>0.13854328668473501</v>
      </c>
    </row>
    <row r="69" spans="1:38" x14ac:dyDescent="0.2">
      <c r="A69">
        <v>108</v>
      </c>
      <c r="B69">
        <v>767</v>
      </c>
      <c r="C69">
        <v>150</v>
      </c>
      <c r="D69">
        <v>0.44221554583473799</v>
      </c>
      <c r="E69">
        <v>7.3480172465762497</v>
      </c>
      <c r="F69">
        <v>2.55618820515115</v>
      </c>
      <c r="G69">
        <v>-119.14247103136415</v>
      </c>
      <c r="H69">
        <v>-102.93921337626836</v>
      </c>
      <c r="I69">
        <v>15.5778086382693</v>
      </c>
      <c r="J69">
        <v>8.9369846946619198</v>
      </c>
      <c r="K69">
        <v>2.8745994648472002</v>
      </c>
      <c r="L69">
        <v>3.1126453869767656E-5</v>
      </c>
      <c r="M69">
        <v>1.830014620082588E-6</v>
      </c>
      <c r="N69" s="1">
        <v>-7.1019185443686504E-8</v>
      </c>
      <c r="O69" s="1">
        <v>2.60638930615024E-11</v>
      </c>
      <c r="P69" s="1">
        <v>2.6810795066131501E-10</v>
      </c>
      <c r="Q69">
        <v>66.069977156121595</v>
      </c>
      <c r="S69">
        <v>20.6299283550848</v>
      </c>
      <c r="AA69">
        <v>1.6033761915828999</v>
      </c>
      <c r="AB69">
        <v>8.9823636749847502</v>
      </c>
      <c r="AC69">
        <v>2.7143546222258701</v>
      </c>
      <c r="AJ69">
        <v>0.77073811131235104</v>
      </c>
      <c r="AK69">
        <v>7.6026048893886797E-2</v>
      </c>
      <c r="AL69">
        <v>0.15323583979376099</v>
      </c>
    </row>
    <row r="70" spans="1:38" x14ac:dyDescent="0.2">
      <c r="A70">
        <v>109</v>
      </c>
      <c r="B70">
        <v>766</v>
      </c>
      <c r="C70">
        <v>150</v>
      </c>
      <c r="D70">
        <v>0.44161141317423203</v>
      </c>
      <c r="E70">
        <v>9.3497902419565708</v>
      </c>
      <c r="F70">
        <v>2.5532122799213401</v>
      </c>
      <c r="G70">
        <v>-151.40615455289182</v>
      </c>
      <c r="H70">
        <v>-130.82466700566431</v>
      </c>
      <c r="I70">
        <v>19.8060795334913</v>
      </c>
      <c r="J70">
        <v>11.362788915815701</v>
      </c>
      <c r="K70">
        <v>3.6619713587796898</v>
      </c>
      <c r="L70">
        <v>3.1059611020011485E-5</v>
      </c>
      <c r="M70">
        <v>1.8305404203277494E-6</v>
      </c>
      <c r="N70" s="1">
        <v>-9.0896499918146398E-8</v>
      </c>
      <c r="O70" s="1">
        <v>3.3310314352860799E-11</v>
      </c>
      <c r="P70" s="1">
        <v>3.4244606940872598E-10</v>
      </c>
      <c r="Q70">
        <v>66.163781998824106</v>
      </c>
      <c r="S70">
        <v>20.482590406818801</v>
      </c>
      <c r="AA70">
        <v>1.45993279799321</v>
      </c>
      <c r="AB70">
        <v>8.8051371507131293</v>
      </c>
      <c r="AC70">
        <v>3.0885576456506998</v>
      </c>
      <c r="AJ70">
        <v>0.75619907541000098</v>
      </c>
      <c r="AK70">
        <v>6.9285710141986395E-2</v>
      </c>
      <c r="AL70">
        <v>0.17451521444801099</v>
      </c>
    </row>
    <row r="71" spans="1:38" x14ac:dyDescent="0.2">
      <c r="A71">
        <v>110</v>
      </c>
      <c r="B71">
        <v>765</v>
      </c>
      <c r="C71">
        <v>150</v>
      </c>
      <c r="D71">
        <v>0.44100611664981298</v>
      </c>
      <c r="E71">
        <v>10.452761049342</v>
      </c>
      <c r="F71">
        <v>2.5545103503065398</v>
      </c>
      <c r="G71">
        <v>-169.29103526370127</v>
      </c>
      <c r="H71">
        <v>-146.31729923090498</v>
      </c>
      <c r="I71">
        <v>22.129495769201199</v>
      </c>
      <c r="J71">
        <v>12.7067006008091</v>
      </c>
      <c r="K71">
        <v>4.0918843989368501</v>
      </c>
      <c r="L71">
        <v>3.1067826033944404E-5</v>
      </c>
      <c r="M71">
        <v>1.8291458900840962E-6</v>
      </c>
      <c r="N71" s="1">
        <v>-1.0493425952132E-7</v>
      </c>
      <c r="O71" s="1">
        <v>3.7136525147952799E-11</v>
      </c>
      <c r="P71" s="1">
        <v>3.9252775866517501E-10</v>
      </c>
      <c r="Q71">
        <v>66.079007501597005</v>
      </c>
      <c r="S71">
        <v>20.558360865183499</v>
      </c>
      <c r="AA71">
        <v>1.5422251719578699</v>
      </c>
      <c r="AB71">
        <v>8.8148638365040508</v>
      </c>
      <c r="AC71">
        <v>3.0055426247575698</v>
      </c>
      <c r="AJ71">
        <v>0.75699647513207302</v>
      </c>
      <c r="AK71">
        <v>7.3187485571561503E-2</v>
      </c>
      <c r="AL71">
        <v>0.16981603929636399</v>
      </c>
    </row>
    <row r="72" spans="1:38" x14ac:dyDescent="0.2">
      <c r="A72">
        <v>110</v>
      </c>
      <c r="B72">
        <v>765</v>
      </c>
      <c r="C72">
        <v>150</v>
      </c>
      <c r="D72">
        <v>0.44100611664981298</v>
      </c>
      <c r="E72">
        <v>7.98593796982325</v>
      </c>
      <c r="F72">
        <v>2.5228241008496699</v>
      </c>
      <c r="G72">
        <v>-127.26089286222168</v>
      </c>
      <c r="H72">
        <v>-109.89117884049104</v>
      </c>
      <c r="I72">
        <v>16.731410703396001</v>
      </c>
      <c r="J72">
        <v>9.5461939106594702</v>
      </c>
      <c r="K72">
        <v>3.1654755347919901</v>
      </c>
      <c r="L72">
        <v>2.9127058732351614E-5</v>
      </c>
      <c r="M72">
        <v>1.8113608132617687E-6</v>
      </c>
      <c r="N72" s="1">
        <v>-4.5622069666825697E-8</v>
      </c>
      <c r="O72" s="1">
        <v>3.0018709444954799E-11</v>
      </c>
      <c r="P72" s="1">
        <v>1.9677359912226601E-10</v>
      </c>
      <c r="Q72">
        <v>66.326389381310705</v>
      </c>
      <c r="S72">
        <v>19.191924973320202</v>
      </c>
      <c r="AA72">
        <v>0.357178390281984</v>
      </c>
      <c r="AB72">
        <v>5.7838517520550896</v>
      </c>
      <c r="AC72">
        <v>8.3406555030319804</v>
      </c>
      <c r="AJ72">
        <v>0.50431320755388698</v>
      </c>
      <c r="AK72">
        <v>1.7209932036346898E-2</v>
      </c>
      <c r="AL72">
        <v>0.478476860409765</v>
      </c>
    </row>
    <row r="73" spans="1:38" x14ac:dyDescent="0.2">
      <c r="A73">
        <v>111</v>
      </c>
      <c r="B73">
        <v>764</v>
      </c>
      <c r="C73">
        <v>150</v>
      </c>
      <c r="D73">
        <v>0.44039965289495597</v>
      </c>
      <c r="E73">
        <v>13.3551349716933</v>
      </c>
      <c r="F73">
        <v>2.5573528137637802</v>
      </c>
      <c r="G73">
        <v>-216.41278659071878</v>
      </c>
      <c r="H73">
        <v>-187.10668006009044</v>
      </c>
      <c r="I73">
        <v>28.256381941501498</v>
      </c>
      <c r="J73">
        <v>16.242120993502699</v>
      </c>
      <c r="K73">
        <v>5.2222497028237402</v>
      </c>
      <c r="L73">
        <v>3.1066338603463841E-5</v>
      </c>
      <c r="M73">
        <v>1.8260621328781081E-6</v>
      </c>
      <c r="N73" s="1">
        <v>-1.3893814882559301E-7</v>
      </c>
      <c r="O73" s="1">
        <v>4.7190013171136103E-11</v>
      </c>
      <c r="P73" s="1">
        <v>5.1583718157799901E-10</v>
      </c>
      <c r="Q73">
        <v>65.896079170875097</v>
      </c>
      <c r="S73">
        <v>20.7277458124336</v>
      </c>
      <c r="AA73">
        <v>1.7246533129858601</v>
      </c>
      <c r="AB73">
        <v>8.8512825204774597</v>
      </c>
      <c r="AC73">
        <v>2.8002391832278399</v>
      </c>
      <c r="AJ73">
        <v>0.75998344265711903</v>
      </c>
      <c r="AK73">
        <v>8.1829618217946196E-2</v>
      </c>
      <c r="AL73">
        <v>0.15818693912493401</v>
      </c>
    </row>
    <row r="74" spans="1:38" x14ac:dyDescent="0.2">
      <c r="A74">
        <v>111</v>
      </c>
      <c r="B74">
        <v>764</v>
      </c>
      <c r="C74">
        <v>150</v>
      </c>
      <c r="D74">
        <v>0.44039965289495597</v>
      </c>
      <c r="E74">
        <v>22.9532352245811</v>
      </c>
      <c r="F74">
        <v>2.5222285203363501</v>
      </c>
      <c r="G74">
        <v>-365.41273769387078</v>
      </c>
      <c r="H74">
        <v>-315.61029910224494</v>
      </c>
      <c r="I74">
        <v>48.018549478499502</v>
      </c>
      <c r="J74">
        <v>27.4110705485332</v>
      </c>
      <c r="K74">
        <v>9.1003789067931695</v>
      </c>
      <c r="L74">
        <v>2.9000182727598071E-5</v>
      </c>
      <c r="M74">
        <v>1.8091920860064509E-6</v>
      </c>
      <c r="N74" s="1">
        <v>-1.2923771246516701E-7</v>
      </c>
      <c r="O74" s="1">
        <v>8.6411514835511197E-11</v>
      </c>
      <c r="P74" s="1">
        <v>5.5968381652914201E-10</v>
      </c>
      <c r="Q74">
        <v>66.267417446099302</v>
      </c>
      <c r="S74">
        <v>19.167269266674801</v>
      </c>
      <c r="AA74">
        <v>0.350597474728918</v>
      </c>
      <c r="AB74">
        <v>5.5877978159541701</v>
      </c>
      <c r="AC74">
        <v>8.6269179965426606</v>
      </c>
      <c r="AJ74">
        <v>0.48770129916812999</v>
      </c>
      <c r="AK74">
        <v>1.6909579305006198E-2</v>
      </c>
      <c r="AL74">
        <v>0.49538912152686299</v>
      </c>
    </row>
    <row r="75" spans="1:38" x14ac:dyDescent="0.2">
      <c r="A75">
        <v>112</v>
      </c>
      <c r="B75">
        <v>763</v>
      </c>
      <c r="C75">
        <v>150</v>
      </c>
      <c r="D75">
        <v>0.43979201853014099</v>
      </c>
      <c r="E75">
        <v>15.627009354457501</v>
      </c>
      <c r="F75">
        <v>2.5591761356673999</v>
      </c>
      <c r="G75">
        <v>-253.29584483343262</v>
      </c>
      <c r="H75">
        <v>-219.05909347868499</v>
      </c>
      <c r="I75">
        <v>33.042273179315401</v>
      </c>
      <c r="J75">
        <v>19.011404220200099</v>
      </c>
      <c r="K75">
        <v>6.1062656597421601</v>
      </c>
      <c r="L75">
        <v>3.1069409606568827E-5</v>
      </c>
      <c r="M75">
        <v>1.8239703145743821E-6</v>
      </c>
      <c r="N75" s="1">
        <v>-1.68009076142406E-7</v>
      </c>
      <c r="O75" s="1">
        <v>5.50082256633803E-11</v>
      </c>
      <c r="P75" s="1">
        <v>6.1948242273023601E-10</v>
      </c>
      <c r="Q75">
        <v>65.773842319471001</v>
      </c>
      <c r="S75">
        <v>20.837788398282999</v>
      </c>
      <c r="AA75">
        <v>1.84396187124786</v>
      </c>
      <c r="AB75">
        <v>8.8673751965178393</v>
      </c>
      <c r="AC75">
        <v>2.6770322144802101</v>
      </c>
      <c r="AJ75">
        <v>0.76130233844556405</v>
      </c>
      <c r="AK75">
        <v>8.7483229318715397E-2</v>
      </c>
      <c r="AL75">
        <v>0.15121443223571901</v>
      </c>
    </row>
    <row r="76" spans="1:38" x14ac:dyDescent="0.2">
      <c r="A76">
        <v>112</v>
      </c>
      <c r="B76">
        <v>763</v>
      </c>
      <c r="C76">
        <v>150</v>
      </c>
      <c r="D76">
        <v>0.43979201853014099</v>
      </c>
      <c r="E76">
        <v>32.132618538402703</v>
      </c>
      <c r="F76">
        <v>2.5218979590187001</v>
      </c>
      <c r="G76">
        <v>-511.20448829479216</v>
      </c>
      <c r="H76">
        <v>-441.63226139382266</v>
      </c>
      <c r="I76">
        <v>67.144937413472405</v>
      </c>
      <c r="J76">
        <v>38.3513237283534</v>
      </c>
      <c r="K76">
        <v>12.741442778638699</v>
      </c>
      <c r="L76">
        <v>2.8926337972648102E-5</v>
      </c>
      <c r="M76">
        <v>1.8079052383744659E-6</v>
      </c>
      <c r="N76" s="1">
        <v>-1.8157016090134399E-7</v>
      </c>
      <c r="O76" s="1">
        <v>1.2106615286723001E-10</v>
      </c>
      <c r="P76" s="1">
        <v>7.8504342415022295E-10</v>
      </c>
      <c r="Q76">
        <v>66.231159310447893</v>
      </c>
      <c r="S76">
        <v>19.151246217832</v>
      </c>
      <c r="AA76">
        <v>0.34583863564450201</v>
      </c>
      <c r="AB76">
        <v>5.46499199905882</v>
      </c>
      <c r="AC76">
        <v>8.8067638370166001</v>
      </c>
      <c r="AJ76">
        <v>0.47727903080553102</v>
      </c>
      <c r="AK76">
        <v>1.6690414532173899E-2</v>
      </c>
      <c r="AL76">
        <v>0.50603055466229396</v>
      </c>
    </row>
    <row r="77" spans="1:38" x14ac:dyDescent="0.2">
      <c r="A77">
        <v>113</v>
      </c>
      <c r="B77">
        <v>762</v>
      </c>
      <c r="C77">
        <v>150</v>
      </c>
      <c r="D77">
        <v>0.439183210162781</v>
      </c>
      <c r="E77">
        <v>17.036120400900501</v>
      </c>
      <c r="F77">
        <v>2.5602554628905398</v>
      </c>
      <c r="G77">
        <v>-276.16386727296589</v>
      </c>
      <c r="H77">
        <v>-238.89849939794121</v>
      </c>
      <c r="I77">
        <v>35.999968965874103</v>
      </c>
      <c r="J77">
        <v>20.731812055207101</v>
      </c>
      <c r="K77">
        <v>6.6540705206294701</v>
      </c>
      <c r="L77">
        <v>3.1083966372278878E-5</v>
      </c>
      <c r="M77">
        <v>1.822827518559626E-6</v>
      </c>
      <c r="N77" s="1">
        <v>-1.89124720600473E-7</v>
      </c>
      <c r="O77" s="1">
        <v>5.9814855013754905E-11</v>
      </c>
      <c r="P77" s="1">
        <v>6.9270652937204597E-10</v>
      </c>
      <c r="Q77">
        <v>65.703374471114103</v>
      </c>
      <c r="S77">
        <v>20.901268766742401</v>
      </c>
      <c r="AA77">
        <v>1.9127765342707399</v>
      </c>
      <c r="AB77">
        <v>8.8767634137166702</v>
      </c>
      <c r="AC77">
        <v>2.6058168141560598</v>
      </c>
      <c r="AJ77">
        <v>0.762071674099153</v>
      </c>
      <c r="AK77">
        <v>9.0743640783312901E-2</v>
      </c>
      <c r="AL77">
        <v>0.14718468511753299</v>
      </c>
    </row>
    <row r="78" spans="1:38" x14ac:dyDescent="0.2">
      <c r="A78">
        <v>113</v>
      </c>
      <c r="B78">
        <v>762</v>
      </c>
      <c r="C78">
        <v>150</v>
      </c>
      <c r="D78">
        <v>0.439183210162781</v>
      </c>
      <c r="E78">
        <v>37.137396381594797</v>
      </c>
      <c r="F78">
        <v>2.5217219040360801</v>
      </c>
      <c r="G78">
        <v>-590.55729444116889</v>
      </c>
      <c r="H78">
        <v>-510.29984815783888</v>
      </c>
      <c r="I78">
        <v>77.5321898114573</v>
      </c>
      <c r="J78">
        <v>44.311670036768902</v>
      </c>
      <c r="K78">
        <v>14.7269991675748</v>
      </c>
      <c r="L78">
        <v>2.8888824441371172E-5</v>
      </c>
      <c r="M78">
        <v>1.8072145886092719E-6</v>
      </c>
      <c r="N78" s="1">
        <v>-2.13349832807767E-7</v>
      </c>
      <c r="O78" s="1">
        <v>1.39966984252162E-10</v>
      </c>
      <c r="P78" s="1">
        <v>9.1722907380764795E-10</v>
      </c>
      <c r="Q78">
        <v>66.210846363370294</v>
      </c>
      <c r="S78">
        <v>19.140635147041699</v>
      </c>
      <c r="AA78">
        <v>0.34182414209858603</v>
      </c>
      <c r="AB78">
        <v>5.3919073840228098</v>
      </c>
      <c r="AC78">
        <v>8.9147869634665202</v>
      </c>
      <c r="AJ78">
        <v>0.47107036130560198</v>
      </c>
      <c r="AK78">
        <v>1.6502771230173199E-2</v>
      </c>
      <c r="AL78">
        <v>0.51242686746422395</v>
      </c>
    </row>
    <row r="79" spans="1:38" x14ac:dyDescent="0.2">
      <c r="A79">
        <v>114</v>
      </c>
      <c r="B79">
        <v>761</v>
      </c>
      <c r="C79">
        <v>150</v>
      </c>
      <c r="D79">
        <v>0.43857322438717999</v>
      </c>
      <c r="E79">
        <v>17.700643268387299</v>
      </c>
      <c r="F79">
        <v>2.5607993367790698</v>
      </c>
      <c r="G79">
        <v>-286.93273582049096</v>
      </c>
      <c r="H79">
        <v>-248.27334627908948</v>
      </c>
      <c r="I79">
        <v>37.382768013732502</v>
      </c>
      <c r="J79">
        <v>21.546746485717701</v>
      </c>
      <c r="K79">
        <v>6.9121555188509696</v>
      </c>
      <c r="L79">
        <v>3.1110342234588994E-5</v>
      </c>
      <c r="M79">
        <v>1.8224619216965844E-6</v>
      </c>
      <c r="N79" s="1">
        <v>-2.02876732180242E-7</v>
      </c>
      <c r="O79" s="1">
        <v>6.2044574621254106E-11</v>
      </c>
      <c r="P79" s="1">
        <v>7.3821891842632705E-10</v>
      </c>
      <c r="Q79">
        <v>65.673261697060695</v>
      </c>
      <c r="S79">
        <v>20.929868751592</v>
      </c>
      <c r="AA79">
        <v>1.9433982187694701</v>
      </c>
      <c r="AB79">
        <v>8.8846372898562205</v>
      </c>
      <c r="AC79">
        <v>2.5688340427214902</v>
      </c>
      <c r="AJ79">
        <v>0.76271730066483201</v>
      </c>
      <c r="AK79">
        <v>9.21926896908455E-2</v>
      </c>
      <c r="AL79">
        <v>0.145090009644322</v>
      </c>
    </row>
    <row r="80" spans="1:38" x14ac:dyDescent="0.2">
      <c r="A80">
        <v>114</v>
      </c>
      <c r="B80">
        <v>761</v>
      </c>
      <c r="C80">
        <v>150</v>
      </c>
      <c r="D80">
        <v>0.43857322438717999</v>
      </c>
      <c r="E80">
        <v>39.211868031541798</v>
      </c>
      <c r="F80">
        <v>2.5216413381222802</v>
      </c>
      <c r="G80">
        <v>-623.35326195934749</v>
      </c>
      <c r="H80">
        <v>-538.75788795923404</v>
      </c>
      <c r="I80">
        <v>81.8018411256718</v>
      </c>
      <c r="J80">
        <v>46.782252919724201</v>
      </c>
      <c r="K80">
        <v>15.550136904378499</v>
      </c>
      <c r="L80">
        <v>2.8876666826657066E-5</v>
      </c>
      <c r="M80">
        <v>1.806933662749698E-6</v>
      </c>
      <c r="N80" s="1">
        <v>-2.31125731137463E-7</v>
      </c>
      <c r="O80" s="1">
        <v>1.4778206073742299E-10</v>
      </c>
      <c r="P80" s="1">
        <v>9.8531693074325201E-10</v>
      </c>
      <c r="Q80">
        <v>66.201725988938705</v>
      </c>
      <c r="S80">
        <v>19.133569101648401</v>
      </c>
      <c r="AA80">
        <v>0.33812269698870201</v>
      </c>
      <c r="AB80">
        <v>5.3530585619697097</v>
      </c>
      <c r="AC80">
        <v>8.9735236504544496</v>
      </c>
      <c r="AJ80">
        <v>0.46776823093339598</v>
      </c>
      <c r="AK80">
        <v>1.6327280089535001E-2</v>
      </c>
      <c r="AL80">
        <v>0.51590448897706798</v>
      </c>
    </row>
    <row r="81" spans="1:38" x14ac:dyDescent="0.2">
      <c r="A81">
        <v>116</v>
      </c>
      <c r="B81">
        <v>787</v>
      </c>
      <c r="C81">
        <v>125</v>
      </c>
      <c r="D81">
        <v>0.479998585105882</v>
      </c>
      <c r="E81">
        <v>0.243851459769347</v>
      </c>
      <c r="F81">
        <v>2.5626734774537598</v>
      </c>
      <c r="G81">
        <v>-3.9778156529526525</v>
      </c>
      <c r="H81">
        <v>-3.4237577855322101</v>
      </c>
      <c r="I81">
        <v>0.52262214537607199</v>
      </c>
      <c r="J81">
        <v>0.29624682029382099</v>
      </c>
      <c r="K81">
        <v>9.51551034163097E-2</v>
      </c>
      <c r="L81">
        <v>3.0758896760331797E-5</v>
      </c>
      <c r="M81">
        <v>1.8218220751018602E-6</v>
      </c>
      <c r="N81" s="1">
        <v>-1.29326848242934E-9</v>
      </c>
      <c r="O81" s="1">
        <v>8.6143086124636102E-13</v>
      </c>
      <c r="P81" s="1">
        <v>5.8003477812708804E-12</v>
      </c>
      <c r="Q81">
        <v>65.590976225663795</v>
      </c>
      <c r="S81">
        <v>21.155713989190101</v>
      </c>
      <c r="AA81">
        <v>2.1489230420941601</v>
      </c>
      <c r="AB81">
        <v>9.2933511810662495</v>
      </c>
      <c r="AC81">
        <v>1.81103556198559</v>
      </c>
      <c r="AJ81">
        <v>0.79618342379780305</v>
      </c>
      <c r="AK81">
        <v>0.10173547936327799</v>
      </c>
      <c r="AL81">
        <v>0.102081096838918</v>
      </c>
    </row>
    <row r="82" spans="1:38" x14ac:dyDescent="0.2">
      <c r="A82">
        <v>117</v>
      </c>
      <c r="B82">
        <v>786</v>
      </c>
      <c r="C82">
        <v>125</v>
      </c>
      <c r="D82">
        <v>0.47944153330501299</v>
      </c>
      <c r="E82">
        <v>0.63298188243846398</v>
      </c>
      <c r="F82">
        <v>2.5622824812622</v>
      </c>
      <c r="G82">
        <v>-10.323130205162505</v>
      </c>
      <c r="H82">
        <v>-8.8869826310381033</v>
      </c>
      <c r="I82">
        <v>1.3559435152003001</v>
      </c>
      <c r="J82">
        <v>0.76904488074053601</v>
      </c>
      <c r="K82">
        <v>0.24703828991042801</v>
      </c>
      <c r="L82">
        <v>3.0785230503185628E-5</v>
      </c>
      <c r="M82">
        <v>1.8226977072349479E-6</v>
      </c>
      <c r="N82" s="1">
        <v>-3.4663972357760399E-9</v>
      </c>
      <c r="O82" s="1">
        <v>2.2369793280570799E-12</v>
      </c>
      <c r="P82" s="1">
        <v>1.5376654485992001E-11</v>
      </c>
      <c r="Q82">
        <v>65.628939260666698</v>
      </c>
      <c r="S82">
        <v>21.1235215922602</v>
      </c>
      <c r="AA82">
        <v>2.1135058297731901</v>
      </c>
      <c r="AB82">
        <v>9.2935532152245894</v>
      </c>
      <c r="AC82">
        <v>1.8404801020752799</v>
      </c>
      <c r="AJ82">
        <v>0.796200538938313</v>
      </c>
      <c r="AK82">
        <v>0.100058714171293</v>
      </c>
      <c r="AL82">
        <v>0.103740746890393</v>
      </c>
    </row>
    <row r="83" spans="1:38" x14ac:dyDescent="0.2">
      <c r="A83">
        <v>118</v>
      </c>
      <c r="B83">
        <v>785</v>
      </c>
      <c r="C83">
        <v>125</v>
      </c>
      <c r="D83">
        <v>0.47888342862543298</v>
      </c>
      <c r="E83">
        <v>1.0223975340298299</v>
      </c>
      <c r="F83">
        <v>2.56189744978641</v>
      </c>
      <c r="G83">
        <v>-16.670187588662436</v>
      </c>
      <c r="H83">
        <v>-14.353840102686124</v>
      </c>
      <c r="I83">
        <v>2.1890539961029201</v>
      </c>
      <c r="J83">
        <v>1.24226149764967</v>
      </c>
      <c r="K83">
        <v>0.399078243399271</v>
      </c>
      <c r="L83">
        <v>3.0811234623831255E-5</v>
      </c>
      <c r="M83">
        <v>1.8235461880085055E-6</v>
      </c>
      <c r="N83" s="1">
        <v>-5.77982154872254E-9</v>
      </c>
      <c r="O83" s="1">
        <v>3.6145580372693402E-12</v>
      </c>
      <c r="P83" s="1">
        <v>2.5365902517314702E-11</v>
      </c>
      <c r="Q83">
        <v>65.665788680422494</v>
      </c>
      <c r="S83">
        <v>21.092014564837399</v>
      </c>
      <c r="AA83">
        <v>2.0789139012070499</v>
      </c>
      <c r="AB83">
        <v>9.2930704027815896</v>
      </c>
      <c r="AC83">
        <v>1.87021245075139</v>
      </c>
      <c r="AJ83">
        <v>0.79616167168913998</v>
      </c>
      <c r="AK83">
        <v>9.8421353346546697E-2</v>
      </c>
      <c r="AL83">
        <v>0.105416974964313</v>
      </c>
    </row>
    <row r="84" spans="1:38" x14ac:dyDescent="0.2">
      <c r="A84">
        <v>119</v>
      </c>
      <c r="B84">
        <v>784</v>
      </c>
      <c r="C84">
        <v>125</v>
      </c>
      <c r="D84">
        <v>0.47832426807926898</v>
      </c>
      <c r="E84">
        <v>1.41196024425985</v>
      </c>
      <c r="F84">
        <v>2.5615183030281199</v>
      </c>
      <c r="G84">
        <v>-23.016721905468952</v>
      </c>
      <c r="H84">
        <v>-19.822385626983795</v>
      </c>
      <c r="I84">
        <v>3.02164903607355</v>
      </c>
      <c r="J84">
        <v>1.7157315643707001</v>
      </c>
      <c r="K84">
        <v>0.55122004890251697</v>
      </c>
      <c r="L84">
        <v>3.0836929345331899E-5</v>
      </c>
      <c r="M84">
        <v>1.8243680182234402E-6</v>
      </c>
      <c r="N84" s="1">
        <v>-8.2378804943613106E-9</v>
      </c>
      <c r="O84" s="1">
        <v>4.9935762166360796E-12</v>
      </c>
      <c r="P84" s="1">
        <v>3.5779326851427302E-11</v>
      </c>
      <c r="Q84">
        <v>65.701542199659599</v>
      </c>
      <c r="S84">
        <v>21.061181908234001</v>
      </c>
      <c r="AA84">
        <v>2.0451340488760601</v>
      </c>
      <c r="AB84">
        <v>9.2919133855697709</v>
      </c>
      <c r="AC84">
        <v>1.90022845766049</v>
      </c>
      <c r="AJ84">
        <v>0.796067691060097</v>
      </c>
      <c r="AK84">
        <v>9.6822750296802901E-2</v>
      </c>
      <c r="AL84">
        <v>0.107109558643099</v>
      </c>
    </row>
    <row r="85" spans="1:38" x14ac:dyDescent="0.2">
      <c r="A85">
        <v>120</v>
      </c>
      <c r="B85">
        <v>783</v>
      </c>
      <c r="C85">
        <v>125</v>
      </c>
      <c r="D85">
        <v>0.47776404866733202</v>
      </c>
      <c r="E85">
        <v>1.8015353457387799</v>
      </c>
      <c r="F85">
        <v>2.5611449524619698</v>
      </c>
      <c r="G85">
        <v>-29.36052666894653</v>
      </c>
      <c r="H85">
        <v>-25.290724146430836</v>
      </c>
      <c r="I85">
        <v>3.8534322989307301</v>
      </c>
      <c r="J85">
        <v>2.18929444301259</v>
      </c>
      <c r="K85">
        <v>0.70341014631249499</v>
      </c>
      <c r="L85">
        <v>3.0862335704362085E-5</v>
      </c>
      <c r="M85">
        <v>1.8251637215519799E-6</v>
      </c>
      <c r="N85" s="1">
        <v>-1.0845050833462599E-8</v>
      </c>
      <c r="O85" s="1">
        <v>6.3734544935527599E-12</v>
      </c>
      <c r="P85" s="1">
        <v>4.6628566565067101E-11</v>
      </c>
      <c r="Q85">
        <v>65.736218534282102</v>
      </c>
      <c r="S85">
        <v>21.031011904281399</v>
      </c>
      <c r="AA85">
        <v>2.0121522380707799</v>
      </c>
      <c r="AB85">
        <v>9.2900931502754798</v>
      </c>
      <c r="AC85">
        <v>1.9305241730901299</v>
      </c>
      <c r="AJ85">
        <v>0.79591949318944599</v>
      </c>
      <c r="AK85">
        <v>9.5262220207498097E-2</v>
      </c>
      <c r="AL85">
        <v>0.108818286603055</v>
      </c>
    </row>
    <row r="86" spans="1:38" x14ac:dyDescent="0.2">
      <c r="A86">
        <v>121</v>
      </c>
      <c r="B86">
        <v>782</v>
      </c>
      <c r="C86">
        <v>125</v>
      </c>
      <c r="D86">
        <v>0.47720276737904699</v>
      </c>
      <c r="E86">
        <v>2.1909921259646499</v>
      </c>
      <c r="F86">
        <v>2.5607773018700599</v>
      </c>
      <c r="G86">
        <v>-35.699462084764825</v>
      </c>
      <c r="H86">
        <v>-30.757016429237577</v>
      </c>
      <c r="I86">
        <v>4.6841166237286203</v>
      </c>
      <c r="J86">
        <v>2.6627945235145098</v>
      </c>
      <c r="K86">
        <v>0.85559651140481197</v>
      </c>
      <c r="L86">
        <v>3.0887475489466137E-5</v>
      </c>
      <c r="M86">
        <v>1.8259338414671874E-6</v>
      </c>
      <c r="N86" s="1">
        <v>-1.3605957856029799E-8</v>
      </c>
      <c r="O86" s="1">
        <v>7.7536266577626898E-12</v>
      </c>
      <c r="P86" s="1">
        <v>5.7925699071302199E-11</v>
      </c>
      <c r="Q86">
        <v>65.769837273889806</v>
      </c>
      <c r="S86">
        <v>21.001492200735701</v>
      </c>
      <c r="AA86">
        <v>1.9799537070980999</v>
      </c>
      <c r="AB86">
        <v>9.2876209682580804</v>
      </c>
      <c r="AC86">
        <v>1.9610958500182101</v>
      </c>
      <c r="AJ86">
        <v>0.79571799648453501</v>
      </c>
      <c r="AK86">
        <v>9.3739044782577802E-2</v>
      </c>
      <c r="AL86">
        <v>0.110542958732886</v>
      </c>
    </row>
    <row r="87" spans="1:38" x14ac:dyDescent="0.2">
      <c r="A87">
        <v>122</v>
      </c>
      <c r="B87">
        <v>781</v>
      </c>
      <c r="C87">
        <v>125</v>
      </c>
      <c r="D87">
        <v>0.476640421192431</v>
      </c>
      <c r="E87">
        <v>2.5802042153210998</v>
      </c>
      <c r="F87">
        <v>2.5604152482169602</v>
      </c>
      <c r="G87">
        <v>-42.031461279926084</v>
      </c>
      <c r="H87">
        <v>-36.219484482004368</v>
      </c>
      <c r="I87">
        <v>5.5134248426900498</v>
      </c>
      <c r="J87">
        <v>3.1360817046945302</v>
      </c>
      <c r="K87">
        <v>1.00772881161285</v>
      </c>
      <c r="L87">
        <v>3.0912371182365821E-5</v>
      </c>
      <c r="M87">
        <v>1.8266789382399893E-6</v>
      </c>
      <c r="N87" s="1">
        <v>-1.6525386640713699E-8</v>
      </c>
      <c r="O87" s="1">
        <v>9.1335411758902303E-12</v>
      </c>
      <c r="P87" s="1">
        <v>6.9683274985813396E-11</v>
      </c>
      <c r="Q87">
        <v>65.802418755332795</v>
      </c>
      <c r="S87">
        <v>20.972609897361298</v>
      </c>
      <c r="AA87">
        <v>1.9485230678057399</v>
      </c>
      <c r="AB87">
        <v>9.28450833945295</v>
      </c>
      <c r="AC87">
        <v>1.9919399400471001</v>
      </c>
      <c r="AJ87">
        <v>0.79546413709698305</v>
      </c>
      <c r="AK87">
        <v>9.2252476994292398E-2</v>
      </c>
      <c r="AL87">
        <v>0.112283385908723</v>
      </c>
    </row>
    <row r="88" spans="1:38" x14ac:dyDescent="0.2">
      <c r="A88">
        <v>123</v>
      </c>
      <c r="B88">
        <v>780</v>
      </c>
      <c r="C88">
        <v>125</v>
      </c>
      <c r="D88">
        <v>0.47607700707401701</v>
      </c>
      <c r="E88">
        <v>3.4037713177356301</v>
      </c>
      <c r="F88">
        <v>2.5595391158802498</v>
      </c>
      <c r="G88">
        <v>-55.425417877275905</v>
      </c>
      <c r="H88">
        <v>-47.769436345011961</v>
      </c>
      <c r="I88">
        <v>7.2696021765787702</v>
      </c>
      <c r="J88">
        <v>4.1370067268333699</v>
      </c>
      <c r="K88">
        <v>1.3298375854533599</v>
      </c>
      <c r="L88">
        <v>3.0932517586454634E-5</v>
      </c>
      <c r="M88">
        <v>1.827756141771472E-6</v>
      </c>
      <c r="N88" s="1">
        <v>-2.24165563768728E-8</v>
      </c>
      <c r="O88" s="1">
        <v>1.20625460787205E-11</v>
      </c>
      <c r="P88" s="1">
        <v>9.3713021241060694E-11</v>
      </c>
      <c r="Q88">
        <v>65.859653897876399</v>
      </c>
      <c r="S88">
        <v>20.9151790216516</v>
      </c>
      <c r="AA88">
        <v>1.8877869692421401</v>
      </c>
      <c r="AB88">
        <v>9.2614912785895491</v>
      </c>
      <c r="AC88">
        <v>2.0758888326401599</v>
      </c>
      <c r="AJ88">
        <v>0.79358374109366003</v>
      </c>
      <c r="AK88">
        <v>8.93872576637742E-2</v>
      </c>
      <c r="AL88">
        <v>0.117029001242565</v>
      </c>
    </row>
    <row r="89" spans="1:38" x14ac:dyDescent="0.2">
      <c r="A89">
        <v>124</v>
      </c>
      <c r="B89">
        <v>779</v>
      </c>
      <c r="C89">
        <v>125</v>
      </c>
      <c r="D89">
        <v>0.475512521978807</v>
      </c>
      <c r="E89">
        <v>4.6711727698036301</v>
      </c>
      <c r="F89">
        <v>2.5581070318222601</v>
      </c>
      <c r="G89">
        <v>-76.018365409615981</v>
      </c>
      <c r="H89">
        <v>-65.52703335181171</v>
      </c>
      <c r="I89">
        <v>9.9713273371708198</v>
      </c>
      <c r="J89">
        <v>5.6765436152880699</v>
      </c>
      <c r="K89">
        <v>1.82602710195285</v>
      </c>
      <c r="L89">
        <v>3.0941985058132266E-5</v>
      </c>
      <c r="M89">
        <v>1.8290360915328912E-6</v>
      </c>
      <c r="N89" s="1">
        <v>-3.1505082811861502E-8</v>
      </c>
      <c r="O89" s="1">
        <v>1.6587922802656E-11</v>
      </c>
      <c r="P89" s="1">
        <v>1.30735943123735E-10</v>
      </c>
      <c r="Q89">
        <v>65.938293463638203</v>
      </c>
      <c r="S89">
        <v>20.829125564956001</v>
      </c>
      <c r="AA89">
        <v>1.7984425187524899</v>
      </c>
      <c r="AB89">
        <v>9.2111350099644405</v>
      </c>
      <c r="AC89">
        <v>2.2230034426887402</v>
      </c>
      <c r="AJ89">
        <v>0.78946759674926004</v>
      </c>
      <c r="AK89">
        <v>8.5178210805774798E-2</v>
      </c>
      <c r="AL89">
        <v>0.12535419244496401</v>
      </c>
    </row>
    <row r="90" spans="1:38" x14ac:dyDescent="0.2">
      <c r="A90">
        <v>125</v>
      </c>
      <c r="B90">
        <v>778</v>
      </c>
      <c r="C90">
        <v>125</v>
      </c>
      <c r="D90">
        <v>0.47494696285021398</v>
      </c>
      <c r="E90">
        <v>6.0205156310869601</v>
      </c>
      <c r="F90">
        <v>2.55652655587545</v>
      </c>
      <c r="G90">
        <v>-97.912304614591946</v>
      </c>
      <c r="H90">
        <v>-84.410655221923406</v>
      </c>
      <c r="I90">
        <v>12.844645761944999</v>
      </c>
      <c r="J90">
        <v>7.3145980460583102</v>
      </c>
      <c r="K90">
        <v>2.3549591602131001</v>
      </c>
      <c r="L90">
        <v>3.0940809700755085E-5</v>
      </c>
      <c r="M90">
        <v>1.8301415569083141E-6</v>
      </c>
      <c r="N90" s="1">
        <v>-4.1484397795342702E-8</v>
      </c>
      <c r="O90" s="1">
        <v>2.1427704956372799E-11</v>
      </c>
      <c r="P90" s="1">
        <v>1.7100858695555001E-10</v>
      </c>
      <c r="Q90">
        <v>66.014916700819199</v>
      </c>
      <c r="S90">
        <v>20.738706371507799</v>
      </c>
      <c r="AA90">
        <v>1.70596677344986</v>
      </c>
      <c r="AB90">
        <v>9.1448401147268505</v>
      </c>
      <c r="AC90">
        <v>2.3955700394961901</v>
      </c>
      <c r="AJ90">
        <v>0.78404503768835099</v>
      </c>
      <c r="AK90">
        <v>8.0825100309460801E-2</v>
      </c>
      <c r="AL90">
        <v>0.13512986200218699</v>
      </c>
    </row>
    <row r="91" spans="1:38" x14ac:dyDescent="0.2">
      <c r="A91">
        <v>126</v>
      </c>
      <c r="B91">
        <v>777</v>
      </c>
      <c r="C91">
        <v>125</v>
      </c>
      <c r="D91">
        <v>0.47438032662001101</v>
      </c>
      <c r="E91">
        <v>7.49284909107429</v>
      </c>
      <c r="F91">
        <v>2.55472070903825</v>
      </c>
      <c r="G91">
        <v>-121.76243531549039</v>
      </c>
      <c r="H91">
        <v>-104.98497139151654</v>
      </c>
      <c r="I91">
        <v>15.976254748344299</v>
      </c>
      <c r="J91">
        <v>9.1002617057309703</v>
      </c>
      <c r="K91">
        <v>2.93294255789512</v>
      </c>
      <c r="L91">
        <v>3.0924856077029805E-5</v>
      </c>
      <c r="M91">
        <v>1.8310314897663102E-6</v>
      </c>
      <c r="N91" s="1">
        <v>-5.2567227839198097E-8</v>
      </c>
      <c r="O91" s="1">
        <v>2.6736616370629199E-11</v>
      </c>
      <c r="P91" s="1">
        <v>2.1547749902962501E-10</v>
      </c>
      <c r="Q91">
        <v>66.090163174592007</v>
      </c>
      <c r="S91">
        <v>20.640878574121</v>
      </c>
      <c r="AA91">
        <v>1.6077001029595599</v>
      </c>
      <c r="AB91">
        <v>9.0560545576441207</v>
      </c>
      <c r="AC91">
        <v>2.6052035906831601</v>
      </c>
      <c r="AJ91">
        <v>0.77677681380397401</v>
      </c>
      <c r="AK91">
        <v>7.6203172690950505E-2</v>
      </c>
      <c r="AL91">
        <v>0.14702001350507399</v>
      </c>
    </row>
    <row r="92" spans="1:38" x14ac:dyDescent="0.2">
      <c r="A92">
        <v>127</v>
      </c>
      <c r="B92">
        <v>776</v>
      </c>
      <c r="C92">
        <v>125</v>
      </c>
      <c r="D92">
        <v>0.47381261020826598</v>
      </c>
      <c r="E92">
        <v>9.1710855934799493</v>
      </c>
      <c r="F92">
        <v>2.5525412421490099</v>
      </c>
      <c r="G92">
        <v>-148.89217106783042</v>
      </c>
      <c r="H92">
        <v>-128.39043526418408</v>
      </c>
      <c r="I92">
        <v>19.541281803027498</v>
      </c>
      <c r="J92">
        <v>11.132672900633899</v>
      </c>
      <c r="K92">
        <v>3.59292357045668</v>
      </c>
      <c r="L92">
        <v>3.0885972143150302E-5</v>
      </c>
      <c r="M92">
        <v>1.8316220020532347E-6</v>
      </c>
      <c r="N92" s="1">
        <v>-6.5156416966710105E-8</v>
      </c>
      <c r="O92" s="1">
        <v>3.2827789346815403E-11</v>
      </c>
      <c r="P92" s="1">
        <v>2.6597715113685901E-10</v>
      </c>
      <c r="Q92">
        <v>66.165102530126205</v>
      </c>
      <c r="S92">
        <v>20.5298183308769</v>
      </c>
      <c r="AA92">
        <v>1.4985881909899501</v>
      </c>
      <c r="AB92">
        <v>8.9318940268833291</v>
      </c>
      <c r="AC92">
        <v>2.8745969211234499</v>
      </c>
      <c r="AJ92">
        <v>0.76660142891253702</v>
      </c>
      <c r="AK92">
        <v>7.10753748845082E-2</v>
      </c>
      <c r="AL92">
        <v>0.16232319620295399</v>
      </c>
    </row>
    <row r="93" spans="1:38" x14ac:dyDescent="0.2">
      <c r="A93">
        <v>128</v>
      </c>
      <c r="B93">
        <v>775</v>
      </c>
      <c r="C93">
        <v>125</v>
      </c>
      <c r="D93">
        <v>0.473243810523307</v>
      </c>
      <c r="E93">
        <v>11.265649012898001</v>
      </c>
      <c r="F93">
        <v>2.5496370630513501</v>
      </c>
      <c r="G93">
        <v>-182.65946577462745</v>
      </c>
      <c r="H93">
        <v>-157.5205649992846</v>
      </c>
      <c r="I93">
        <v>23.9840679056841</v>
      </c>
      <c r="J93">
        <v>13.6633151303961</v>
      </c>
      <c r="K93">
        <v>4.4185304552388001</v>
      </c>
      <c r="L93">
        <v>3.0804174030461915E-5</v>
      </c>
      <c r="M93">
        <v>1.831697964762333E-6</v>
      </c>
      <c r="N93" s="1">
        <v>-8.0209361578330895E-8</v>
      </c>
      <c r="O93" s="1">
        <v>4.0497221516461603E-11</v>
      </c>
      <c r="P93" s="1">
        <v>3.2697429406728E-10</v>
      </c>
      <c r="Q93">
        <v>66.241710699342406</v>
      </c>
      <c r="S93">
        <v>20.391847136610998</v>
      </c>
      <c r="AA93">
        <v>1.3668850740226599</v>
      </c>
      <c r="AB93">
        <v>8.7409018011684196</v>
      </c>
      <c r="AC93">
        <v>3.2586552888554698</v>
      </c>
      <c r="AJ93">
        <v>0.75092374739332302</v>
      </c>
      <c r="AK93">
        <v>6.4890689536882304E-2</v>
      </c>
      <c r="AL93">
        <v>0.184185563069794</v>
      </c>
    </row>
    <row r="94" spans="1:38" x14ac:dyDescent="0.2">
      <c r="A94">
        <v>129</v>
      </c>
      <c r="B94">
        <v>774</v>
      </c>
      <c r="C94">
        <v>125</v>
      </c>
      <c r="D94">
        <v>0.47267392446163797</v>
      </c>
      <c r="E94">
        <v>12.0667194492192</v>
      </c>
      <c r="F94">
        <v>2.5492757889259199</v>
      </c>
      <c r="G94">
        <v>-195.55535519217446</v>
      </c>
      <c r="H94">
        <v>-168.67409557922969</v>
      </c>
      <c r="I94">
        <v>25.670877728066401</v>
      </c>
      <c r="J94">
        <v>14.6306068843551</v>
      </c>
      <c r="K94">
        <v>4.7333911464727301</v>
      </c>
      <c r="L94">
        <v>3.0760662563078055E-5</v>
      </c>
      <c r="M94">
        <v>1.830575579965789E-6</v>
      </c>
      <c r="N94" s="1">
        <v>-8.7498878692792498E-8</v>
      </c>
      <c r="O94" s="1">
        <v>4.3382769048823998E-11</v>
      </c>
      <c r="P94" s="1">
        <v>3.5478704259196401E-10</v>
      </c>
      <c r="Q94">
        <v>66.210605295581303</v>
      </c>
      <c r="S94">
        <v>20.3865203078985</v>
      </c>
      <c r="AA94">
        <v>1.36974840652205</v>
      </c>
      <c r="AB94">
        <v>8.6576201026871509</v>
      </c>
      <c r="AC94">
        <v>3.3755058873109598</v>
      </c>
      <c r="AJ94">
        <v>0.74407721183553299</v>
      </c>
      <c r="AK94">
        <v>6.5053560788781994E-2</v>
      </c>
      <c r="AL94">
        <v>0.19086922737568399</v>
      </c>
    </row>
    <row r="95" spans="1:38" x14ac:dyDescent="0.2">
      <c r="A95">
        <v>129</v>
      </c>
      <c r="B95">
        <v>774</v>
      </c>
      <c r="C95">
        <v>125</v>
      </c>
      <c r="D95">
        <v>0.47267392446163797</v>
      </c>
      <c r="E95">
        <v>5.2700910885538796</v>
      </c>
      <c r="F95">
        <v>2.5231165021424302</v>
      </c>
      <c r="G95">
        <v>-84.283682233057959</v>
      </c>
      <c r="H95">
        <v>-72.642639021591521</v>
      </c>
      <c r="I95">
        <v>11.1168822150278</v>
      </c>
      <c r="J95">
        <v>6.3064077930229496</v>
      </c>
      <c r="K95">
        <v>2.0887228489365901</v>
      </c>
      <c r="L95">
        <v>2.9233525413172516E-5</v>
      </c>
      <c r="M95">
        <v>1.8155645809695375E-6</v>
      </c>
      <c r="N95" s="1">
        <v>-2.3364025235958998E-8</v>
      </c>
      <c r="O95" s="1">
        <v>1.9798850796487899E-11</v>
      </c>
      <c r="P95" s="1">
        <v>1.10302686687753E-10</v>
      </c>
      <c r="Q95">
        <v>66.393604331606099</v>
      </c>
      <c r="S95">
        <v>19.279391021336199</v>
      </c>
      <c r="AA95">
        <v>0.413655085711718</v>
      </c>
      <c r="AB95">
        <v>6.1629402811028404</v>
      </c>
      <c r="AC95">
        <v>7.7504092802430096</v>
      </c>
      <c r="AJ95">
        <v>0.536340286029104</v>
      </c>
      <c r="AK95">
        <v>1.9893061181809099E-2</v>
      </c>
      <c r="AL95">
        <v>0.443766652789086</v>
      </c>
    </row>
    <row r="96" spans="1:38" x14ac:dyDescent="0.2">
      <c r="A96">
        <v>130</v>
      </c>
      <c r="B96">
        <v>773</v>
      </c>
      <c r="C96">
        <v>125</v>
      </c>
      <c r="D96">
        <v>0.472102948907902</v>
      </c>
      <c r="E96">
        <v>12.049120472384701</v>
      </c>
      <c r="F96">
        <v>2.55115346356822</v>
      </c>
      <c r="G96">
        <v>-195.34365403956818</v>
      </c>
      <c r="H96">
        <v>-168.5406043307074</v>
      </c>
      <c r="I96">
        <v>25.620656415294899</v>
      </c>
      <c r="J96">
        <v>14.6154362587347</v>
      </c>
      <c r="K96">
        <v>4.7230088838058402</v>
      </c>
      <c r="L96">
        <v>3.0785103243547064E-5</v>
      </c>
      <c r="M96">
        <v>1.8292635681360362E-6</v>
      </c>
      <c r="N96" s="1">
        <v>-9.0826509306150797E-8</v>
      </c>
      <c r="O96" s="1">
        <v>4.31680583936804E-11</v>
      </c>
      <c r="P96" s="1">
        <v>3.6448411070923998E-10</v>
      </c>
      <c r="Q96">
        <v>66.114043692577397</v>
      </c>
      <c r="S96">
        <v>20.487721619059201</v>
      </c>
      <c r="AA96">
        <v>1.4757718544274501</v>
      </c>
      <c r="AB96">
        <v>8.7077501420951808</v>
      </c>
      <c r="AC96">
        <v>3.2147126918406901</v>
      </c>
      <c r="AJ96">
        <v>0.74819731776179099</v>
      </c>
      <c r="AK96">
        <v>7.0071304317042504E-2</v>
      </c>
      <c r="AL96">
        <v>0.181731377921165</v>
      </c>
    </row>
    <row r="97" spans="1:38" x14ac:dyDescent="0.2">
      <c r="A97">
        <v>130</v>
      </c>
      <c r="B97">
        <v>773</v>
      </c>
      <c r="C97">
        <v>125</v>
      </c>
      <c r="D97">
        <v>0.472102948907902</v>
      </c>
      <c r="E97">
        <v>12.216106542885701</v>
      </c>
      <c r="F97">
        <v>2.52254915508738</v>
      </c>
      <c r="G97">
        <v>-195.22073566108455</v>
      </c>
      <c r="H97">
        <v>-168.29416430606375</v>
      </c>
      <c r="I97">
        <v>25.7387290111559</v>
      </c>
      <c r="J97">
        <v>14.608598718363</v>
      </c>
      <c r="K97">
        <v>4.8427625357661501</v>
      </c>
      <c r="L97">
        <v>2.9148384512193149E-5</v>
      </c>
      <c r="M97">
        <v>1.8140975711798493E-6</v>
      </c>
      <c r="N97" s="1">
        <v>-5.4147656655835402E-8</v>
      </c>
      <c r="O97" s="1">
        <v>4.5943872812976E-11</v>
      </c>
      <c r="P97" s="1">
        <v>2.5553155063896701E-10</v>
      </c>
      <c r="Q97">
        <v>66.357195960880404</v>
      </c>
      <c r="S97">
        <v>19.256333409368999</v>
      </c>
      <c r="AA97">
        <v>0.40312771532225999</v>
      </c>
      <c r="AB97">
        <v>6.02135765161343</v>
      </c>
      <c r="AC97">
        <v>7.96198526281478</v>
      </c>
      <c r="AJ97">
        <v>0.52439296900553201</v>
      </c>
      <c r="AK97">
        <v>1.9400632266816799E-2</v>
      </c>
      <c r="AL97">
        <v>0.45620639872765001</v>
      </c>
    </row>
    <row r="98" spans="1:38" x14ac:dyDescent="0.2">
      <c r="A98">
        <v>131</v>
      </c>
      <c r="B98">
        <v>772</v>
      </c>
      <c r="C98">
        <v>125</v>
      </c>
      <c r="D98">
        <v>0.47153088073482102</v>
      </c>
      <c r="E98">
        <v>14.065708284237401</v>
      </c>
      <c r="F98">
        <v>2.5552207554263999</v>
      </c>
      <c r="G98">
        <v>-228.23412278533669</v>
      </c>
      <c r="H98">
        <v>-196.9938001374986</v>
      </c>
      <c r="I98">
        <v>29.890755057013902</v>
      </c>
      <c r="J98">
        <v>17.0707943452697</v>
      </c>
      <c r="K98">
        <v>5.50469396993069</v>
      </c>
      <c r="L98">
        <v>3.0775086453089739E-5</v>
      </c>
      <c r="M98">
        <v>1.8250564823904627E-6</v>
      </c>
      <c r="N98" s="1">
        <v>-1.1041512806055901E-7</v>
      </c>
      <c r="O98" s="1">
        <v>5.0029579301129599E-11</v>
      </c>
      <c r="P98" s="1">
        <v>4.3859381123156698E-10</v>
      </c>
      <c r="Q98">
        <v>65.861608177790401</v>
      </c>
      <c r="S98">
        <v>20.727487654584198</v>
      </c>
      <c r="AA98">
        <v>1.73248366510443</v>
      </c>
      <c r="AB98">
        <v>8.7737889662841493</v>
      </c>
      <c r="AC98">
        <v>2.90463153623663</v>
      </c>
      <c r="AJ98">
        <v>0.753619882249984</v>
      </c>
      <c r="AK98">
        <v>8.2232804575404495E-2</v>
      </c>
      <c r="AL98">
        <v>0.16414731317461001</v>
      </c>
    </row>
    <row r="99" spans="1:38" x14ac:dyDescent="0.2">
      <c r="A99">
        <v>131</v>
      </c>
      <c r="B99">
        <v>772</v>
      </c>
      <c r="C99">
        <v>125</v>
      </c>
      <c r="D99">
        <v>0.47153088073482102</v>
      </c>
      <c r="E99">
        <v>28.6345863373033</v>
      </c>
      <c r="F99">
        <v>2.5215238146013501</v>
      </c>
      <c r="G99">
        <v>-456.96099479370878</v>
      </c>
      <c r="H99">
        <v>-394.02266251213746</v>
      </c>
      <c r="I99">
        <v>60.219425232331503</v>
      </c>
      <c r="J99">
        <v>34.193503910237602</v>
      </c>
      <c r="K99">
        <v>11.356064206687</v>
      </c>
      <c r="L99">
        <v>2.8961148397915951E-5</v>
      </c>
      <c r="M99">
        <v>1.8109157280108782E-6</v>
      </c>
      <c r="N99" s="1">
        <v>-1.2185945413395499E-7</v>
      </c>
      <c r="O99" s="1">
        <v>1.0795456603499901E-10</v>
      </c>
      <c r="P99" s="1">
        <v>5.8359530342489002E-10</v>
      </c>
      <c r="Q99">
        <v>66.274846261536595</v>
      </c>
      <c r="S99">
        <v>19.2169714560664</v>
      </c>
      <c r="AA99">
        <v>0.389868877362816</v>
      </c>
      <c r="AB99">
        <v>5.7346532840545903</v>
      </c>
      <c r="AC99">
        <v>8.3836601209794193</v>
      </c>
      <c r="AJ99">
        <v>0.50014727310361995</v>
      </c>
      <c r="AK99">
        <v>1.8789710873563299E-2</v>
      </c>
      <c r="AL99">
        <v>0.48106301602281598</v>
      </c>
    </row>
    <row r="100" spans="1:38" x14ac:dyDescent="0.2">
      <c r="A100">
        <v>132</v>
      </c>
      <c r="B100">
        <v>771</v>
      </c>
      <c r="C100">
        <v>125</v>
      </c>
      <c r="D100">
        <v>0.47095771680314102</v>
      </c>
      <c r="E100">
        <v>15.382193520645201</v>
      </c>
      <c r="F100">
        <v>2.5570283580864399</v>
      </c>
      <c r="G100">
        <v>-249.66540775044237</v>
      </c>
      <c r="H100">
        <v>-215.55454737606297</v>
      </c>
      <c r="I100">
        <v>32.668544150150197</v>
      </c>
      <c r="J100">
        <v>18.673857172690798</v>
      </c>
      <c r="K100">
        <v>6.0156522988882903</v>
      </c>
      <c r="L100">
        <v>3.0775261427844964E-5</v>
      </c>
      <c r="M100">
        <v>1.8230704505445775E-6</v>
      </c>
      <c r="N100" s="1">
        <v>-1.2491044911239401E-7</v>
      </c>
      <c r="O100" s="1">
        <v>5.4518265132118499E-11</v>
      </c>
      <c r="P100" s="1">
        <v>4.91913489721962E-10</v>
      </c>
      <c r="Q100">
        <v>65.744198537719299</v>
      </c>
      <c r="S100">
        <v>20.835106442013199</v>
      </c>
      <c r="AA100">
        <v>1.8486662010795401</v>
      </c>
      <c r="AB100">
        <v>8.7942845212810195</v>
      </c>
      <c r="AC100">
        <v>2.7777442979067799</v>
      </c>
      <c r="AJ100">
        <v>0.75530147998393704</v>
      </c>
      <c r="AK100">
        <v>8.7738279712353207E-2</v>
      </c>
      <c r="AL100">
        <v>0.156960240303709</v>
      </c>
    </row>
    <row r="101" spans="1:38" x14ac:dyDescent="0.2">
      <c r="A101">
        <v>132</v>
      </c>
      <c r="B101">
        <v>771</v>
      </c>
      <c r="C101">
        <v>125</v>
      </c>
      <c r="D101">
        <v>0.47095771680314102</v>
      </c>
      <c r="E101">
        <v>35.225583214218801</v>
      </c>
      <c r="F101">
        <v>2.5211380551068499</v>
      </c>
      <c r="G101">
        <v>-561.76003561076686</v>
      </c>
      <c r="H101">
        <v>-484.49652537705367</v>
      </c>
      <c r="I101">
        <v>73.996562020507795</v>
      </c>
      <c r="J101">
        <v>42.039609665585999</v>
      </c>
      <c r="K101">
        <v>13.972096110669201</v>
      </c>
      <c r="L101">
        <v>2.8887036749151045E-5</v>
      </c>
      <c r="M101">
        <v>1.8096410855757468E-6</v>
      </c>
      <c r="N101" s="1">
        <v>-1.50278000956833E-7</v>
      </c>
      <c r="O101" s="1">
        <v>1.32918717366259E-10</v>
      </c>
      <c r="P101" s="1">
        <v>7.18698083132989E-10</v>
      </c>
      <c r="Q101">
        <v>66.240348535401907</v>
      </c>
      <c r="S101">
        <v>19.199020717787</v>
      </c>
      <c r="AA101">
        <v>0.38310890726082097</v>
      </c>
      <c r="AB101">
        <v>5.6107167569029102</v>
      </c>
      <c r="AC101">
        <v>8.5668050826472104</v>
      </c>
      <c r="AJ101">
        <v>0.48964461081867799</v>
      </c>
      <c r="AK101">
        <v>1.8475477588392401E-2</v>
      </c>
      <c r="AL101">
        <v>0.49187991159292899</v>
      </c>
    </row>
    <row r="102" spans="1:38" x14ac:dyDescent="0.2">
      <c r="A102">
        <v>133</v>
      </c>
      <c r="B102">
        <v>770</v>
      </c>
      <c r="C102">
        <v>125</v>
      </c>
      <c r="D102">
        <v>0.47038345396155901</v>
      </c>
      <c r="E102">
        <v>16.238431142562099</v>
      </c>
      <c r="F102">
        <v>2.5580880205623799</v>
      </c>
      <c r="G102">
        <v>-263.59013771557414</v>
      </c>
      <c r="H102">
        <v>-227.63611298118653</v>
      </c>
      <c r="I102">
        <v>34.4667830459546</v>
      </c>
      <c r="J102">
        <v>19.717989257335301</v>
      </c>
      <c r="K102">
        <v>6.3478781855958903</v>
      </c>
      <c r="L102">
        <v>3.0785327387756334E-5</v>
      </c>
      <c r="M102">
        <v>1.8219948900698647E-6</v>
      </c>
      <c r="N102" s="1">
        <v>-1.36241279891076E-7</v>
      </c>
      <c r="O102" s="1">
        <v>5.7419907305890297E-11</v>
      </c>
      <c r="P102" s="1">
        <v>5.3213030081059905E-10</v>
      </c>
      <c r="Q102">
        <v>65.677298080100897</v>
      </c>
      <c r="S102">
        <v>20.896508153046401</v>
      </c>
      <c r="AA102">
        <v>1.91493354858262</v>
      </c>
      <c r="AB102">
        <v>8.8061730067782609</v>
      </c>
      <c r="AC102">
        <v>2.7050872114916502</v>
      </c>
      <c r="AJ102">
        <v>0.75627675131780203</v>
      </c>
      <c r="AK102">
        <v>9.0877848080656104E-2</v>
      </c>
      <c r="AL102">
        <v>0.15284540060154</v>
      </c>
    </row>
    <row r="103" spans="1:38" x14ac:dyDescent="0.2">
      <c r="A103">
        <v>133</v>
      </c>
      <c r="B103">
        <v>770</v>
      </c>
      <c r="C103">
        <v>125</v>
      </c>
      <c r="D103">
        <v>0.47038345396155901</v>
      </c>
      <c r="E103">
        <v>38.762482513041199</v>
      </c>
      <c r="F103">
        <v>2.5209313688055999</v>
      </c>
      <c r="G103">
        <v>-617.88138613632759</v>
      </c>
      <c r="H103">
        <v>-533.01779580312541</v>
      </c>
      <c r="I103">
        <v>81.353199763411098</v>
      </c>
      <c r="J103">
        <v>46.246310436381002</v>
      </c>
      <c r="K103">
        <v>15.3762545830061</v>
      </c>
      <c r="L103">
        <v>2.8848519731200652E-5</v>
      </c>
      <c r="M103">
        <v>1.8089629473498959E-6</v>
      </c>
      <c r="N103" s="1">
        <v>-1.6815095220686799E-7</v>
      </c>
      <c r="O103" s="1">
        <v>1.4632135533347399E-10</v>
      </c>
      <c r="P103" s="1">
        <v>7.9878776059642601E-10</v>
      </c>
      <c r="Q103">
        <v>66.221336688632306</v>
      </c>
      <c r="S103">
        <v>19.187347493273101</v>
      </c>
      <c r="AA103">
        <v>0.37791453204766901</v>
      </c>
      <c r="AB103">
        <v>5.5377470000652904</v>
      </c>
      <c r="AC103">
        <v>8.67565428598156</v>
      </c>
      <c r="AJ103">
        <v>0.483454846196261</v>
      </c>
      <c r="AK103">
        <v>1.8231701013098098E-2</v>
      </c>
      <c r="AL103">
        <v>0.49831345279063999</v>
      </c>
    </row>
    <row r="104" spans="1:38" x14ac:dyDescent="0.2">
      <c r="A104">
        <v>134</v>
      </c>
      <c r="B104">
        <v>769</v>
      </c>
      <c r="C104">
        <v>125</v>
      </c>
      <c r="D104">
        <v>0.46980808904668597</v>
      </c>
      <c r="E104">
        <v>16.7156263557121</v>
      </c>
      <c r="F104">
        <v>2.5586599748105598</v>
      </c>
      <c r="G104">
        <v>-271.33541830760572</v>
      </c>
      <c r="H104">
        <v>-234.3811080978185</v>
      </c>
      <c r="I104">
        <v>35.459684507784097</v>
      </c>
      <c r="J104">
        <v>20.301959624810301</v>
      </c>
      <c r="K104">
        <v>6.5329612063633702</v>
      </c>
      <c r="L104">
        <v>3.0804814863835139E-5</v>
      </c>
      <c r="M104">
        <v>1.8215927793188939E-6</v>
      </c>
      <c r="N104" s="1">
        <v>-1.4484764619438701E-7</v>
      </c>
      <c r="O104" s="1">
        <v>5.9018559692488204E-11</v>
      </c>
      <c r="P104" s="1">
        <v>5.6120904260643798E-10</v>
      </c>
      <c r="Q104">
        <v>65.645964090084902</v>
      </c>
      <c r="S104">
        <v>20.926626032550299</v>
      </c>
      <c r="AA104">
        <v>1.9470924657628399</v>
      </c>
      <c r="AB104">
        <v>8.8153048267998297</v>
      </c>
      <c r="AC104">
        <v>2.6650125848020099</v>
      </c>
      <c r="AJ104">
        <v>0.75702610427765205</v>
      </c>
      <c r="AK104">
        <v>9.2399769433931994E-2</v>
      </c>
      <c r="AL104">
        <v>0.15057412628841499</v>
      </c>
    </row>
    <row r="105" spans="1:38" x14ac:dyDescent="0.2">
      <c r="A105">
        <v>134</v>
      </c>
      <c r="B105">
        <v>769</v>
      </c>
      <c r="C105">
        <v>125</v>
      </c>
      <c r="D105">
        <v>0.46980808904668597</v>
      </c>
      <c r="E105">
        <v>40.378834416323699</v>
      </c>
      <c r="F105">
        <v>2.5208268374319802</v>
      </c>
      <c r="G105">
        <v>-643.44054852414104</v>
      </c>
      <c r="H105">
        <v>-555.18904485610858</v>
      </c>
      <c r="I105">
        <v>84.682151003245707</v>
      </c>
      <c r="J105">
        <v>48.168041174552798</v>
      </c>
      <c r="K105">
        <v>16.018091293195798</v>
      </c>
      <c r="L105">
        <v>2.8832559752973164E-5</v>
      </c>
      <c r="M105">
        <v>1.8086585813309209E-6</v>
      </c>
      <c r="N105" s="1">
        <v>-1.7973562776259899E-7</v>
      </c>
      <c r="O105" s="1">
        <v>1.5243548789605599E-10</v>
      </c>
      <c r="P105" s="1">
        <v>8.4531966980234696E-10</v>
      </c>
      <c r="Q105">
        <v>66.212258663758206</v>
      </c>
      <c r="S105">
        <v>19.179409342448199</v>
      </c>
      <c r="AA105">
        <v>0.37348370933681302</v>
      </c>
      <c r="AB105">
        <v>5.4967062139601399</v>
      </c>
      <c r="AC105">
        <v>8.7381420704965596</v>
      </c>
      <c r="AJ105">
        <v>0.479971511378676</v>
      </c>
      <c r="AK105">
        <v>1.8021684770566999E-2</v>
      </c>
      <c r="AL105">
        <v>0.50200680385075602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E360-9D8E-48B1-9F52-810B44876F3A}">
  <sheetPr codeName="Sheet12"/>
  <dimension ref="A1:AJ11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762</v>
      </c>
      <c r="C2">
        <v>275</v>
      </c>
      <c r="D2">
        <v>0.306352219485102</v>
      </c>
      <c r="E2">
        <v>5.5785657675367702E-2</v>
      </c>
      <c r="F2">
        <v>2.54384628309294</v>
      </c>
      <c r="G2">
        <v>-0.91021732780016495</v>
      </c>
      <c r="H2">
        <v>-0.79619284720283356</v>
      </c>
      <c r="I2">
        <v>0.110152616140009</v>
      </c>
      <c r="J2">
        <v>6.4689676030785098E-2</v>
      </c>
      <c r="K2">
        <v>2.1929649620000002E-2</v>
      </c>
      <c r="L2">
        <v>0</v>
      </c>
      <c r="M2">
        <v>1.2383112330061072E-6</v>
      </c>
      <c r="N2">
        <v>0</v>
      </c>
      <c r="O2" s="1">
        <v>3.1189062886325802E-14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761</v>
      </c>
      <c r="C3">
        <v>275</v>
      </c>
      <c r="D3">
        <v>0.30561378910216402</v>
      </c>
      <c r="E3">
        <v>0.27117875260185298</v>
      </c>
      <c r="F3">
        <v>2.54384628309294</v>
      </c>
      <c r="G3">
        <v>-4.4241073290267119</v>
      </c>
      <c r="H3">
        <v>-3.8706745335666146</v>
      </c>
      <c r="I3">
        <v>0.53515717783696504</v>
      </c>
      <c r="J3">
        <v>0.31442254057782998</v>
      </c>
      <c r="K3">
        <v>0.10660186285790001</v>
      </c>
      <c r="L3">
        <v>0</v>
      </c>
      <c r="M3">
        <v>1.2383112330061072E-6</v>
      </c>
      <c r="N3">
        <v>0</v>
      </c>
      <c r="O3" s="1">
        <v>1.5161264598784401E-13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760</v>
      </c>
      <c r="C4">
        <v>275</v>
      </c>
      <c r="D4">
        <v>0.30487392924551299</v>
      </c>
      <c r="E4">
        <v>0.48550596820083403</v>
      </c>
      <c r="F4">
        <v>2.54384628309294</v>
      </c>
      <c r="G4">
        <v>-7.9197604658216365</v>
      </c>
      <c r="H4">
        <v>-6.9304405799427009</v>
      </c>
      <c r="I4">
        <v>0.95757623373076095</v>
      </c>
      <c r="J4">
        <v>0.56285698182939703</v>
      </c>
      <c r="K4">
        <v>0.19085507305517299</v>
      </c>
      <c r="L4">
        <v>0</v>
      </c>
      <c r="M4">
        <v>1.238311233006107E-6</v>
      </c>
      <c r="N4">
        <v>0</v>
      </c>
      <c r="O4" s="1">
        <v>2.7144030929993899E-13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759</v>
      </c>
      <c r="C5">
        <v>275</v>
      </c>
      <c r="D5">
        <v>0.30413263576031102</v>
      </c>
      <c r="E5">
        <v>0.69877624937390004</v>
      </c>
      <c r="F5">
        <v>2.54384628309294</v>
      </c>
      <c r="G5">
        <v>-11.397329663365779</v>
      </c>
      <c r="H5">
        <v>-9.9756148812377283</v>
      </c>
      <c r="I5">
        <v>1.37743039493101</v>
      </c>
      <c r="J5">
        <v>0.81000363145340204</v>
      </c>
      <c r="K5">
        <v>0.274692796501953</v>
      </c>
      <c r="L5">
        <v>0</v>
      </c>
      <c r="M5">
        <v>1.238311233006107E-6</v>
      </c>
      <c r="N5">
        <v>0</v>
      </c>
      <c r="O5" s="1">
        <v>3.9067705380511702E-13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758</v>
      </c>
      <c r="C6">
        <v>275</v>
      </c>
      <c r="D6">
        <v>0.303389904475587</v>
      </c>
      <c r="E6">
        <v>0.91099844546893005</v>
      </c>
      <c r="F6">
        <v>2.54384628309294</v>
      </c>
      <c r="G6">
        <v>-14.856966211631564</v>
      </c>
      <c r="H6">
        <v>-13.006320010272882</v>
      </c>
      <c r="I6">
        <v>1.7947400488373899</v>
      </c>
      <c r="J6">
        <v>1.0558730062839901</v>
      </c>
      <c r="K6">
        <v>0.358118511925685</v>
      </c>
      <c r="L6">
        <v>0</v>
      </c>
      <c r="M6">
        <v>1.2383112330061072E-6</v>
      </c>
      <c r="N6">
        <v>0</v>
      </c>
      <c r="O6" s="1">
        <v>5.0932782706300296E-13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757</v>
      </c>
      <c r="C7">
        <v>275</v>
      </c>
      <c r="D7">
        <v>0.30264573120419402</v>
      </c>
      <c r="E7">
        <v>1.1221813091424799</v>
      </c>
      <c r="F7">
        <v>2.54384628309294</v>
      </c>
      <c r="G7">
        <v>-18.298819747865817</v>
      </c>
      <c r="H7">
        <v>-16.022677200976553</v>
      </c>
      <c r="I7">
        <v>2.2095253573647202</v>
      </c>
      <c r="J7">
        <v>1.30047550705117</v>
      </c>
      <c r="K7">
        <v>0.44113566004392502</v>
      </c>
      <c r="L7">
        <v>0</v>
      </c>
      <c r="M7">
        <v>1.2383112330061072E-6</v>
      </c>
      <c r="N7">
        <v>0</v>
      </c>
      <c r="O7" s="1">
        <v>6.2739752257431599E-13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756</v>
      </c>
      <c r="C8">
        <v>275</v>
      </c>
      <c r="D8">
        <v>0.30190011174270298</v>
      </c>
      <c r="E8">
        <v>1.3323334993034499</v>
      </c>
      <c r="F8">
        <v>2.54384628309294</v>
      </c>
      <c r="G8">
        <v>-21.723038305626883</v>
      </c>
      <c r="H8">
        <v>-19.024806389846272</v>
      </c>
      <c r="I8">
        <v>2.6218062632080898</v>
      </c>
      <c r="J8">
        <v>1.54382142184078</v>
      </c>
      <c r="K8">
        <v>0.52374764472149304</v>
      </c>
      <c r="L8">
        <v>0</v>
      </c>
      <c r="M8">
        <v>1.2383112330061067E-6</v>
      </c>
      <c r="N8">
        <v>0</v>
      </c>
      <c r="O8" s="1">
        <v>7.4489098142661804E-13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755</v>
      </c>
      <c r="C9">
        <v>275</v>
      </c>
      <c r="D9">
        <v>0.30115304187132302</v>
      </c>
      <c r="E9">
        <v>1.54146358257788</v>
      </c>
      <c r="F9">
        <v>2.54384628309294</v>
      </c>
      <c r="G9">
        <v>-25.12976833967809</v>
      </c>
      <c r="H9">
        <v>-22.012826236314059</v>
      </c>
      <c r="I9">
        <v>3.03160249318098</v>
      </c>
      <c r="J9">
        <v>1.7859209278389201</v>
      </c>
      <c r="K9">
        <v>0.60595783354632904</v>
      </c>
      <c r="L9">
        <v>0</v>
      </c>
      <c r="M9">
        <v>1.238311233006107E-6</v>
      </c>
      <c r="N9">
        <v>0</v>
      </c>
      <c r="O9" s="1">
        <v>8.6181299311330201E-13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754</v>
      </c>
      <c r="C10">
        <v>275</v>
      </c>
      <c r="D10">
        <v>0.30040451735384299</v>
      </c>
      <c r="E10">
        <v>1.74958003454602</v>
      </c>
      <c r="F10">
        <v>2.54384628309294</v>
      </c>
      <c r="G10">
        <v>-28.519154747148292</v>
      </c>
      <c r="H10">
        <v>-24.986854139867869</v>
      </c>
      <c r="I10">
        <v>3.4389335610966398</v>
      </c>
      <c r="J10">
        <v>2.0267840928114902</v>
      </c>
      <c r="K10">
        <v>0.68776955831576003</v>
      </c>
      <c r="L10">
        <v>0</v>
      </c>
      <c r="M10">
        <v>1.2383112330061072E-6</v>
      </c>
      <c r="N10">
        <v>0</v>
      </c>
      <c r="O10" s="1">
        <v>9.7816829622518802E-13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753</v>
      </c>
      <c r="C11">
        <v>275</v>
      </c>
      <c r="D11">
        <v>0.29965453393753799</v>
      </c>
      <c r="E11">
        <v>1.95669123925694</v>
      </c>
      <c r="F11">
        <v>2.54384628309294</v>
      </c>
      <c r="G11">
        <v>-31.891340860603865</v>
      </c>
      <c r="H11">
        <v>-27.947006232581327</v>
      </c>
      <c r="I11">
        <v>3.8438187672587198</v>
      </c>
      <c r="J11">
        <v>2.26642087458784</v>
      </c>
      <c r="K11">
        <v>0.76918611484570498</v>
      </c>
      <c r="L11">
        <v>0</v>
      </c>
      <c r="M11">
        <v>1.2383112330061072E-6</v>
      </c>
      <c r="N11">
        <v>0</v>
      </c>
      <c r="O11" s="1">
        <v>1.0939615781791601E-12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752</v>
      </c>
      <c r="C12">
        <v>275</v>
      </c>
      <c r="D12">
        <v>0.29890308735307097</v>
      </c>
      <c r="E12">
        <v>2.16280549408122</v>
      </c>
      <c r="F12">
        <v>2.54384628309294</v>
      </c>
      <c r="G12">
        <v>-35.246468528117497</v>
      </c>
      <c r="H12">
        <v>-30.893397447888788</v>
      </c>
      <c r="I12">
        <v>4.2462772084365303</v>
      </c>
      <c r="J12">
        <v>2.5048411267274102</v>
      </c>
      <c r="K12">
        <v>0.85021076487828295</v>
      </c>
      <c r="L12">
        <v>0</v>
      </c>
      <c r="M12">
        <v>1.238311233006107E-6</v>
      </c>
      <c r="N12">
        <v>0</v>
      </c>
      <c r="O12" s="1">
        <v>1.20919747793124E-12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751</v>
      </c>
      <c r="C13">
        <v>275</v>
      </c>
      <c r="D13">
        <v>0.29815017331445698</v>
      </c>
      <c r="E13">
        <v>2.36793100615676</v>
      </c>
      <c r="F13">
        <v>2.54384628309294</v>
      </c>
      <c r="G13">
        <v>-38.584678056291295</v>
      </c>
      <c r="H13">
        <v>-33.82614146930139</v>
      </c>
      <c r="I13">
        <v>4.6463277713126896</v>
      </c>
      <c r="J13">
        <v>2.7420545944472701</v>
      </c>
      <c r="K13">
        <v>0.93084673468465595</v>
      </c>
      <c r="L13">
        <v>0</v>
      </c>
      <c r="M13">
        <v>1.238311233006107E-6</v>
      </c>
      <c r="N13">
        <v>0</v>
      </c>
      <c r="O13" s="1">
        <v>1.3238805839895E-12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750</v>
      </c>
      <c r="C14">
        <v>275</v>
      </c>
      <c r="D14">
        <v>0.29739578751893703</v>
      </c>
      <c r="E14">
        <v>2.5720758981042202</v>
      </c>
      <c r="F14">
        <v>2.54384628309294</v>
      </c>
      <c r="G14">
        <v>-41.906108304347732</v>
      </c>
      <c r="H14">
        <v>-36.745350811526855</v>
      </c>
      <c r="I14">
        <v>5.0439891441341702</v>
      </c>
      <c r="J14">
        <v>2.97807092128591</v>
      </c>
      <c r="K14">
        <v>1.01109721731179</v>
      </c>
      <c r="L14">
        <v>0</v>
      </c>
      <c r="M14">
        <v>1.2383112330061072E-6</v>
      </c>
      <c r="N14">
        <v>0</v>
      </c>
      <c r="O14" s="1">
        <v>1.43801543760946E-12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749</v>
      </c>
      <c r="C15">
        <v>275</v>
      </c>
      <c r="D15">
        <v>0.29663992564692099</v>
      </c>
      <c r="E15">
        <v>2.7752482057889298</v>
      </c>
      <c r="F15">
        <v>2.54384628309294</v>
      </c>
      <c r="G15">
        <v>-45.210896648582498</v>
      </c>
      <c r="H15">
        <v>-39.651136787993188</v>
      </c>
      <c r="I15">
        <v>5.4392798127371798</v>
      </c>
      <c r="J15">
        <v>3.2128996465543902</v>
      </c>
      <c r="K15">
        <v>1.0909653717026599</v>
      </c>
      <c r="L15">
        <v>0</v>
      </c>
      <c r="M15">
        <v>1.238311233006107E-6</v>
      </c>
      <c r="N15">
        <v>0</v>
      </c>
      <c r="O15" s="1">
        <v>1.55160653154284E-12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748</v>
      </c>
      <c r="C16">
        <v>275</v>
      </c>
      <c r="D16">
        <v>0.29588258336189799</v>
      </c>
      <c r="E16">
        <v>2.9774558828757298</v>
      </c>
      <c r="F16">
        <v>2.54384628309294</v>
      </c>
      <c r="G16">
        <v>-48.499179057491844</v>
      </c>
      <c r="H16">
        <v>-42.543609575419211</v>
      </c>
      <c r="I16">
        <v>5.8322180698943598</v>
      </c>
      <c r="J16">
        <v>3.4465502106529802</v>
      </c>
      <c r="K16">
        <v>1.17045432448677</v>
      </c>
      <c r="L16">
        <v>0</v>
      </c>
      <c r="M16">
        <v>1.2383112330061072E-6</v>
      </c>
      <c r="N16">
        <v>0</v>
      </c>
      <c r="O16" s="1">
        <v>1.6646583125840999E-12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747</v>
      </c>
      <c r="C17">
        <v>275</v>
      </c>
      <c r="D17">
        <v>0.29512375631034898</v>
      </c>
      <c r="E17">
        <v>3.1787067983053698</v>
      </c>
      <c r="F17">
        <v>2.54384628309294</v>
      </c>
      <c r="G17">
        <v>-51.771090051558417</v>
      </c>
      <c r="H17">
        <v>-45.422878177266618</v>
      </c>
      <c r="I17">
        <v>6.2228220107746797</v>
      </c>
      <c r="J17">
        <v>3.6790319521913801</v>
      </c>
      <c r="K17">
        <v>1.24956716898811</v>
      </c>
      <c r="L17">
        <v>0</v>
      </c>
      <c r="M17">
        <v>1.238311233006107E-6</v>
      </c>
      <c r="N17">
        <v>0</v>
      </c>
      <c r="O17" s="1">
        <v>1.7771751801595E-12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746</v>
      </c>
      <c r="C18">
        <v>275</v>
      </c>
      <c r="D18">
        <v>0.29436344012167098</v>
      </c>
      <c r="E18">
        <v>3.3790087405237599</v>
      </c>
      <c r="F18">
        <v>2.54384628309294</v>
      </c>
      <c r="G18">
        <v>-55.026762773036971</v>
      </c>
      <c r="H18">
        <v>-48.289050483680789</v>
      </c>
      <c r="I18">
        <v>6.6111095416338896</v>
      </c>
      <c r="J18">
        <v>3.9103541129262598</v>
      </c>
      <c r="K18">
        <v>1.3283069668877101</v>
      </c>
      <c r="L18">
        <v>0</v>
      </c>
      <c r="M18">
        <v>1.2383112330061067E-6</v>
      </c>
      <c r="N18">
        <v>0</v>
      </c>
      <c r="O18" s="1">
        <v>1.8891614886916499E-12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745</v>
      </c>
      <c r="C19">
        <v>275</v>
      </c>
      <c r="D19">
        <v>0.29360163040809401</v>
      </c>
      <c r="E19">
        <v>3.57836941578381</v>
      </c>
      <c r="F19">
        <v>2.54384628309294</v>
      </c>
      <c r="G19">
        <v>-58.266328959170693</v>
      </c>
      <c r="H19">
        <v>-51.1422332467438</v>
      </c>
      <c r="I19">
        <v>6.9970983768863997</v>
      </c>
      <c r="J19">
        <v>4.1405258358365797</v>
      </c>
      <c r="K19">
        <v>1.40667674755608</v>
      </c>
      <c r="L19">
        <v>0</v>
      </c>
      <c r="M19">
        <v>1.238311233006107E-6</v>
      </c>
      <c r="N19">
        <v>0</v>
      </c>
      <c r="O19" s="1">
        <v>2.0006215466500802E-12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744</v>
      </c>
      <c r="C20">
        <v>275</v>
      </c>
      <c r="D20">
        <v>0.29283832276459099</v>
      </c>
      <c r="E20">
        <v>3.77679645279692</v>
      </c>
      <c r="F20">
        <v>2.54384628309294</v>
      </c>
      <c r="G20">
        <v>-61.489919018807576</v>
      </c>
      <c r="H20">
        <v>-53.982532146475194</v>
      </c>
      <c r="I20">
        <v>7.3808060485989104</v>
      </c>
      <c r="J20">
        <v>4.3695561705471002</v>
      </c>
      <c r="K20">
        <v>1.48467950988174</v>
      </c>
      <c r="L20">
        <v>0</v>
      </c>
      <c r="M20">
        <v>1.2383112330061072E-6</v>
      </c>
      <c r="N20">
        <v>0</v>
      </c>
      <c r="O20" s="1">
        <v>2.1115596191518599E-12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743</v>
      </c>
      <c r="C21">
        <v>275</v>
      </c>
      <c r="D21">
        <v>0.29207351276878402</v>
      </c>
      <c r="E21">
        <v>3.9742974003835001</v>
      </c>
      <c r="F21">
        <v>2.54384628309294</v>
      </c>
      <c r="G21">
        <v>-64.697661994989389</v>
      </c>
      <c r="H21">
        <v>-56.81005175678839</v>
      </c>
      <c r="I21">
        <v>7.7622499022792004</v>
      </c>
      <c r="J21">
        <v>4.5974540706489799</v>
      </c>
      <c r="K21">
        <v>1.5623182213476099</v>
      </c>
      <c r="L21">
        <v>0</v>
      </c>
      <c r="M21">
        <v>1.2383112330061072E-6</v>
      </c>
      <c r="N21">
        <v>0</v>
      </c>
      <c r="O21" s="1">
        <v>2.2219799266479701E-12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742</v>
      </c>
      <c r="C22">
        <v>275</v>
      </c>
      <c r="D22">
        <v>0.291307195980888</v>
      </c>
      <c r="E22">
        <v>4.1708797294999203</v>
      </c>
      <c r="F22">
        <v>2.54384628309294</v>
      </c>
      <c r="G22">
        <v>-67.889685598805201</v>
      </c>
      <c r="H22">
        <v>-59.624895573996668</v>
      </c>
      <c r="I22">
        <v>8.1414471012249692</v>
      </c>
      <c r="J22">
        <v>4.8242283960850703</v>
      </c>
      <c r="K22">
        <v>1.6395958188278299</v>
      </c>
      <c r="L22">
        <v>0</v>
      </c>
      <c r="M22">
        <v>1.2383112330061072E-6</v>
      </c>
      <c r="N22">
        <v>0</v>
      </c>
      <c r="O22" s="1">
        <v>2.3318866460566E-12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741</v>
      </c>
      <c r="C23">
        <v>275</v>
      </c>
      <c r="D23">
        <v>0.29053936794360102</v>
      </c>
      <c r="E23">
        <v>4.36655083660626</v>
      </c>
      <c r="F23">
        <v>2.54384628309294</v>
      </c>
      <c r="G23">
        <v>-71.066116265038616</v>
      </c>
      <c r="H23">
        <v>-62.427166064499851</v>
      </c>
      <c r="I23">
        <v>8.5184146334750892</v>
      </c>
      <c r="J23">
        <v>5.0498879170839697</v>
      </c>
      <c r="K23">
        <v>1.7165152099116501</v>
      </c>
      <c r="L23">
        <v>0</v>
      </c>
      <c r="M23">
        <v>1.238311233006107E-6</v>
      </c>
      <c r="N23">
        <v>0</v>
      </c>
      <c r="O23" s="1">
        <v>2.4412839126459898E-12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740</v>
      </c>
      <c r="C24">
        <v>275</v>
      </c>
      <c r="D24">
        <v>0.28977002418201098</v>
      </c>
      <c r="E24">
        <v>9.0760623545856696</v>
      </c>
      <c r="F24">
        <v>2.54384628309294</v>
      </c>
      <c r="G24">
        <v>-147.69625628859868</v>
      </c>
      <c r="H24">
        <v>-129.7680258653123</v>
      </c>
      <c r="I24">
        <v>17.695534149223999</v>
      </c>
      <c r="J24">
        <v>10.4950274887603</v>
      </c>
      <c r="K24">
        <v>3.5678501546683501</v>
      </c>
      <c r="L24">
        <v>0</v>
      </c>
      <c r="M24">
        <v>1.2383112330061072E-6</v>
      </c>
      <c r="N24">
        <v>0</v>
      </c>
      <c r="O24" s="1">
        <v>5.0743128490959603E-12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739</v>
      </c>
      <c r="C25">
        <v>275</v>
      </c>
      <c r="D25">
        <v>0.28899916020352701</v>
      </c>
      <c r="E25">
        <v>14.529381990763</v>
      </c>
      <c r="F25">
        <v>2.54384628309294</v>
      </c>
      <c r="G25">
        <v>-236.41070460896634</v>
      </c>
      <c r="H25">
        <v>-207.75548035433062</v>
      </c>
      <c r="I25">
        <v>28.3112426563609</v>
      </c>
      <c r="J25">
        <v>16.798712942975001</v>
      </c>
      <c r="K25">
        <v>5.7115801718559096</v>
      </c>
      <c r="L25">
        <v>0</v>
      </c>
      <c r="M25">
        <v>1.238311233006107E-6</v>
      </c>
      <c r="N25">
        <v>0</v>
      </c>
      <c r="O25" s="1">
        <v>8.1231955935055803E-12</v>
      </c>
      <c r="P25">
        <v>0</v>
      </c>
      <c r="Q25">
        <v>100</v>
      </c>
      <c r="AJ25">
        <v>1</v>
      </c>
    </row>
    <row r="26" spans="1:36" x14ac:dyDescent="0.2">
      <c r="A26">
        <v>26</v>
      </c>
      <c r="B26">
        <v>738</v>
      </c>
      <c r="C26">
        <v>275</v>
      </c>
      <c r="D26">
        <v>0.28822677149780002</v>
      </c>
      <c r="E26">
        <v>28.689221762767499</v>
      </c>
      <c r="F26">
        <v>2.54384628309294</v>
      </c>
      <c r="G26">
        <v>-466.7526221388851</v>
      </c>
      <c r="H26">
        <v>-410.26004838225219</v>
      </c>
      <c r="I26">
        <v>55.869627411000103</v>
      </c>
      <c r="J26">
        <v>33.165783227385802</v>
      </c>
      <c r="K26">
        <v>11.2778912599568</v>
      </c>
      <c r="L26">
        <v>0</v>
      </c>
      <c r="M26">
        <v>1.238311233006107E-6</v>
      </c>
      <c r="N26">
        <v>0</v>
      </c>
      <c r="O26" s="1">
        <v>1.6039784758400401E-11</v>
      </c>
      <c r="P26">
        <v>0</v>
      </c>
      <c r="Q26">
        <v>100</v>
      </c>
      <c r="AJ26">
        <v>1</v>
      </c>
    </row>
    <row r="27" spans="1:36" x14ac:dyDescent="0.2">
      <c r="A27">
        <v>27</v>
      </c>
      <c r="B27">
        <v>737</v>
      </c>
      <c r="C27">
        <v>275</v>
      </c>
      <c r="D27">
        <v>0.28745285353660599</v>
      </c>
      <c r="E27">
        <v>31.586868509297201</v>
      </c>
      <c r="F27">
        <v>2.54384628309294</v>
      </c>
      <c r="G27">
        <v>-513.8337176019495</v>
      </c>
      <c r="H27">
        <v>-451.73333190888337</v>
      </c>
      <c r="I27">
        <v>61.476400230724302</v>
      </c>
      <c r="J27">
        <v>36.510732953248599</v>
      </c>
      <c r="K27">
        <v>12.416972172898801</v>
      </c>
      <c r="L27">
        <v>0</v>
      </c>
      <c r="M27">
        <v>1.2383112330061072E-6</v>
      </c>
      <c r="N27">
        <v>0</v>
      </c>
      <c r="O27" s="1">
        <v>1.7659822781897199E-11</v>
      </c>
      <c r="P27">
        <v>0</v>
      </c>
      <c r="Q27">
        <v>100</v>
      </c>
      <c r="AJ27">
        <v>1</v>
      </c>
    </row>
    <row r="28" spans="1:36" x14ac:dyDescent="0.2">
      <c r="A28">
        <v>28</v>
      </c>
      <c r="B28">
        <v>736</v>
      </c>
      <c r="C28">
        <v>275</v>
      </c>
      <c r="D28">
        <v>0.28667740177377199</v>
      </c>
      <c r="E28">
        <v>32.5936414700532</v>
      </c>
      <c r="F28">
        <v>2.54384628309294</v>
      </c>
      <c r="G28">
        <v>-530.14779895842582</v>
      </c>
      <c r="H28">
        <v>-466.16916756948171</v>
      </c>
      <c r="I28">
        <v>63.3985347955647</v>
      </c>
      <c r="J28">
        <v>37.669444560536697</v>
      </c>
      <c r="K28">
        <v>12.81274017486</v>
      </c>
      <c r="L28">
        <v>0</v>
      </c>
      <c r="M28">
        <v>1.238311233006107E-6</v>
      </c>
      <c r="N28">
        <v>0</v>
      </c>
      <c r="O28" s="1">
        <v>1.8222696941560199E-11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762</v>
      </c>
      <c r="C29">
        <v>250</v>
      </c>
      <c r="D29">
        <v>0.33291841762063901</v>
      </c>
      <c r="E29">
        <v>5.9199150850256801E-2</v>
      </c>
      <c r="F29">
        <v>2.5430588954681599</v>
      </c>
      <c r="G29">
        <v>-0.96649489459876647</v>
      </c>
      <c r="H29">
        <v>-0.845493319843036</v>
      </c>
      <c r="I29">
        <v>0.11689279307900299</v>
      </c>
      <c r="J29">
        <v>6.8648001106055803E-2</v>
      </c>
      <c r="K29">
        <v>2.327871798634E-2</v>
      </c>
      <c r="L29">
        <v>0</v>
      </c>
      <c r="M29">
        <v>1.2382833910659954E-6</v>
      </c>
      <c r="N29">
        <v>0</v>
      </c>
      <c r="O29" s="1">
        <v>3.3097504190598003E-14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761</v>
      </c>
      <c r="C30">
        <v>250</v>
      </c>
      <c r="D30">
        <v>0.33220567615916602</v>
      </c>
      <c r="E30">
        <v>0.268184539650762</v>
      </c>
      <c r="F30">
        <v>2.5430588954681599</v>
      </c>
      <c r="G30">
        <v>-4.3778946946980284</v>
      </c>
      <c r="H30">
        <v>-3.8305726126615518</v>
      </c>
      <c r="I30">
        <v>0.52924825415701404</v>
      </c>
      <c r="J30">
        <v>0.31095085249725501</v>
      </c>
      <c r="K30">
        <v>0.10545746310817899</v>
      </c>
      <c r="L30">
        <v>0</v>
      </c>
      <c r="M30">
        <v>1.2382833910659954E-6</v>
      </c>
      <c r="N30">
        <v>0</v>
      </c>
      <c r="O30" s="1">
        <v>1.49938619008184E-13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760</v>
      </c>
      <c r="C31">
        <v>250</v>
      </c>
      <c r="D31">
        <v>0.33149155495329902</v>
      </c>
      <c r="E31">
        <v>0.47615549192743301</v>
      </c>
      <c r="F31">
        <v>2.5430588954681599</v>
      </c>
      <c r="G31">
        <v>-7.7719121013380734</v>
      </c>
      <c r="H31">
        <v>-6.8016457652105347</v>
      </c>
      <c r="I31">
        <v>0.939134042614857</v>
      </c>
      <c r="J31">
        <v>0.55201678377082897</v>
      </c>
      <c r="K31">
        <v>0.18723730416781201</v>
      </c>
      <c r="L31">
        <v>0</v>
      </c>
      <c r="M31">
        <v>1.2382833910659954E-6</v>
      </c>
      <c r="N31">
        <v>0</v>
      </c>
      <c r="O31" s="1">
        <v>2.6621257506392298E-13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759</v>
      </c>
      <c r="C32">
        <v>250</v>
      </c>
      <c r="D32">
        <v>0.33077604999273502</v>
      </c>
      <c r="E32">
        <v>0.68312023188678395</v>
      </c>
      <c r="F32">
        <v>2.5430588954681599</v>
      </c>
      <c r="G32">
        <v>-11.148688039835138</v>
      </c>
      <c r="H32">
        <v>-9.7588266464143203</v>
      </c>
      <c r="I32">
        <v>1.34656919383889</v>
      </c>
      <c r="J32">
        <v>0.79185557471846801</v>
      </c>
      <c r="K32">
        <v>0.268621475147167</v>
      </c>
      <c r="L32">
        <v>0</v>
      </c>
      <c r="M32">
        <v>1.2382833910659956E-6</v>
      </c>
      <c r="N32">
        <v>0</v>
      </c>
      <c r="O32" s="1">
        <v>3.81923970408725E-13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758</v>
      </c>
      <c r="C33">
        <v>250</v>
      </c>
      <c r="D33">
        <v>0.330059157251614</v>
      </c>
      <c r="E33">
        <v>0.88908689553854203</v>
      </c>
      <c r="F33">
        <v>2.5430588954681599</v>
      </c>
      <c r="G33">
        <v>-14.508361925413485</v>
      </c>
      <c r="H33">
        <v>-12.702227903901258</v>
      </c>
      <c r="I33">
        <v>1.75157253698513</v>
      </c>
      <c r="J33">
        <v>1.0304768991749</v>
      </c>
      <c r="K33">
        <v>0.34961317534679598</v>
      </c>
      <c r="L33">
        <v>0</v>
      </c>
      <c r="M33">
        <v>1.2382833910659954E-6</v>
      </c>
      <c r="N33">
        <v>0</v>
      </c>
      <c r="O33" s="1">
        <v>4.9707735378378395E-13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757</v>
      </c>
      <c r="C34">
        <v>250</v>
      </c>
      <c r="D34">
        <v>0.32934087268844398</v>
      </c>
      <c r="E34">
        <v>1.09406353188033</v>
      </c>
      <c r="F34">
        <v>2.5430588954681599</v>
      </c>
      <c r="G34">
        <v>-17.85107168348798</v>
      </c>
      <c r="H34">
        <v>-15.631960980409458</v>
      </c>
      <c r="I34">
        <v>2.1541626977416102</v>
      </c>
      <c r="J34">
        <v>1.2678903264353101</v>
      </c>
      <c r="K34">
        <v>0.43021556985172399</v>
      </c>
      <c r="L34">
        <v>0</v>
      </c>
      <c r="M34">
        <v>1.2382833910659954E-6</v>
      </c>
      <c r="N34">
        <v>0</v>
      </c>
      <c r="O34" s="1">
        <v>6.1167722528291403E-13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756</v>
      </c>
      <c r="C35">
        <v>250</v>
      </c>
      <c r="D35">
        <v>0.32862119224602798</v>
      </c>
      <c r="E35">
        <v>1.2980581041265999</v>
      </c>
      <c r="F35">
        <v>2.5430588954681599</v>
      </c>
      <c r="G35">
        <v>-21.176953770653324</v>
      </c>
      <c r="H35">
        <v>-18.548136130833278</v>
      </c>
      <c r="I35">
        <v>2.55435810117091</v>
      </c>
      <c r="J35">
        <v>1.50410532272315</v>
      </c>
      <c r="K35">
        <v>0.51043179001469496</v>
      </c>
      <c r="L35">
        <v>0</v>
      </c>
      <c r="M35">
        <v>1.2382833910659954E-6</v>
      </c>
      <c r="N35">
        <v>0</v>
      </c>
      <c r="O35" s="1">
        <v>7.2572803703963598E-13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755</v>
      </c>
      <c r="C36">
        <v>250</v>
      </c>
      <c r="D36">
        <v>0.32790011185138401</v>
      </c>
      <c r="E36">
        <v>1.5010784908744299</v>
      </c>
      <c r="F36">
        <v>2.5430588954681599</v>
      </c>
      <c r="G36">
        <v>-24.486143194627171</v>
      </c>
      <c r="H36">
        <v>-21.450862438375967</v>
      </c>
      <c r="I36">
        <v>2.9521769744212398</v>
      </c>
      <c r="J36">
        <v>1.73913125258415</v>
      </c>
      <c r="K36">
        <v>0.590264933914595</v>
      </c>
      <c r="L36">
        <v>0</v>
      </c>
      <c r="M36">
        <v>1.2382833910659954E-6</v>
      </c>
      <c r="N36">
        <v>0</v>
      </c>
      <c r="O36" s="1">
        <v>8.39234193878945E-13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754</v>
      </c>
      <c r="C37">
        <v>250</v>
      </c>
      <c r="D37">
        <v>0.32717762741566497</v>
      </c>
      <c r="E37">
        <v>1.70313248739417</v>
      </c>
      <c r="F37">
        <v>2.5430588954681599</v>
      </c>
      <c r="G37">
        <v>-27.778773536215262</v>
      </c>
      <c r="H37">
        <v>-24.340247832495479</v>
      </c>
      <c r="I37">
        <v>3.3476373496760701</v>
      </c>
      <c r="J37">
        <v>1.97297738042413</v>
      </c>
      <c r="K37">
        <v>0.66971806686397395</v>
      </c>
      <c r="L37">
        <v>0</v>
      </c>
      <c r="M37">
        <v>1.2382833910659952E-6</v>
      </c>
      <c r="N37">
        <v>0</v>
      </c>
      <c r="O37" s="1">
        <v>9.5220005403891205E-13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753</v>
      </c>
      <c r="C38">
        <v>250</v>
      </c>
      <c r="D38">
        <v>0.32645373483409301</v>
      </c>
      <c r="E38">
        <v>1.90422780647386</v>
      </c>
      <c r="F38">
        <v>2.5430588954681599</v>
      </c>
      <c r="G38">
        <v>-31.054976963982543</v>
      </c>
      <c r="H38">
        <v>-27.216399100481436</v>
      </c>
      <c r="I38">
        <v>3.7407570662194698</v>
      </c>
      <c r="J38">
        <v>2.2056528715291299</v>
      </c>
      <c r="K38">
        <v>0.7487942217411</v>
      </c>
      <c r="L38">
        <v>0</v>
      </c>
      <c r="M38">
        <v>1.2382833910659956E-6</v>
      </c>
      <c r="N38">
        <v>0</v>
      </c>
      <c r="O38" s="1">
        <v>1.0646299296427899E-12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752</v>
      </c>
      <c r="C39">
        <v>250</v>
      </c>
      <c r="D39">
        <v>0.32572842998585799</v>
      </c>
      <c r="E39">
        <v>2.1043720798210201</v>
      </c>
      <c r="F39">
        <v>2.5430588954681599</v>
      </c>
      <c r="G39">
        <v>-34.314884258000561</v>
      </c>
      <c r="H39">
        <v>-30.079421907003947</v>
      </c>
      <c r="I39">
        <v>4.1315537735907899</v>
      </c>
      <c r="J39">
        <v>2.4371667937304702</v>
      </c>
      <c r="K39">
        <v>0.82749639954116105</v>
      </c>
      <c r="L39">
        <v>0</v>
      </c>
      <c r="M39">
        <v>1.2382833910659956E-6</v>
      </c>
      <c r="N39">
        <v>0</v>
      </c>
      <c r="O39" s="1">
        <v>1.17652808748272E-12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751</v>
      </c>
      <c r="C40">
        <v>250</v>
      </c>
      <c r="D40">
        <v>0.32500170873407402</v>
      </c>
      <c r="E40">
        <v>2.3035728596255498</v>
      </c>
      <c r="F40">
        <v>2.5430588954681599</v>
      </c>
      <c r="G40">
        <v>-37.558624836205922</v>
      </c>
      <c r="H40">
        <v>-32.929420815977196</v>
      </c>
      <c r="I40">
        <v>4.5200449350473297</v>
      </c>
      <c r="J40">
        <v>2.66752811925556</v>
      </c>
      <c r="K40">
        <v>0.90582756999085501</v>
      </c>
      <c r="L40">
        <v>0</v>
      </c>
      <c r="M40">
        <v>1.2382833910659952E-6</v>
      </c>
      <c r="N40">
        <v>0</v>
      </c>
      <c r="O40" s="1">
        <v>1.2878987498935301E-12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750</v>
      </c>
      <c r="C41">
        <v>250</v>
      </c>
      <c r="D41">
        <v>0.324273566925672</v>
      </c>
      <c r="E41">
        <v>2.5018376167979501</v>
      </c>
      <c r="F41">
        <v>2.5430588954681599</v>
      </c>
      <c r="G41">
        <v>-40.786326726537098</v>
      </c>
      <c r="H41">
        <v>-35.766499264902841</v>
      </c>
      <c r="I41">
        <v>4.9062478244971404</v>
      </c>
      <c r="J41">
        <v>2.89674572272801</v>
      </c>
      <c r="K41">
        <v>0.98379067085561001</v>
      </c>
      <c r="L41">
        <v>0</v>
      </c>
      <c r="M41">
        <v>1.2382833910659954E-6</v>
      </c>
      <c r="N41">
        <v>0</v>
      </c>
      <c r="O41" s="1">
        <v>1.3987460937677701E-12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749</v>
      </c>
      <c r="C42">
        <v>250</v>
      </c>
      <c r="D42">
        <v>0.32354400039133302</v>
      </c>
      <c r="E42">
        <v>2.6991737465012902</v>
      </c>
      <c r="F42">
        <v>2.5430588954681599</v>
      </c>
      <c r="G42">
        <v>-43.998116657983537</v>
      </c>
      <c r="H42">
        <v>-38.590759643482436</v>
      </c>
      <c r="I42">
        <v>5.2901795377401601</v>
      </c>
      <c r="J42">
        <v>3.1248283876135798</v>
      </c>
      <c r="K42">
        <v>1.0613886101148999</v>
      </c>
      <c r="L42">
        <v>0</v>
      </c>
      <c r="M42">
        <v>1.2382833910659954E-6</v>
      </c>
      <c r="N42">
        <v>0</v>
      </c>
      <c r="O42" s="1">
        <v>1.50907425364854E-12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748</v>
      </c>
      <c r="C43">
        <v>250</v>
      </c>
      <c r="D43">
        <v>0.32281300494540499</v>
      </c>
      <c r="E43">
        <v>2.89558856523941</v>
      </c>
      <c r="F43">
        <v>2.5430588954681599</v>
      </c>
      <c r="G43">
        <v>-47.194120013945906</v>
      </c>
      <c r="H43">
        <v>-41.402303251535116</v>
      </c>
      <c r="I43">
        <v>5.6718569871329203</v>
      </c>
      <c r="J43">
        <v>3.3517848028872899</v>
      </c>
      <c r="K43">
        <v>1.13862426481725</v>
      </c>
      <c r="L43">
        <v>0</v>
      </c>
      <c r="M43">
        <v>1.2382833910659952E-6</v>
      </c>
      <c r="N43">
        <v>0</v>
      </c>
      <c r="O43" s="1">
        <v>1.6188873201015401E-12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747</v>
      </c>
      <c r="C44">
        <v>250</v>
      </c>
      <c r="D44">
        <v>0.32208057638582899</v>
      </c>
      <c r="E44">
        <v>3.0910893159055601</v>
      </c>
      <c r="F44">
        <v>2.5430588954681599</v>
      </c>
      <c r="G44">
        <v>-50.37446091535967</v>
      </c>
      <c r="H44">
        <v>-44.201230370727643</v>
      </c>
      <c r="I44">
        <v>6.0512969118580804</v>
      </c>
      <c r="J44">
        <v>3.57762356891699</v>
      </c>
      <c r="K44">
        <v>1.2155004830654901</v>
      </c>
      <c r="L44">
        <v>0</v>
      </c>
      <c r="M44">
        <v>1.2382833910659952E-6</v>
      </c>
      <c r="N44">
        <v>0</v>
      </c>
      <c r="O44" s="1">
        <v>1.72818934253773E-12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746</v>
      </c>
      <c r="C45">
        <v>250</v>
      </c>
      <c r="D45">
        <v>0.32134671049404001</v>
      </c>
      <c r="E45">
        <v>3.28568316282368</v>
      </c>
      <c r="F45">
        <v>2.5430588954681599</v>
      </c>
      <c r="G45">
        <v>-53.539262140689331</v>
      </c>
      <c r="H45">
        <v>-46.987640193225445</v>
      </c>
      <c r="I45">
        <v>6.4285158685805701</v>
      </c>
      <c r="J45">
        <v>3.8023531917613802</v>
      </c>
      <c r="K45">
        <v>1.2920200820668799</v>
      </c>
      <c r="L45">
        <v>0</v>
      </c>
      <c r="M45">
        <v>1.2382833910659958E-6</v>
      </c>
      <c r="N45">
        <v>0</v>
      </c>
      <c r="O45" s="1">
        <v>1.8369843264409298E-12</v>
      </c>
      <c r="P45">
        <v>0</v>
      </c>
      <c r="Q45">
        <v>100</v>
      </c>
      <c r="AJ45">
        <v>1</v>
      </c>
    </row>
    <row r="46" spans="1:36" x14ac:dyDescent="0.2">
      <c r="A46">
        <v>47</v>
      </c>
      <c r="B46">
        <v>745</v>
      </c>
      <c r="C46">
        <v>250</v>
      </c>
      <c r="D46">
        <v>0.32061140303491598</v>
      </c>
      <c r="E46">
        <v>3.4793771988717701</v>
      </c>
      <c r="F46">
        <v>2.5430588954681599</v>
      </c>
      <c r="G46">
        <v>-56.688645242831143</v>
      </c>
      <c r="H46">
        <v>-49.761630923106758</v>
      </c>
      <c r="I46">
        <v>6.8035302457637696</v>
      </c>
      <c r="J46">
        <v>4.0259820914531499</v>
      </c>
      <c r="K46">
        <v>1.36818585093415</v>
      </c>
      <c r="L46">
        <v>0</v>
      </c>
      <c r="M46">
        <v>1.2382833910659954E-6</v>
      </c>
      <c r="N46">
        <v>0</v>
      </c>
      <c r="O46" s="1">
        <v>1.9452762373504502E-12</v>
      </c>
      <c r="P46">
        <v>0</v>
      </c>
      <c r="Q46">
        <v>100</v>
      </c>
      <c r="AJ46">
        <v>1</v>
      </c>
    </row>
    <row r="47" spans="1:36" x14ac:dyDescent="0.2">
      <c r="A47">
        <v>48</v>
      </c>
      <c r="B47">
        <v>744</v>
      </c>
      <c r="C47">
        <v>250</v>
      </c>
      <c r="D47">
        <v>0.31987464975667701</v>
      </c>
      <c r="E47">
        <v>3.6721784426921702</v>
      </c>
      <c r="F47">
        <v>2.5430588954681599</v>
      </c>
      <c r="G47">
        <v>-59.822730504439342</v>
      </c>
      <c r="H47">
        <v>-52.523299736039533</v>
      </c>
      <c r="I47">
        <v>7.1763562585654199</v>
      </c>
      <c r="J47">
        <v>4.2485185988068803</v>
      </c>
      <c r="K47">
        <v>1.4440005495885799</v>
      </c>
      <c r="L47">
        <v>0</v>
      </c>
      <c r="M47">
        <v>1.2382833910659954E-6</v>
      </c>
      <c r="N47">
        <v>0</v>
      </c>
      <c r="O47" s="1">
        <v>2.0530689993013701E-12</v>
      </c>
      <c r="P47">
        <v>0</v>
      </c>
      <c r="Q47">
        <v>100</v>
      </c>
      <c r="AJ47">
        <v>1</v>
      </c>
    </row>
    <row r="48" spans="1:36" x14ac:dyDescent="0.2">
      <c r="A48">
        <v>49</v>
      </c>
      <c r="B48">
        <v>743</v>
      </c>
      <c r="C48">
        <v>250</v>
      </c>
      <c r="D48">
        <v>0.31913644639078897</v>
      </c>
      <c r="E48">
        <v>14.267328544332299</v>
      </c>
      <c r="F48">
        <v>2.5430588954681599</v>
      </c>
      <c r="G48">
        <v>-232.39834507407758</v>
      </c>
      <c r="H48">
        <v>-204.08261644058524</v>
      </c>
      <c r="I48">
        <v>27.8656976169781</v>
      </c>
      <c r="J48">
        <v>16.504398409413799</v>
      </c>
      <c r="K48">
        <v>5.6103020538601402</v>
      </c>
      <c r="L48">
        <v>0</v>
      </c>
      <c r="M48">
        <v>1.2382833910659954E-6</v>
      </c>
      <c r="N48">
        <v>0</v>
      </c>
      <c r="O48" s="1">
        <v>7.9766847919682607E-12</v>
      </c>
      <c r="P48">
        <v>0</v>
      </c>
      <c r="Q48">
        <v>100</v>
      </c>
      <c r="AJ48">
        <v>1</v>
      </c>
    </row>
    <row r="49" spans="1:36" x14ac:dyDescent="0.2">
      <c r="A49">
        <v>50</v>
      </c>
      <c r="B49">
        <v>742</v>
      </c>
      <c r="C49">
        <v>250</v>
      </c>
      <c r="D49">
        <v>0.318396788651924</v>
      </c>
      <c r="E49">
        <v>28.613086428668701</v>
      </c>
      <c r="F49">
        <v>2.5430588954681599</v>
      </c>
      <c r="G49">
        <v>-466.01834545580459</v>
      </c>
      <c r="H49">
        <v>-409.32019863031485</v>
      </c>
      <c r="I49">
        <v>55.851989189272203</v>
      </c>
      <c r="J49">
        <v>33.095191662448201</v>
      </c>
      <c r="K49">
        <v>11.251444659680701</v>
      </c>
      <c r="L49">
        <v>0</v>
      </c>
      <c r="M49">
        <v>1.2382833910659954E-6</v>
      </c>
      <c r="N49">
        <v>0</v>
      </c>
      <c r="O49" s="1">
        <v>1.5997218446161198E-11</v>
      </c>
      <c r="P49">
        <v>0</v>
      </c>
      <c r="Q49">
        <v>100</v>
      </c>
      <c r="AJ49">
        <v>1</v>
      </c>
    </row>
    <row r="50" spans="1:36" x14ac:dyDescent="0.2">
      <c r="A50">
        <v>51</v>
      </c>
      <c r="B50">
        <v>741</v>
      </c>
      <c r="C50">
        <v>250</v>
      </c>
      <c r="D50">
        <v>0.31765567223783697</v>
      </c>
      <c r="E50">
        <v>31.493682800363398</v>
      </c>
      <c r="F50">
        <v>2.5430588954681599</v>
      </c>
      <c r="G50">
        <v>-512.87286033267605</v>
      </c>
      <c r="H50">
        <v>-450.56456082473727</v>
      </c>
      <c r="I50">
        <v>61.438938527770702</v>
      </c>
      <c r="J50">
        <v>36.4222413042231</v>
      </c>
      <c r="K50">
        <v>12.3841735857893</v>
      </c>
      <c r="L50">
        <v>0</v>
      </c>
      <c r="M50">
        <v>1.2382833910659954E-6</v>
      </c>
      <c r="N50">
        <v>0</v>
      </c>
      <c r="O50" s="1">
        <v>1.7607723818522799E-11</v>
      </c>
      <c r="P50">
        <v>0</v>
      </c>
      <c r="Q50">
        <v>100</v>
      </c>
      <c r="AJ50">
        <v>1</v>
      </c>
    </row>
    <row r="51" spans="1:36" x14ac:dyDescent="0.2">
      <c r="A51">
        <v>52</v>
      </c>
      <c r="B51">
        <v>740</v>
      </c>
      <c r="C51">
        <v>250</v>
      </c>
      <c r="D51">
        <v>0.31691309282929903</v>
      </c>
      <c r="E51">
        <v>32.511385094861801</v>
      </c>
      <c r="F51">
        <v>2.5430588954681599</v>
      </c>
      <c r="G51">
        <v>-529.38267942961897</v>
      </c>
      <c r="H51">
        <v>-465.16192150739221</v>
      </c>
      <c r="I51">
        <v>63.387216031413601</v>
      </c>
      <c r="J51">
        <v>37.594263562529697</v>
      </c>
      <c r="K51">
        <v>12.7843618379418</v>
      </c>
      <c r="L51">
        <v>0</v>
      </c>
      <c r="M51">
        <v>1.2382833910659956E-6</v>
      </c>
      <c r="N51">
        <v>0</v>
      </c>
      <c r="O51" s="1">
        <v>1.8176708431868799E-11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762</v>
      </c>
      <c r="C52">
        <v>225</v>
      </c>
      <c r="D52">
        <v>0.35948461575617302</v>
      </c>
      <c r="E52">
        <v>0.115407547087738</v>
      </c>
      <c r="F52">
        <v>2.5422717692855801</v>
      </c>
      <c r="G52">
        <v>-1.8852969568981557</v>
      </c>
      <c r="H52">
        <v>-1.6494068345611752</v>
      </c>
      <c r="I52">
        <v>0.227880135571637</v>
      </c>
      <c r="J52">
        <v>0.133827889527774</v>
      </c>
      <c r="K52">
        <v>4.5395440598457099E-2</v>
      </c>
      <c r="L52">
        <v>0</v>
      </c>
      <c r="M52">
        <v>1.2382554563563434E-6</v>
      </c>
      <c r="N52">
        <v>0</v>
      </c>
      <c r="O52" s="1">
        <v>6.45229149151974E-14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761</v>
      </c>
      <c r="C53">
        <v>225</v>
      </c>
      <c r="D53">
        <v>0.35879756321617101</v>
      </c>
      <c r="E53">
        <v>0.31745236246478697</v>
      </c>
      <c r="F53">
        <v>2.5422717692855801</v>
      </c>
      <c r="G53">
        <v>-5.1852731251544038</v>
      </c>
      <c r="H53">
        <v>-4.5374032360180419</v>
      </c>
      <c r="I53">
        <v>0.62647574252899496</v>
      </c>
      <c r="J53">
        <v>0.36807521740156601</v>
      </c>
      <c r="K53">
        <v>0.12486956205866</v>
      </c>
      <c r="L53">
        <v>0</v>
      </c>
      <c r="M53">
        <v>1.2382554563563432E-6</v>
      </c>
      <c r="N53">
        <v>0</v>
      </c>
      <c r="O53" s="1">
        <v>1.7748364201321899E-13</v>
      </c>
      <c r="P53">
        <v>0</v>
      </c>
      <c r="Q53">
        <v>100</v>
      </c>
      <c r="AJ53">
        <v>1</v>
      </c>
    </row>
    <row r="54" spans="1:36" x14ac:dyDescent="0.2">
      <c r="A54">
        <v>56</v>
      </c>
      <c r="B54">
        <v>760</v>
      </c>
      <c r="C54">
        <v>225</v>
      </c>
      <c r="D54">
        <v>0.35810918066108399</v>
      </c>
      <c r="E54">
        <v>0.51854162000804704</v>
      </c>
      <c r="F54">
        <v>2.5422717692855801</v>
      </c>
      <c r="G54">
        <v>-8.468845984282888</v>
      </c>
      <c r="H54">
        <v>-7.4122090530605904</v>
      </c>
      <c r="I54">
        <v>1.02273332161089</v>
      </c>
      <c r="J54">
        <v>0.60115588748009596</v>
      </c>
      <c r="K54">
        <v>0.203967815822368</v>
      </c>
      <c r="L54">
        <v>0</v>
      </c>
      <c r="M54">
        <v>1.2382554563563434E-6</v>
      </c>
      <c r="N54">
        <v>0</v>
      </c>
      <c r="O54" s="1">
        <v>2.8991012868795901E-13</v>
      </c>
      <c r="P54">
        <v>0</v>
      </c>
      <c r="Q54">
        <v>100</v>
      </c>
      <c r="AJ54">
        <v>1</v>
      </c>
    </row>
    <row r="55" spans="1:36" x14ac:dyDescent="0.2">
      <c r="A55">
        <v>57</v>
      </c>
      <c r="B55">
        <v>759</v>
      </c>
      <c r="C55">
        <v>225</v>
      </c>
      <c r="D55">
        <v>0.35741946422516302</v>
      </c>
      <c r="E55">
        <v>0.71868280057144895</v>
      </c>
      <c r="F55">
        <v>2.5422717692855801</v>
      </c>
      <c r="G55">
        <v>-11.736144029862174</v>
      </c>
      <c r="H55">
        <v>-10.273927816662157</v>
      </c>
      <c r="I55">
        <v>1.4166702642058</v>
      </c>
      <c r="J55">
        <v>0.83307879861052203</v>
      </c>
      <c r="K55">
        <v>0.28269314447582</v>
      </c>
      <c r="L55">
        <v>0</v>
      </c>
      <c r="M55">
        <v>1.2382554563563434E-6</v>
      </c>
      <c r="N55">
        <v>0</v>
      </c>
      <c r="O55" s="1">
        <v>4.0180655739120401E-13</v>
      </c>
      <c r="P55">
        <v>0</v>
      </c>
      <c r="Q55">
        <v>100</v>
      </c>
      <c r="AJ55">
        <v>1</v>
      </c>
    </row>
    <row r="56" spans="1:36" x14ac:dyDescent="0.2">
      <c r="A56">
        <v>58</v>
      </c>
      <c r="B56">
        <v>758</v>
      </c>
      <c r="C56">
        <v>225</v>
      </c>
      <c r="D56">
        <v>0.356728410027642</v>
      </c>
      <c r="E56">
        <v>0.91788330722327105</v>
      </c>
      <c r="F56">
        <v>2.5422717692855801</v>
      </c>
      <c r="G56">
        <v>-14.987294422735895</v>
      </c>
      <c r="H56">
        <v>-13.122661980987974</v>
      </c>
      <c r="I56">
        <v>1.8083037790311001</v>
      </c>
      <c r="J56">
        <v>1.0638527561008699</v>
      </c>
      <c r="K56">
        <v>0.361048460008353</v>
      </c>
      <c r="L56">
        <v>0</v>
      </c>
      <c r="M56">
        <v>1.2382554563563434E-6</v>
      </c>
      <c r="N56">
        <v>0</v>
      </c>
      <c r="O56" s="1">
        <v>5.1317706708575902E-13</v>
      </c>
      <c r="P56">
        <v>0</v>
      </c>
      <c r="Q56">
        <v>100</v>
      </c>
      <c r="AJ56">
        <v>1</v>
      </c>
    </row>
    <row r="57" spans="1:36" x14ac:dyDescent="0.2">
      <c r="A57">
        <v>59</v>
      </c>
      <c r="B57">
        <v>757</v>
      </c>
      <c r="C57">
        <v>225</v>
      </c>
      <c r="D57">
        <v>0.35603601417269398</v>
      </c>
      <c r="E57">
        <v>1.1161504638374999</v>
      </c>
      <c r="F57">
        <v>2.5422717692855801</v>
      </c>
      <c r="G57">
        <v>-18.222422966857678</v>
      </c>
      <c r="H57">
        <v>-15.958512902794984</v>
      </c>
      <c r="I57">
        <v>2.1976508897371101</v>
      </c>
      <c r="J57">
        <v>1.29348647012634</v>
      </c>
      <c r="K57">
        <v>0.43903664325830799</v>
      </c>
      <c r="L57">
        <v>0</v>
      </c>
      <c r="M57">
        <v>1.2382554563563434E-6</v>
      </c>
      <c r="N57">
        <v>0</v>
      </c>
      <c r="O57" s="1">
        <v>6.2402575245789104E-13</v>
      </c>
      <c r="P57">
        <v>0</v>
      </c>
      <c r="Q57">
        <v>100</v>
      </c>
      <c r="AJ57">
        <v>1</v>
      </c>
    </row>
    <row r="58" spans="1:36" x14ac:dyDescent="0.2">
      <c r="A58">
        <v>60</v>
      </c>
      <c r="B58">
        <v>756</v>
      </c>
      <c r="C58">
        <v>225</v>
      </c>
      <c r="D58">
        <v>0.35534227274935698</v>
      </c>
      <c r="E58">
        <v>1.3134915186277001</v>
      </c>
      <c r="F58">
        <v>2.5422717692855801</v>
      </c>
      <c r="G58">
        <v>-21.4416541678338</v>
      </c>
      <c r="H58">
        <v>-18.781580891494741</v>
      </c>
      <c r="I58">
        <v>2.5847284422475401</v>
      </c>
      <c r="J58">
        <v>1.52198855986415</v>
      </c>
      <c r="K58">
        <v>0.51666054530307604</v>
      </c>
      <c r="L58">
        <v>0</v>
      </c>
      <c r="M58">
        <v>1.2382554563563434E-6</v>
      </c>
      <c r="N58">
        <v>0</v>
      </c>
      <c r="O58" s="1">
        <v>7.3435666589307004E-13</v>
      </c>
      <c r="P58">
        <v>0</v>
      </c>
      <c r="Q58">
        <v>100</v>
      </c>
      <c r="AJ58">
        <v>1</v>
      </c>
    </row>
    <row r="59" spans="1:36" x14ac:dyDescent="0.2">
      <c r="A59">
        <v>61</v>
      </c>
      <c r="B59">
        <v>755</v>
      </c>
      <c r="C59">
        <v>225</v>
      </c>
      <c r="D59">
        <v>0.354647181831445</v>
      </c>
      <c r="E59">
        <v>1.50991364374871</v>
      </c>
      <c r="F59">
        <v>2.5422717692855801</v>
      </c>
      <c r="G59">
        <v>-24.645111227241333</v>
      </c>
      <c r="H59">
        <v>-21.59196520301056</v>
      </c>
      <c r="I59">
        <v>2.9695531043434902</v>
      </c>
      <c r="J59">
        <v>1.7493675530697199</v>
      </c>
      <c r="K59">
        <v>0.59392298730242499</v>
      </c>
      <c r="L59">
        <v>0</v>
      </c>
      <c r="M59">
        <v>1.2382554563563434E-6</v>
      </c>
      <c r="N59">
        <v>0</v>
      </c>
      <c r="O59" s="1">
        <v>8.4417381725328495E-13</v>
      </c>
      <c r="P59">
        <v>0</v>
      </c>
      <c r="Q59">
        <v>100</v>
      </c>
      <c r="AJ59">
        <v>1</v>
      </c>
    </row>
    <row r="60" spans="1:36" x14ac:dyDescent="0.2">
      <c r="A60">
        <v>62</v>
      </c>
      <c r="B60">
        <v>754</v>
      </c>
      <c r="C60">
        <v>225</v>
      </c>
      <c r="D60">
        <v>0.35395073747748601</v>
      </c>
      <c r="E60">
        <v>1.70542393545927</v>
      </c>
      <c r="F60">
        <v>2.5422717692855801</v>
      </c>
      <c r="G60">
        <v>-27.832916046104376</v>
      </c>
      <c r="H60">
        <v>-24.389764041654072</v>
      </c>
      <c r="I60">
        <v>3.35214136635379</v>
      </c>
      <c r="J60">
        <v>1.97563188630335</v>
      </c>
      <c r="K60">
        <v>0.67082676056247303</v>
      </c>
      <c r="L60">
        <v>0</v>
      </c>
      <c r="M60">
        <v>1.2382554563563434E-6</v>
      </c>
      <c r="N60">
        <v>0</v>
      </c>
      <c r="O60" s="1">
        <v>9.5348117396796593E-13</v>
      </c>
      <c r="P60">
        <v>0</v>
      </c>
      <c r="Q60">
        <v>100</v>
      </c>
      <c r="AJ60">
        <v>1</v>
      </c>
    </row>
    <row r="61" spans="1:36" x14ac:dyDescent="0.2">
      <c r="A61">
        <v>63</v>
      </c>
      <c r="B61">
        <v>753</v>
      </c>
      <c r="C61">
        <v>225</v>
      </c>
      <c r="D61">
        <v>0.35325293573064698</v>
      </c>
      <c r="E61">
        <v>1.9000294183291599</v>
      </c>
      <c r="F61">
        <v>2.5422717692855801</v>
      </c>
      <c r="G61">
        <v>-31.005189294366534</v>
      </c>
      <c r="H61">
        <v>-27.175074619849344</v>
      </c>
      <c r="I61">
        <v>3.7325095497901701</v>
      </c>
      <c r="J61">
        <v>2.2007899098416401</v>
      </c>
      <c r="K61">
        <v>0.747374628190559</v>
      </c>
      <c r="L61">
        <v>0</v>
      </c>
      <c r="M61">
        <v>1.2382554563563434E-6</v>
      </c>
      <c r="N61">
        <v>0</v>
      </c>
      <c r="O61" s="1">
        <v>1.06228266338614E-12</v>
      </c>
      <c r="P61">
        <v>0</v>
      </c>
      <c r="Q61">
        <v>100</v>
      </c>
      <c r="AJ61">
        <v>1</v>
      </c>
    </row>
    <row r="62" spans="1:36" x14ac:dyDescent="0.2">
      <c r="A62">
        <v>64</v>
      </c>
      <c r="B62">
        <v>752</v>
      </c>
      <c r="C62">
        <v>225</v>
      </c>
      <c r="D62">
        <v>0.35255377261864101</v>
      </c>
      <c r="E62">
        <v>2.0937370415063699</v>
      </c>
      <c r="F62">
        <v>2.5422717692855801</v>
      </c>
      <c r="G62">
        <v>-34.16205035076144</v>
      </c>
      <c r="H62">
        <v>-29.947993104315987</v>
      </c>
      <c r="I62">
        <v>4.1106738003662304</v>
      </c>
      <c r="J62">
        <v>2.4248498833898302</v>
      </c>
      <c r="K62">
        <v>0.82356932362693402</v>
      </c>
      <c r="L62">
        <v>0</v>
      </c>
      <c r="M62">
        <v>1.2382554563563432E-6</v>
      </c>
      <c r="N62">
        <v>0</v>
      </c>
      <c r="O62" s="1">
        <v>1.1705821706894799E-12</v>
      </c>
      <c r="P62">
        <v>0</v>
      </c>
      <c r="Q62">
        <v>100</v>
      </c>
      <c r="AJ62">
        <v>1</v>
      </c>
    </row>
    <row r="63" spans="1:36" x14ac:dyDescent="0.2">
      <c r="A63">
        <v>65</v>
      </c>
      <c r="B63">
        <v>751</v>
      </c>
      <c r="C63">
        <v>225</v>
      </c>
      <c r="D63">
        <v>0.35185324415369101</v>
      </c>
      <c r="E63">
        <v>2.3052662554606802</v>
      </c>
      <c r="F63">
        <v>2.5422717692855801</v>
      </c>
      <c r="G63">
        <v>-37.608900668763447</v>
      </c>
      <c r="H63">
        <v>-32.976293641429876</v>
      </c>
      <c r="I63">
        <v>4.5233676974403796</v>
      </c>
      <c r="J63">
        <v>2.6694890648312</v>
      </c>
      <c r="K63">
        <v>0.90677412356606502</v>
      </c>
      <c r="L63">
        <v>0</v>
      </c>
      <c r="M63">
        <v>1.2382554563563434E-6</v>
      </c>
      <c r="N63">
        <v>0</v>
      </c>
      <c r="O63" s="1">
        <v>1.2888455063071699E-12</v>
      </c>
      <c r="P63">
        <v>0</v>
      </c>
      <c r="Q63">
        <v>100</v>
      </c>
      <c r="AJ63">
        <v>1</v>
      </c>
    </row>
    <row r="64" spans="1:36" x14ac:dyDescent="0.2">
      <c r="A64">
        <v>66</v>
      </c>
      <c r="B64">
        <v>750</v>
      </c>
      <c r="C64">
        <v>225</v>
      </c>
      <c r="D64">
        <v>0.35115134633240402</v>
      </c>
      <c r="E64">
        <v>3.1621155864252102</v>
      </c>
      <c r="F64">
        <v>2.5422717692855801</v>
      </c>
      <c r="G64">
        <v>-51.581630287651919</v>
      </c>
      <c r="H64">
        <v>-45.236984036023955</v>
      </c>
      <c r="I64">
        <v>6.2010909950915902</v>
      </c>
      <c r="J64">
        <v>3.6612467325006901</v>
      </c>
      <c r="K64">
        <v>1.2438149314436999</v>
      </c>
      <c r="L64">
        <v>0</v>
      </c>
      <c r="M64">
        <v>1.2382554563563434E-6</v>
      </c>
      <c r="N64">
        <v>0</v>
      </c>
      <c r="O64" s="1">
        <v>1.7678992412846299E-12</v>
      </c>
      <c r="P64">
        <v>0</v>
      </c>
      <c r="Q64">
        <v>100</v>
      </c>
      <c r="AJ64">
        <v>1</v>
      </c>
    </row>
    <row r="65" spans="1:36" x14ac:dyDescent="0.2">
      <c r="A65">
        <v>67</v>
      </c>
      <c r="B65">
        <v>749</v>
      </c>
      <c r="C65">
        <v>225</v>
      </c>
      <c r="D65">
        <v>0.350448075135744</v>
      </c>
      <c r="E65">
        <v>4.0785612904928801</v>
      </c>
      <c r="F65">
        <v>2.5422717692855801</v>
      </c>
      <c r="G65">
        <v>-66.523044655457355</v>
      </c>
      <c r="H65">
        <v>-58.352308321123047</v>
      </c>
      <c r="I65">
        <v>7.99367640202935</v>
      </c>
      <c r="J65">
        <v>4.72174276208563</v>
      </c>
      <c r="K65">
        <v>1.6042979117213001</v>
      </c>
      <c r="L65">
        <v>0</v>
      </c>
      <c r="M65">
        <v>1.2382554563563434E-6</v>
      </c>
      <c r="N65">
        <v>0</v>
      </c>
      <c r="O65" s="1">
        <v>2.28027256244189E-12</v>
      </c>
      <c r="P65">
        <v>0</v>
      </c>
      <c r="Q65">
        <v>100</v>
      </c>
      <c r="AJ65">
        <v>1</v>
      </c>
    </row>
    <row r="66" spans="1:36" x14ac:dyDescent="0.2">
      <c r="A66">
        <v>68</v>
      </c>
      <c r="B66">
        <v>748</v>
      </c>
      <c r="C66">
        <v>225</v>
      </c>
      <c r="D66">
        <v>0.34974342652891699</v>
      </c>
      <c r="E66">
        <v>10.4162922628941</v>
      </c>
      <c r="F66">
        <v>2.5422717692855801</v>
      </c>
      <c r="G66">
        <v>-169.87368476222031</v>
      </c>
      <c r="H66">
        <v>-149.0387992903571</v>
      </c>
      <c r="I66">
        <v>20.403354523687199</v>
      </c>
      <c r="J66">
        <v>12.057365652124099</v>
      </c>
      <c r="K66">
        <v>4.09723790695329</v>
      </c>
      <c r="L66">
        <v>0</v>
      </c>
      <c r="M66">
        <v>1.2382554563563434E-6</v>
      </c>
      <c r="N66">
        <v>0</v>
      </c>
      <c r="O66" s="1">
        <v>5.8236186139507102E-12</v>
      </c>
      <c r="P66">
        <v>0</v>
      </c>
      <c r="Q66">
        <v>100</v>
      </c>
      <c r="AJ66">
        <v>1</v>
      </c>
    </row>
    <row r="67" spans="1:36" x14ac:dyDescent="0.2">
      <c r="A67">
        <v>69</v>
      </c>
      <c r="B67">
        <v>747</v>
      </c>
      <c r="C67">
        <v>225</v>
      </c>
      <c r="D67">
        <v>0.34903739646130499</v>
      </c>
      <c r="E67">
        <v>21.766541725538598</v>
      </c>
      <c r="F67">
        <v>2.5422717692855801</v>
      </c>
      <c r="G67">
        <v>-354.93614927574697</v>
      </c>
      <c r="H67">
        <v>-311.46607562252495</v>
      </c>
      <c r="I67">
        <v>42.611452877735601</v>
      </c>
      <c r="J67">
        <v>25.192572822273299</v>
      </c>
      <c r="K67">
        <v>8.5618469230987593</v>
      </c>
      <c r="L67">
        <v>0</v>
      </c>
      <c r="M67">
        <v>1.2382554563563434E-6</v>
      </c>
      <c r="N67">
        <v>0</v>
      </c>
      <c r="O67" s="1">
        <v>1.21694010070875E-11</v>
      </c>
      <c r="P67">
        <v>0</v>
      </c>
      <c r="Q67">
        <v>100</v>
      </c>
      <c r="AJ67">
        <v>1</v>
      </c>
    </row>
    <row r="68" spans="1:36" x14ac:dyDescent="0.2">
      <c r="A68">
        <v>70</v>
      </c>
      <c r="B68">
        <v>746</v>
      </c>
      <c r="C68">
        <v>225</v>
      </c>
      <c r="D68">
        <v>0.34832998086640898</v>
      </c>
      <c r="E68">
        <v>29.453730126071701</v>
      </c>
      <c r="F68">
        <v>2.5422717692855801</v>
      </c>
      <c r="G68">
        <v>-480.22965623610588</v>
      </c>
      <c r="H68">
        <v>-421.49918979550927</v>
      </c>
      <c r="I68">
        <v>57.626911093162498</v>
      </c>
      <c r="J68">
        <v>34.085296483030604</v>
      </c>
      <c r="K68">
        <v>11.585594617348301</v>
      </c>
      <c r="L68">
        <v>0</v>
      </c>
      <c r="M68">
        <v>1.2382554563563434E-6</v>
      </c>
      <c r="N68">
        <v>0</v>
      </c>
      <c r="O68" s="1">
        <v>1.6467211814275E-11</v>
      </c>
      <c r="P68">
        <v>0</v>
      </c>
      <c r="Q68">
        <v>100</v>
      </c>
      <c r="AJ68">
        <v>1</v>
      </c>
    </row>
    <row r="69" spans="1:36" x14ac:dyDescent="0.2">
      <c r="A69">
        <v>71</v>
      </c>
      <c r="B69">
        <v>745</v>
      </c>
      <c r="C69">
        <v>225</v>
      </c>
      <c r="D69">
        <v>0.347621175661739</v>
      </c>
      <c r="E69">
        <v>31.666123668045</v>
      </c>
      <c r="F69">
        <v>2.5422717692855801</v>
      </c>
      <c r="G69">
        <v>-516.23978786874056</v>
      </c>
      <c r="H69">
        <v>-453.19640982687753</v>
      </c>
      <c r="I69">
        <v>61.919538419548303</v>
      </c>
      <c r="J69">
        <v>36.640823775769199</v>
      </c>
      <c r="K69">
        <v>12.455837354062099</v>
      </c>
      <c r="L69">
        <v>0</v>
      </c>
      <c r="M69">
        <v>1.2382554563563434E-6</v>
      </c>
      <c r="N69">
        <v>0</v>
      </c>
      <c r="O69" s="1">
        <v>1.7704133349044E-11</v>
      </c>
      <c r="P69">
        <v>0</v>
      </c>
      <c r="Q69">
        <v>100</v>
      </c>
      <c r="AJ69">
        <v>1</v>
      </c>
    </row>
    <row r="70" spans="1:36" x14ac:dyDescent="0.2">
      <c r="A70">
        <v>73</v>
      </c>
      <c r="B70">
        <v>763</v>
      </c>
      <c r="C70">
        <v>200</v>
      </c>
      <c r="D70">
        <v>0.38671090093133698</v>
      </c>
      <c r="E70">
        <v>5.6458568735616499E-2</v>
      </c>
      <c r="F70">
        <v>2.5414849045122199</v>
      </c>
      <c r="G70">
        <v>-0.9229736174922436</v>
      </c>
      <c r="H70">
        <v>-0.80739673659542555</v>
      </c>
      <c r="I70">
        <v>0.111544545574306</v>
      </c>
      <c r="J70">
        <v>6.5478174628413405E-2</v>
      </c>
      <c r="K70">
        <v>2.2214796017626701E-2</v>
      </c>
      <c r="L70">
        <v>0</v>
      </c>
      <c r="M70">
        <v>1.2382274289707083E-6</v>
      </c>
      <c r="N70">
        <v>0</v>
      </c>
      <c r="O70" s="1">
        <v>3.1565279036669299E-14</v>
      </c>
      <c r="P70">
        <v>0</v>
      </c>
      <c r="Q70">
        <v>100</v>
      </c>
      <c r="AJ70">
        <v>1</v>
      </c>
    </row>
    <row r="71" spans="1:36" x14ac:dyDescent="0.2">
      <c r="A71">
        <v>74</v>
      </c>
      <c r="B71">
        <v>762</v>
      </c>
      <c r="C71">
        <v>200</v>
      </c>
      <c r="D71">
        <v>0.38605081389170998</v>
      </c>
      <c r="E71">
        <v>0.25166749389080201</v>
      </c>
      <c r="F71">
        <v>2.5414849045122199</v>
      </c>
      <c r="G71">
        <v>-4.1137137951032319</v>
      </c>
      <c r="H71">
        <v>-3.5993117701038626</v>
      </c>
      <c r="I71">
        <v>0.49693476790742303</v>
      </c>
      <c r="J71">
        <v>0.29183645628084398</v>
      </c>
      <c r="K71">
        <v>9.9023800394794595E-2</v>
      </c>
      <c r="L71">
        <v>0</v>
      </c>
      <c r="M71">
        <v>1.2382274289707085E-6</v>
      </c>
      <c r="N71">
        <v>0</v>
      </c>
      <c r="O71" s="1">
        <v>1.40704145482721E-13</v>
      </c>
      <c r="P71">
        <v>0</v>
      </c>
      <c r="Q71">
        <v>100</v>
      </c>
      <c r="AJ71">
        <v>1</v>
      </c>
    </row>
    <row r="72" spans="1:36" x14ac:dyDescent="0.2">
      <c r="A72">
        <v>75</v>
      </c>
      <c r="B72">
        <v>761</v>
      </c>
      <c r="C72">
        <v>200</v>
      </c>
      <c r="D72">
        <v>0.38538945027317301</v>
      </c>
      <c r="E72">
        <v>0.44598113607283602</v>
      </c>
      <c r="F72">
        <v>2.5414849045122199</v>
      </c>
      <c r="G72">
        <v>-7.2890509728160389</v>
      </c>
      <c r="H72">
        <v>-6.378874255462212</v>
      </c>
      <c r="I72">
        <v>0.88012059890134398</v>
      </c>
      <c r="J72">
        <v>0.51709995900633698</v>
      </c>
      <c r="K72">
        <v>0.17548053709901201</v>
      </c>
      <c r="L72">
        <v>0</v>
      </c>
      <c r="M72">
        <v>1.2382274289707083E-6</v>
      </c>
      <c r="N72">
        <v>0</v>
      </c>
      <c r="O72" s="1">
        <v>2.4934247042555898E-13</v>
      </c>
      <c r="P72">
        <v>0</v>
      </c>
      <c r="Q72">
        <v>100</v>
      </c>
      <c r="AJ72">
        <v>1</v>
      </c>
    </row>
    <row r="73" spans="1:36" x14ac:dyDescent="0.2">
      <c r="A73">
        <v>76</v>
      </c>
      <c r="B73">
        <v>760</v>
      </c>
      <c r="C73">
        <v>200</v>
      </c>
      <c r="D73">
        <v>0.38472680636887402</v>
      </c>
      <c r="E73">
        <v>0.63940627559722696</v>
      </c>
      <c r="F73">
        <v>2.5414849045122199</v>
      </c>
      <c r="G73">
        <v>-10.449101909268869</v>
      </c>
      <c r="H73">
        <v>-9.1461779803451932</v>
      </c>
      <c r="I73">
        <v>1.2611178714839799</v>
      </c>
      <c r="J73">
        <v>0.74127675047767405</v>
      </c>
      <c r="K73">
        <v>0.25158767398618298</v>
      </c>
      <c r="L73">
        <v>0</v>
      </c>
      <c r="M73">
        <v>1.2382274289707083E-6</v>
      </c>
      <c r="N73">
        <v>0</v>
      </c>
      <c r="O73" s="1">
        <v>3.5748404465470599E-13</v>
      </c>
      <c r="P73">
        <v>0</v>
      </c>
      <c r="Q73">
        <v>100</v>
      </c>
      <c r="AJ73">
        <v>1</v>
      </c>
    </row>
    <row r="74" spans="1:36" x14ac:dyDescent="0.2">
      <c r="A74">
        <v>77</v>
      </c>
      <c r="B74">
        <v>759</v>
      </c>
      <c r="C74">
        <v>200</v>
      </c>
      <c r="D74">
        <v>0.38406287845759102</v>
      </c>
      <c r="E74">
        <v>0.83194962073511203</v>
      </c>
      <c r="F74">
        <v>2.5414849045122199</v>
      </c>
      <c r="G74">
        <v>-13.593982127134373</v>
      </c>
      <c r="H74">
        <v>-11.901315733786415</v>
      </c>
      <c r="I74">
        <v>1.6399422500101299</v>
      </c>
      <c r="J74">
        <v>0.96437481180208395</v>
      </c>
      <c r="K74">
        <v>0.32734785056485899</v>
      </c>
      <c r="L74">
        <v>0</v>
      </c>
      <c r="M74">
        <v>1.2382274289707083E-6</v>
      </c>
      <c r="N74">
        <v>0</v>
      </c>
      <c r="O74" s="1">
        <v>4.6513261868058302E-13</v>
      </c>
      <c r="P74">
        <v>0</v>
      </c>
      <c r="Q74">
        <v>100</v>
      </c>
      <c r="AJ74">
        <v>1</v>
      </c>
    </row>
    <row r="75" spans="1:36" x14ac:dyDescent="0.2">
      <c r="A75">
        <v>78</v>
      </c>
      <c r="B75">
        <v>758</v>
      </c>
      <c r="C75">
        <v>200</v>
      </c>
      <c r="D75">
        <v>0.383397662803666</v>
      </c>
      <c r="E75">
        <v>1.0236178133565199</v>
      </c>
      <c r="F75">
        <v>2.5414849045122199</v>
      </c>
      <c r="G75">
        <v>-16.723806006098016</v>
      </c>
      <c r="H75">
        <v>-14.644379386488117</v>
      </c>
      <c r="I75">
        <v>2.0166092417299999</v>
      </c>
      <c r="J75">
        <v>1.18640204409818</v>
      </c>
      <c r="K75">
        <v>0.40276368021669701</v>
      </c>
      <c r="L75">
        <v>0</v>
      </c>
      <c r="M75">
        <v>1.2382274289707085E-6</v>
      </c>
      <c r="N75">
        <v>0</v>
      </c>
      <c r="O75" s="1">
        <v>5.7229190588958298E-13</v>
      </c>
      <c r="P75">
        <v>0</v>
      </c>
      <c r="Q75">
        <v>100</v>
      </c>
      <c r="AJ75">
        <v>1</v>
      </c>
    </row>
    <row r="76" spans="1:36" x14ac:dyDescent="0.2">
      <c r="A76">
        <v>79</v>
      </c>
      <c r="B76">
        <v>757</v>
      </c>
      <c r="C76">
        <v>200</v>
      </c>
      <c r="D76">
        <v>0.38273115565694399</v>
      </c>
      <c r="E76">
        <v>1.30020314354786</v>
      </c>
      <c r="F76">
        <v>2.5414849045122199</v>
      </c>
      <c r="G76">
        <v>-21.240079650858807</v>
      </c>
      <c r="H76">
        <v>-18.602851895844847</v>
      </c>
      <c r="I76">
        <v>2.5600424744104799</v>
      </c>
      <c r="J76">
        <v>1.5067817727841299</v>
      </c>
      <c r="K76">
        <v>0.51159192062854597</v>
      </c>
      <c r="L76">
        <v>0</v>
      </c>
      <c r="M76">
        <v>1.2382274289707083E-6</v>
      </c>
      <c r="N76">
        <v>0</v>
      </c>
      <c r="O76" s="1">
        <v>7.2692730172864599E-13</v>
      </c>
      <c r="P76">
        <v>0</v>
      </c>
      <c r="Q76">
        <v>100</v>
      </c>
      <c r="AJ76">
        <v>1</v>
      </c>
    </row>
    <row r="77" spans="1:36" x14ac:dyDescent="0.2">
      <c r="A77">
        <v>80</v>
      </c>
      <c r="B77">
        <v>756</v>
      </c>
      <c r="C77">
        <v>200</v>
      </c>
      <c r="D77">
        <v>0.38206335325268598</v>
      </c>
      <c r="E77">
        <v>2.1474926675284198</v>
      </c>
      <c r="F77">
        <v>2.5414849045122199</v>
      </c>
      <c r="G77">
        <v>-35.077148853862269</v>
      </c>
      <c r="H77">
        <v>-30.728062639742923</v>
      </c>
      <c r="I77">
        <v>4.2259011943053499</v>
      </c>
      <c r="J77">
        <v>2.4883748589295802</v>
      </c>
      <c r="K77">
        <v>0.84497557460038797</v>
      </c>
      <c r="L77">
        <v>0</v>
      </c>
      <c r="M77">
        <v>1.2382274289707083E-6</v>
      </c>
      <c r="N77">
        <v>0</v>
      </c>
      <c r="O77" s="1">
        <v>1.2006362682901901E-12</v>
      </c>
      <c r="P77">
        <v>0</v>
      </c>
      <c r="Q77">
        <v>100</v>
      </c>
      <c r="AJ77">
        <v>1</v>
      </c>
    </row>
    <row r="78" spans="1:36" x14ac:dyDescent="0.2">
      <c r="A78">
        <v>81</v>
      </c>
      <c r="B78">
        <v>755</v>
      </c>
      <c r="C78">
        <v>200</v>
      </c>
      <c r="D78">
        <v>0.38139425181150599</v>
      </c>
      <c r="E78">
        <v>3.03336030420907</v>
      </c>
      <c r="F78">
        <v>2.5414849045122199</v>
      </c>
      <c r="G78">
        <v>-49.540944895450629</v>
      </c>
      <c r="H78">
        <v>-43.407288185215187</v>
      </c>
      <c r="I78">
        <v>5.96572164590326</v>
      </c>
      <c r="J78">
        <v>3.51441429443509</v>
      </c>
      <c r="K78">
        <v>1.1935385879426399</v>
      </c>
      <c r="L78">
        <v>0</v>
      </c>
      <c r="M78">
        <v>1.2382274289707083E-6</v>
      </c>
      <c r="N78">
        <v>0</v>
      </c>
      <c r="O78" s="1">
        <v>1.69591377474493E-12</v>
      </c>
      <c r="P78">
        <v>0</v>
      </c>
      <c r="Q78">
        <v>100</v>
      </c>
      <c r="AJ78">
        <v>1</v>
      </c>
    </row>
    <row r="79" spans="1:36" x14ac:dyDescent="0.2">
      <c r="A79">
        <v>82</v>
      </c>
      <c r="B79">
        <v>754</v>
      </c>
      <c r="C79">
        <v>200</v>
      </c>
      <c r="D79">
        <v>0.38072384753930699</v>
      </c>
      <c r="E79">
        <v>3.9902531232030798</v>
      </c>
      <c r="F79">
        <v>2.5414849045122199</v>
      </c>
      <c r="G79">
        <v>-65.16110595350473</v>
      </c>
      <c r="H79">
        <v>-57.105016348006828</v>
      </c>
      <c r="I79">
        <v>7.8431481336687803</v>
      </c>
      <c r="J79">
        <v>4.6224701909666601</v>
      </c>
      <c r="K79">
        <v>1.5700479338353199</v>
      </c>
      <c r="L79">
        <v>0</v>
      </c>
      <c r="M79">
        <v>1.2382274289707085E-6</v>
      </c>
      <c r="N79">
        <v>0</v>
      </c>
      <c r="O79" s="1">
        <v>2.23090057154406E-12</v>
      </c>
      <c r="P79">
        <v>0</v>
      </c>
      <c r="Q79">
        <v>100</v>
      </c>
      <c r="AJ79">
        <v>1</v>
      </c>
    </row>
    <row r="80" spans="1:36" x14ac:dyDescent="0.2">
      <c r="A80">
        <v>83</v>
      </c>
      <c r="B80">
        <v>753</v>
      </c>
      <c r="C80">
        <v>200</v>
      </c>
      <c r="D80">
        <v>0.380052136627202</v>
      </c>
      <c r="E80">
        <v>8.7900631400407594</v>
      </c>
      <c r="F80">
        <v>2.5414849045122199</v>
      </c>
      <c r="G80">
        <v>-143.52505867187784</v>
      </c>
      <c r="H80">
        <v>-125.80588574864566</v>
      </c>
      <c r="I80">
        <v>17.2676245414726</v>
      </c>
      <c r="J80">
        <v>10.1814646019976</v>
      </c>
      <c r="K80">
        <v>3.4586328348575401</v>
      </c>
      <c r="L80">
        <v>0</v>
      </c>
      <c r="M80">
        <v>1.2382274289707083E-6</v>
      </c>
      <c r="N80">
        <v>0</v>
      </c>
      <c r="O80" s="1">
        <v>4.914414268357E-12</v>
      </c>
      <c r="P80">
        <v>0</v>
      </c>
      <c r="Q80">
        <v>100</v>
      </c>
      <c r="AJ80">
        <v>1</v>
      </c>
    </row>
    <row r="81" spans="1:36" x14ac:dyDescent="0.2">
      <c r="A81">
        <v>84</v>
      </c>
      <c r="B81">
        <v>752</v>
      </c>
      <c r="C81">
        <v>200</v>
      </c>
      <c r="D81">
        <v>0.37937911525142798</v>
      </c>
      <c r="E81">
        <v>18.730215115895199</v>
      </c>
      <c r="F81">
        <v>2.5414849045122199</v>
      </c>
      <c r="G81">
        <v>-305.79210265581469</v>
      </c>
      <c r="H81">
        <v>-268.09386396972212</v>
      </c>
      <c r="I81">
        <v>36.773387978434798</v>
      </c>
      <c r="J81">
        <v>21.692294227630502</v>
      </c>
      <c r="K81">
        <v>7.3697919994099301</v>
      </c>
      <c r="L81">
        <v>0</v>
      </c>
      <c r="M81">
        <v>1.2382274289707083E-6</v>
      </c>
      <c r="N81">
        <v>0</v>
      </c>
      <c r="O81" s="1">
        <v>1.04718288081062E-11</v>
      </c>
      <c r="P81">
        <v>0</v>
      </c>
      <c r="Q81">
        <v>100</v>
      </c>
      <c r="AJ81">
        <v>1</v>
      </c>
    </row>
    <row r="82" spans="1:36" x14ac:dyDescent="0.2">
      <c r="A82">
        <v>85</v>
      </c>
      <c r="B82">
        <v>751</v>
      </c>
      <c r="C82">
        <v>200</v>
      </c>
      <c r="D82">
        <v>0.378704779573308</v>
      </c>
      <c r="E82">
        <v>27.532340387778401</v>
      </c>
      <c r="F82">
        <v>2.5414849045122199</v>
      </c>
      <c r="G82">
        <v>-449.44278749961717</v>
      </c>
      <c r="H82">
        <v>-394.11446555102145</v>
      </c>
      <c r="I82">
        <v>54.023650782205301</v>
      </c>
      <c r="J82">
        <v>31.882339586711801</v>
      </c>
      <c r="K82">
        <v>10.8331709304654</v>
      </c>
      <c r="L82">
        <v>0</v>
      </c>
      <c r="M82">
        <v>1.2382274289707087E-6</v>
      </c>
      <c r="N82">
        <v>0</v>
      </c>
      <c r="O82" s="1">
        <v>1.53929868633836E-11</v>
      </c>
      <c r="P82">
        <v>0</v>
      </c>
      <c r="Q82">
        <v>100</v>
      </c>
      <c r="AJ82">
        <v>1</v>
      </c>
    </row>
    <row r="83" spans="1:36" x14ac:dyDescent="0.2">
      <c r="A83">
        <v>86</v>
      </c>
      <c r="B83">
        <v>750</v>
      </c>
      <c r="C83">
        <v>200</v>
      </c>
      <c r="D83">
        <v>0.37802912573913899</v>
      </c>
      <c r="E83">
        <v>30.9363185845671</v>
      </c>
      <c r="F83">
        <v>2.5414849045122199</v>
      </c>
      <c r="G83">
        <v>-504.94924342108953</v>
      </c>
      <c r="H83">
        <v>-442.87687687340173</v>
      </c>
      <c r="I83">
        <v>60.667904557188798</v>
      </c>
      <c r="J83">
        <v>35.8195303864252</v>
      </c>
      <c r="K83">
        <v>12.1725368227219</v>
      </c>
      <c r="L83">
        <v>0</v>
      </c>
      <c r="M83">
        <v>1.2382274289707085E-6</v>
      </c>
      <c r="N83">
        <v>0</v>
      </c>
      <c r="O83" s="1">
        <v>1.7296108462507499E-11</v>
      </c>
      <c r="P83">
        <v>0</v>
      </c>
      <c r="Q83">
        <v>100</v>
      </c>
      <c r="AJ83">
        <v>1</v>
      </c>
    </row>
    <row r="84" spans="1:36" x14ac:dyDescent="0.2">
      <c r="A84">
        <v>87</v>
      </c>
      <c r="B84">
        <v>749</v>
      </c>
      <c r="C84">
        <v>200</v>
      </c>
      <c r="D84">
        <v>0.37735214988015597</v>
      </c>
      <c r="E84">
        <v>32.168397397667697</v>
      </c>
      <c r="F84">
        <v>2.5414849045122199</v>
      </c>
      <c r="G84">
        <v>-524.99643283711941</v>
      </c>
      <c r="H84">
        <v>-460.5522637505577</v>
      </c>
      <c r="I84">
        <v>63.047663343503103</v>
      </c>
      <c r="J84">
        <v>37.241293378228498</v>
      </c>
      <c r="K84">
        <v>12.657323811192001</v>
      </c>
      <c r="L84">
        <v>0</v>
      </c>
      <c r="M84">
        <v>1.2382274289707085E-6</v>
      </c>
      <c r="N84">
        <v>0</v>
      </c>
      <c r="O84" s="1">
        <v>1.7984948303857501E-11</v>
      </c>
      <c r="P84">
        <v>0</v>
      </c>
      <c r="Q84">
        <v>100</v>
      </c>
      <c r="AJ84">
        <v>1</v>
      </c>
    </row>
    <row r="85" spans="1:36" x14ac:dyDescent="0.2">
      <c r="A85">
        <v>89</v>
      </c>
      <c r="B85">
        <v>764</v>
      </c>
      <c r="C85">
        <v>175</v>
      </c>
      <c r="D85">
        <v>0.41388468398978101</v>
      </c>
      <c r="E85">
        <v>0.193333975471186</v>
      </c>
      <c r="F85">
        <v>2.5406983011149902</v>
      </c>
      <c r="G85">
        <v>-3.1628700952309035</v>
      </c>
      <c r="H85">
        <v>-2.7664879381829124</v>
      </c>
      <c r="I85">
        <v>0.382184020679738</v>
      </c>
      <c r="J85">
        <v>0.224248237411622</v>
      </c>
      <c r="K85">
        <v>7.6094818257776101E-2</v>
      </c>
      <c r="L85">
        <v>0</v>
      </c>
      <c r="M85">
        <v>1.238199309002582E-6</v>
      </c>
      <c r="N85">
        <v>0</v>
      </c>
      <c r="O85" s="1">
        <v>1.0809060554818399E-13</v>
      </c>
      <c r="P85">
        <v>0</v>
      </c>
      <c r="Q85">
        <v>100</v>
      </c>
      <c r="AJ85">
        <v>1</v>
      </c>
    </row>
    <row r="86" spans="1:36" x14ac:dyDescent="0.2">
      <c r="A86">
        <v>90</v>
      </c>
      <c r="B86">
        <v>763</v>
      </c>
      <c r="C86">
        <v>175</v>
      </c>
      <c r="D86">
        <v>0.41325145973073701</v>
      </c>
      <c r="E86">
        <v>1.02897540492155</v>
      </c>
      <c r="F86">
        <v>2.5406983011149902</v>
      </c>
      <c r="G86">
        <v>-16.831611631311919</v>
      </c>
      <c r="H86">
        <v>-14.725186150048339</v>
      </c>
      <c r="I86">
        <v>2.0329348851648699</v>
      </c>
      <c r="J86">
        <v>1.19336059628611</v>
      </c>
      <c r="K86">
        <v>0.40499708464794298</v>
      </c>
      <c r="L86">
        <v>0</v>
      </c>
      <c r="M86">
        <v>1.238199309002582E-6</v>
      </c>
      <c r="N86">
        <v>0</v>
      </c>
      <c r="O86" s="1">
        <v>5.7528726826772998E-13</v>
      </c>
      <c r="P86">
        <v>0</v>
      </c>
      <c r="Q86">
        <v>100</v>
      </c>
      <c r="AJ86">
        <v>1</v>
      </c>
    </row>
    <row r="87" spans="1:36" x14ac:dyDescent="0.2">
      <c r="A87">
        <v>91</v>
      </c>
      <c r="B87">
        <v>762</v>
      </c>
      <c r="C87">
        <v>175</v>
      </c>
      <c r="D87">
        <v>0.41261701202724399</v>
      </c>
      <c r="E87">
        <v>1.8887547453931399</v>
      </c>
      <c r="F87">
        <v>2.5406983011149902</v>
      </c>
      <c r="G87">
        <v>-30.891844024430451</v>
      </c>
      <c r="H87">
        <v>-27.031276850113656</v>
      </c>
      <c r="I87">
        <v>3.7294760897616701</v>
      </c>
      <c r="J87">
        <v>2.1902212445375699</v>
      </c>
      <c r="K87">
        <v>0.74339985371905604</v>
      </c>
      <c r="L87">
        <v>0</v>
      </c>
      <c r="M87">
        <v>1.238199309002582E-6</v>
      </c>
      <c r="N87">
        <v>0</v>
      </c>
      <c r="O87" s="1">
        <v>1.0559791348829801E-12</v>
      </c>
      <c r="P87">
        <v>0</v>
      </c>
      <c r="Q87">
        <v>100</v>
      </c>
      <c r="AJ87">
        <v>1</v>
      </c>
    </row>
    <row r="88" spans="1:36" x14ac:dyDescent="0.2">
      <c r="A88">
        <v>92</v>
      </c>
      <c r="B88">
        <v>761</v>
      </c>
      <c r="C88">
        <v>175</v>
      </c>
      <c r="D88">
        <v>0.411981337330175</v>
      </c>
      <c r="E88">
        <v>2.7885206051056799</v>
      </c>
      <c r="F88">
        <v>2.5406983011149902</v>
      </c>
      <c r="G88">
        <v>-45.602610414014322</v>
      </c>
      <c r="H88">
        <v>-39.911682423252643</v>
      </c>
      <c r="I88">
        <v>5.5030005229044798</v>
      </c>
      <c r="J88">
        <v>3.2331948012101202</v>
      </c>
      <c r="K88">
        <v>1.09754102007386</v>
      </c>
      <c r="L88">
        <v>0</v>
      </c>
      <c r="M88">
        <v>1.2381993090025817E-6</v>
      </c>
      <c r="N88">
        <v>0</v>
      </c>
      <c r="O88" s="1">
        <v>1.5590269638581099E-12</v>
      </c>
      <c r="P88">
        <v>0</v>
      </c>
      <c r="Q88">
        <v>100</v>
      </c>
      <c r="AJ88">
        <v>1</v>
      </c>
    </row>
    <row r="89" spans="1:36" x14ac:dyDescent="0.2">
      <c r="A89">
        <v>93</v>
      </c>
      <c r="B89">
        <v>760</v>
      </c>
      <c r="C89">
        <v>175</v>
      </c>
      <c r="D89">
        <v>0.41134443207665999</v>
      </c>
      <c r="E89">
        <v>3.76006777541585</v>
      </c>
      <c r="F89">
        <v>2.5406983011149902</v>
      </c>
      <c r="G89">
        <v>-61.483576561409485</v>
      </c>
      <c r="H89">
        <v>-53.821652576712545</v>
      </c>
      <c r="I89">
        <v>7.4160809027701102</v>
      </c>
      <c r="J89">
        <v>4.3591233438124997</v>
      </c>
      <c r="K89">
        <v>1.4799347776812899</v>
      </c>
      <c r="L89">
        <v>0</v>
      </c>
      <c r="M89">
        <v>1.238199309002582E-6</v>
      </c>
      <c r="N89">
        <v>0</v>
      </c>
      <c r="O89" s="1">
        <v>2.1022068250362198E-12</v>
      </c>
      <c r="P89">
        <v>0</v>
      </c>
      <c r="Q89">
        <v>100</v>
      </c>
      <c r="AJ89">
        <v>1</v>
      </c>
    </row>
    <row r="90" spans="1:36" x14ac:dyDescent="0.2">
      <c r="A90">
        <v>94</v>
      </c>
      <c r="B90">
        <v>759</v>
      </c>
      <c r="C90">
        <v>175</v>
      </c>
      <c r="D90">
        <v>0.41070629269001901</v>
      </c>
      <c r="E90">
        <v>5.7924667639688696</v>
      </c>
      <c r="F90">
        <v>2.5406983011149902</v>
      </c>
      <c r="G90">
        <v>-94.705374969935761</v>
      </c>
      <c r="H90">
        <v>-82.920149540910785</v>
      </c>
      <c r="I90">
        <v>11.4181324701108</v>
      </c>
      <c r="J90">
        <v>6.7144799470386296</v>
      </c>
      <c r="K90">
        <v>2.2798719397052398</v>
      </c>
      <c r="L90">
        <v>0</v>
      </c>
      <c r="M90">
        <v>1.2381993090025817E-6</v>
      </c>
      <c r="N90">
        <v>0</v>
      </c>
      <c r="O90" s="1">
        <v>3.2384956581438499E-12</v>
      </c>
      <c r="P90">
        <v>0</v>
      </c>
      <c r="Q90">
        <v>100</v>
      </c>
      <c r="AJ90">
        <v>1</v>
      </c>
    </row>
    <row r="91" spans="1:36" x14ac:dyDescent="0.2">
      <c r="A91">
        <v>95</v>
      </c>
      <c r="B91">
        <v>758</v>
      </c>
      <c r="C91">
        <v>175</v>
      </c>
      <c r="D91">
        <v>0.41006691557969399</v>
      </c>
      <c r="E91">
        <v>11.365744827620601</v>
      </c>
      <c r="F91">
        <v>2.5406983011149902</v>
      </c>
      <c r="G91">
        <v>-185.80467199336843</v>
      </c>
      <c r="H91">
        <v>-162.71574950896061</v>
      </c>
      <c r="I91">
        <v>22.391429456827598</v>
      </c>
      <c r="J91">
        <v>13.173220239271799</v>
      </c>
      <c r="K91">
        <v>4.4734728332886604</v>
      </c>
      <c r="L91">
        <v>0</v>
      </c>
      <c r="M91">
        <v>1.238199309002582E-6</v>
      </c>
      <c r="N91">
        <v>0</v>
      </c>
      <c r="O91" s="1">
        <v>6.3544456577253202E-12</v>
      </c>
      <c r="P91">
        <v>0</v>
      </c>
      <c r="Q91">
        <v>100</v>
      </c>
      <c r="AJ91">
        <v>1</v>
      </c>
    </row>
    <row r="92" spans="1:36" x14ac:dyDescent="0.2">
      <c r="A92">
        <v>96</v>
      </c>
      <c r="B92">
        <v>757</v>
      </c>
      <c r="C92">
        <v>175</v>
      </c>
      <c r="D92">
        <v>0.40942629714119499</v>
      </c>
      <c r="E92">
        <v>23.041943305128498</v>
      </c>
      <c r="F92">
        <v>2.5406983011149902</v>
      </c>
      <c r="G92">
        <v>-376.6391897760239</v>
      </c>
      <c r="H92">
        <v>-329.9027603839765</v>
      </c>
      <c r="I92">
        <v>45.3685670941585</v>
      </c>
      <c r="J92">
        <v>26.7028889708379</v>
      </c>
      <c r="K92">
        <v>9.0691379196878295</v>
      </c>
      <c r="L92">
        <v>0</v>
      </c>
      <c r="M92">
        <v>1.238199309002582E-6</v>
      </c>
      <c r="N92">
        <v>0</v>
      </c>
      <c r="O92" s="1">
        <v>1.2882462064870999E-11</v>
      </c>
      <c r="P92">
        <v>0</v>
      </c>
      <c r="Q92">
        <v>100</v>
      </c>
      <c r="AJ92">
        <v>1</v>
      </c>
    </row>
    <row r="93" spans="1:36" x14ac:dyDescent="0.2">
      <c r="A93">
        <v>97</v>
      </c>
      <c r="B93">
        <v>756</v>
      </c>
      <c r="C93">
        <v>175</v>
      </c>
      <c r="D93">
        <v>0.40878443375601398</v>
      </c>
      <c r="E93">
        <v>28.952503908597301</v>
      </c>
      <c r="F93">
        <v>2.5406983011149902</v>
      </c>
      <c r="G93">
        <v>-473.19509085972533</v>
      </c>
      <c r="H93">
        <v>-414.56069479539025</v>
      </c>
      <c r="I93">
        <v>56.973615181786002</v>
      </c>
      <c r="J93">
        <v>33.548278845641399</v>
      </c>
      <c r="K93">
        <v>11.395490718394701</v>
      </c>
      <c r="L93">
        <v>0</v>
      </c>
      <c r="M93">
        <v>1.238199309002582E-6</v>
      </c>
      <c r="N93">
        <v>0</v>
      </c>
      <c r="O93" s="1">
        <v>1.6186982510390998E-11</v>
      </c>
      <c r="P93">
        <v>0</v>
      </c>
      <c r="Q93">
        <v>100</v>
      </c>
      <c r="AJ93">
        <v>1</v>
      </c>
    </row>
    <row r="94" spans="1:36" x14ac:dyDescent="0.2">
      <c r="A94">
        <v>98</v>
      </c>
      <c r="B94">
        <v>755</v>
      </c>
      <c r="C94">
        <v>175</v>
      </c>
      <c r="D94">
        <v>0.40814132179156798</v>
      </c>
      <c r="E94">
        <v>31.266361893311501</v>
      </c>
      <c r="F94">
        <v>2.5406983011149902</v>
      </c>
      <c r="G94">
        <v>-510.9509062064173</v>
      </c>
      <c r="H94">
        <v>-447.72823853800651</v>
      </c>
      <c r="I94">
        <v>61.491676961932399</v>
      </c>
      <c r="J94">
        <v>36.224825986006799</v>
      </c>
      <c r="K94">
        <v>12.3062080529553</v>
      </c>
      <c r="L94">
        <v>0</v>
      </c>
      <c r="M94">
        <v>1.238199309002582E-6</v>
      </c>
      <c r="N94">
        <v>0</v>
      </c>
      <c r="O94" s="1">
        <v>1.7480631544973299E-11</v>
      </c>
      <c r="P94">
        <v>0</v>
      </c>
      <c r="Q94">
        <v>100</v>
      </c>
      <c r="AJ94">
        <v>1</v>
      </c>
    </row>
    <row r="95" spans="1:36" x14ac:dyDescent="0.2">
      <c r="A95">
        <v>99</v>
      </c>
      <c r="B95">
        <v>754</v>
      </c>
      <c r="C95">
        <v>175</v>
      </c>
      <c r="D95">
        <v>0.40749695760112897</v>
      </c>
      <c r="E95">
        <v>32.2733120873079</v>
      </c>
      <c r="F95">
        <v>2.5406983011149902</v>
      </c>
      <c r="G95">
        <v>-527.34290424245569</v>
      </c>
      <c r="H95">
        <v>-462.18495911619641</v>
      </c>
      <c r="I95">
        <v>63.435666773362399</v>
      </c>
      <c r="J95">
        <v>37.386706677794002</v>
      </c>
      <c r="K95">
        <v>12.7025361780045</v>
      </c>
      <c r="L95">
        <v>0</v>
      </c>
      <c r="M95">
        <v>1.2381993090025822E-6</v>
      </c>
      <c r="N95">
        <v>0</v>
      </c>
      <c r="O95" s="1">
        <v>1.80436047935224E-11</v>
      </c>
      <c r="P95">
        <v>0</v>
      </c>
      <c r="Q95">
        <v>100</v>
      </c>
      <c r="AJ95">
        <v>1</v>
      </c>
    </row>
    <row r="96" spans="1:36" x14ac:dyDescent="0.2">
      <c r="A96">
        <v>104</v>
      </c>
      <c r="B96">
        <v>771</v>
      </c>
      <c r="C96">
        <v>150</v>
      </c>
      <c r="D96">
        <v>0.44462050471675502</v>
      </c>
      <c r="E96">
        <v>0.23900884062441199</v>
      </c>
      <c r="F96">
        <v>2.53991195906073</v>
      </c>
      <c r="G96">
        <v>-3.9157594910163009</v>
      </c>
      <c r="H96">
        <v>-3.4204773522423206</v>
      </c>
      <c r="I96">
        <v>0.474340026599607</v>
      </c>
      <c r="J96">
        <v>0.27746646344862902</v>
      </c>
      <c r="K96">
        <v>9.4101230466586305E-2</v>
      </c>
      <c r="L96">
        <v>0</v>
      </c>
      <c r="M96">
        <v>1.2381710965453893E-6</v>
      </c>
      <c r="N96">
        <v>0</v>
      </c>
      <c r="O96" s="1">
        <v>1.3362685090139501E-13</v>
      </c>
      <c r="P96">
        <v>0</v>
      </c>
      <c r="Q96">
        <v>100</v>
      </c>
      <c r="AJ96">
        <v>1</v>
      </c>
    </row>
    <row r="97" spans="1:36" x14ac:dyDescent="0.2">
      <c r="A97">
        <v>105</v>
      </c>
      <c r="B97">
        <v>770</v>
      </c>
      <c r="C97">
        <v>150</v>
      </c>
      <c r="D97">
        <v>0.44402099410439499</v>
      </c>
      <c r="E97">
        <v>1.08669983132945</v>
      </c>
      <c r="F97">
        <v>2.53991195906073</v>
      </c>
      <c r="G97">
        <v>-17.801600336199296</v>
      </c>
      <c r="H97">
        <v>-15.553122036403019</v>
      </c>
      <c r="I97">
        <v>2.15546977883935</v>
      </c>
      <c r="J97">
        <v>1.2614000071028</v>
      </c>
      <c r="K97">
        <v>0.42784940928870602</v>
      </c>
      <c r="L97">
        <v>0</v>
      </c>
      <c r="M97">
        <v>1.2381710965453891E-6</v>
      </c>
      <c r="N97">
        <v>0</v>
      </c>
      <c r="O97" s="1">
        <v>6.0756027248307796E-13</v>
      </c>
      <c r="P97">
        <v>0</v>
      </c>
      <c r="Q97">
        <v>100</v>
      </c>
      <c r="AJ97">
        <v>1</v>
      </c>
    </row>
    <row r="98" spans="1:36" x14ac:dyDescent="0.2">
      <c r="A98">
        <v>106</v>
      </c>
      <c r="B98">
        <v>769</v>
      </c>
      <c r="C98">
        <v>150</v>
      </c>
      <c r="D98">
        <v>0.44342033296550898</v>
      </c>
      <c r="E98">
        <v>1.96302653105094</v>
      </c>
      <c r="F98">
        <v>2.53991195906073</v>
      </c>
      <c r="G98">
        <v>-32.153114126477824</v>
      </c>
      <c r="H98">
        <v>-28.097609226845208</v>
      </c>
      <c r="I98">
        <v>3.8914790573646898</v>
      </c>
      <c r="J98">
        <v>2.2783265650932898</v>
      </c>
      <c r="K98">
        <v>0.772871880085512</v>
      </c>
      <c r="L98">
        <v>0</v>
      </c>
      <c r="M98">
        <v>1.2381710965453895E-6</v>
      </c>
      <c r="N98">
        <v>0</v>
      </c>
      <c r="O98" s="1">
        <v>1.09750356051656E-12</v>
      </c>
      <c r="P98">
        <v>0</v>
      </c>
      <c r="Q98">
        <v>100</v>
      </c>
      <c r="AJ98">
        <v>1</v>
      </c>
    </row>
    <row r="99" spans="1:36" x14ac:dyDescent="0.2">
      <c r="A99">
        <v>107</v>
      </c>
      <c r="B99">
        <v>768</v>
      </c>
      <c r="C99">
        <v>150</v>
      </c>
      <c r="D99">
        <v>0.442818517984921</v>
      </c>
      <c r="E99">
        <v>2.8866612397474101</v>
      </c>
      <c r="F99">
        <v>2.53991195906073</v>
      </c>
      <c r="G99">
        <v>-47.275936719456027</v>
      </c>
      <c r="H99">
        <v>-41.321324268091836</v>
      </c>
      <c r="I99">
        <v>5.7192647086050803</v>
      </c>
      <c r="J99">
        <v>3.34990182759012</v>
      </c>
      <c r="K99">
        <v>1.1365201968712699</v>
      </c>
      <c r="L99">
        <v>0</v>
      </c>
      <c r="M99">
        <v>1.2381710965453895E-6</v>
      </c>
      <c r="N99">
        <v>0</v>
      </c>
      <c r="O99" s="1">
        <v>1.61389616417044E-12</v>
      </c>
      <c r="P99">
        <v>0</v>
      </c>
      <c r="Q99">
        <v>100</v>
      </c>
      <c r="AJ99">
        <v>1</v>
      </c>
    </row>
    <row r="100" spans="1:36" x14ac:dyDescent="0.2">
      <c r="A100">
        <v>108</v>
      </c>
      <c r="B100">
        <v>767</v>
      </c>
      <c r="C100">
        <v>150</v>
      </c>
      <c r="D100">
        <v>0.44221554583473799</v>
      </c>
      <c r="E100">
        <v>3.8953959636747202</v>
      </c>
      <c r="F100">
        <v>2.53991195906073</v>
      </c>
      <c r="G100">
        <v>-63.788648979064916</v>
      </c>
      <c r="H100">
        <v>-55.765451774948708</v>
      </c>
      <c r="I100">
        <v>7.7135001722022798</v>
      </c>
      <c r="J100">
        <v>4.5199559421492399</v>
      </c>
      <c r="K100">
        <v>1.5336736180081001</v>
      </c>
      <c r="L100">
        <v>0</v>
      </c>
      <c r="M100">
        <v>1.2381710965453893E-6</v>
      </c>
      <c r="N100">
        <v>0</v>
      </c>
      <c r="O100" s="1">
        <v>2.1778671210653602E-12</v>
      </c>
      <c r="P100">
        <v>0</v>
      </c>
      <c r="Q100">
        <v>100</v>
      </c>
      <c r="AJ100">
        <v>1</v>
      </c>
    </row>
    <row r="101" spans="1:36" x14ac:dyDescent="0.2">
      <c r="A101">
        <v>109</v>
      </c>
      <c r="B101">
        <v>766</v>
      </c>
      <c r="C101">
        <v>150</v>
      </c>
      <c r="D101">
        <v>0.44161141317423203</v>
      </c>
      <c r="E101">
        <v>5.0885890597266998</v>
      </c>
      <c r="F101">
        <v>2.53991195906073</v>
      </c>
      <c r="G101">
        <v>-83.317584292545263</v>
      </c>
      <c r="H101">
        <v>-72.852790636366421</v>
      </c>
      <c r="I101">
        <v>10.0705323160071</v>
      </c>
      <c r="J101">
        <v>5.9037258546581297</v>
      </c>
      <c r="K101">
        <v>2.0034509627681998</v>
      </c>
      <c r="L101">
        <v>0</v>
      </c>
      <c r="M101">
        <v>1.2381710965453889E-6</v>
      </c>
      <c r="N101">
        <v>0</v>
      </c>
      <c r="O101" s="1">
        <v>2.8449664447814501E-12</v>
      </c>
      <c r="P101">
        <v>0</v>
      </c>
      <c r="Q101">
        <v>100</v>
      </c>
      <c r="AJ101">
        <v>1</v>
      </c>
    </row>
    <row r="102" spans="1:36" x14ac:dyDescent="0.2">
      <c r="A102">
        <v>110</v>
      </c>
      <c r="B102">
        <v>765</v>
      </c>
      <c r="C102">
        <v>150</v>
      </c>
      <c r="D102">
        <v>0.44100611664981298</v>
      </c>
      <c r="E102">
        <v>10.083145282102199</v>
      </c>
      <c r="F102">
        <v>2.53991195906073</v>
      </c>
      <c r="G102">
        <v>-165.07558050501137</v>
      </c>
      <c r="H102">
        <v>-144.37102072942537</v>
      </c>
      <c r="I102">
        <v>19.943707340544201</v>
      </c>
      <c r="J102">
        <v>11.696903737186901</v>
      </c>
      <c r="K102">
        <v>3.96987984017803</v>
      </c>
      <c r="L102">
        <v>0</v>
      </c>
      <c r="M102">
        <v>1.2381710965453891E-6</v>
      </c>
      <c r="N102">
        <v>0</v>
      </c>
      <c r="O102" s="1">
        <v>5.6373603072947102E-12</v>
      </c>
      <c r="P102">
        <v>0</v>
      </c>
      <c r="Q102">
        <v>100</v>
      </c>
      <c r="AJ102">
        <v>1</v>
      </c>
    </row>
    <row r="103" spans="1:36" x14ac:dyDescent="0.2">
      <c r="A103">
        <v>111</v>
      </c>
      <c r="B103">
        <v>764</v>
      </c>
      <c r="C103">
        <v>150</v>
      </c>
      <c r="D103">
        <v>0.44039965289495597</v>
      </c>
      <c r="E103">
        <v>20.043916883266199</v>
      </c>
      <c r="F103">
        <v>2.53991195906073</v>
      </c>
      <c r="G103">
        <v>-328.10809380175488</v>
      </c>
      <c r="H103">
        <v>-287.0131388642364</v>
      </c>
      <c r="I103">
        <v>39.622961902828301</v>
      </c>
      <c r="J103">
        <v>23.2489557044637</v>
      </c>
      <c r="K103">
        <v>7.8915793957986304</v>
      </c>
      <c r="L103">
        <v>0</v>
      </c>
      <c r="M103">
        <v>1.2381710965453891E-6</v>
      </c>
      <c r="N103">
        <v>0</v>
      </c>
      <c r="O103" s="1">
        <v>1.12063030214397E-11</v>
      </c>
      <c r="P103">
        <v>0</v>
      </c>
      <c r="Q103">
        <v>100</v>
      </c>
      <c r="AJ103">
        <v>1</v>
      </c>
    </row>
    <row r="104" spans="1:36" x14ac:dyDescent="0.2">
      <c r="A104">
        <v>112</v>
      </c>
      <c r="B104">
        <v>763</v>
      </c>
      <c r="C104">
        <v>150</v>
      </c>
      <c r="D104">
        <v>0.43979201853014099</v>
      </c>
      <c r="E104">
        <v>26.4732204116156</v>
      </c>
      <c r="F104">
        <v>2.53991195906073</v>
      </c>
      <c r="G104">
        <v>-433.3000024906986</v>
      </c>
      <c r="H104">
        <v>-379.10641751343132</v>
      </c>
      <c r="I104">
        <v>52.302837405073802</v>
      </c>
      <c r="J104">
        <v>30.702481269149398</v>
      </c>
      <c r="K104">
        <v>10.422888997068</v>
      </c>
      <c r="L104">
        <v>0</v>
      </c>
      <c r="M104">
        <v>1.2381710965453893E-6</v>
      </c>
      <c r="N104">
        <v>0</v>
      </c>
      <c r="O104" s="1">
        <v>1.4800846142682E-11</v>
      </c>
      <c r="P104">
        <v>0</v>
      </c>
      <c r="Q104">
        <v>100</v>
      </c>
      <c r="AJ104">
        <v>1</v>
      </c>
    </row>
    <row r="105" spans="1:36" x14ac:dyDescent="0.2">
      <c r="A105">
        <v>113</v>
      </c>
      <c r="B105">
        <v>762</v>
      </c>
      <c r="C105">
        <v>150</v>
      </c>
      <c r="D105">
        <v>0.439183210162781</v>
      </c>
      <c r="E105">
        <v>30.075006048151302</v>
      </c>
      <c r="F105">
        <v>2.53991195906073</v>
      </c>
      <c r="G105">
        <v>-492.19276803244878</v>
      </c>
      <c r="H105">
        <v>-430.72021242401559</v>
      </c>
      <c r="I105">
        <v>59.385166988777598</v>
      </c>
      <c r="J105">
        <v>34.8753152503905</v>
      </c>
      <c r="K105">
        <v>11.8409639912374</v>
      </c>
      <c r="L105">
        <v>0</v>
      </c>
      <c r="M105">
        <v>1.2381710965453889E-6</v>
      </c>
      <c r="N105">
        <v>0</v>
      </c>
      <c r="O105" s="1">
        <v>1.6814559405232299E-11</v>
      </c>
      <c r="P105">
        <v>0</v>
      </c>
      <c r="Q105">
        <v>100</v>
      </c>
      <c r="AJ105">
        <v>1</v>
      </c>
    </row>
    <row r="106" spans="1:36" x14ac:dyDescent="0.2">
      <c r="A106">
        <v>114</v>
      </c>
      <c r="B106">
        <v>761</v>
      </c>
      <c r="C106">
        <v>150</v>
      </c>
      <c r="D106">
        <v>0.43857322438717999</v>
      </c>
      <c r="E106">
        <v>31.618306336500499</v>
      </c>
      <c r="F106">
        <v>2.53991195906073</v>
      </c>
      <c r="G106">
        <v>-517.38724726180374</v>
      </c>
      <c r="H106">
        <v>-452.85930214947109</v>
      </c>
      <c r="I106">
        <v>62.397084670824</v>
      </c>
      <c r="J106">
        <v>36.660350826551699</v>
      </c>
      <c r="K106">
        <v>12.4485835911387</v>
      </c>
      <c r="L106">
        <v>0</v>
      </c>
      <c r="M106">
        <v>1.2381710965453891E-6</v>
      </c>
      <c r="N106">
        <v>0</v>
      </c>
      <c r="O106" s="1">
        <v>1.7677399277550601E-11</v>
      </c>
      <c r="P106">
        <v>0</v>
      </c>
      <c r="Q106">
        <v>100</v>
      </c>
      <c r="AJ106">
        <v>1</v>
      </c>
    </row>
    <row r="107" spans="1:36" x14ac:dyDescent="0.2">
      <c r="A107">
        <v>123</v>
      </c>
      <c r="B107">
        <v>780</v>
      </c>
      <c r="C107">
        <v>125</v>
      </c>
      <c r="D107">
        <v>0.47607700707401701</v>
      </c>
      <c r="E107">
        <v>0.43871608762062297</v>
      </c>
      <c r="F107">
        <v>2.5391258783161499</v>
      </c>
      <c r="G107">
        <v>-7.1998029340609904</v>
      </c>
      <c r="H107">
        <v>-6.2782386170995634</v>
      </c>
      <c r="I107">
        <v>0.87505513645864996</v>
      </c>
      <c r="J107">
        <v>0.50986413860650603</v>
      </c>
      <c r="K107">
        <v>0.17278233086717301</v>
      </c>
      <c r="L107">
        <v>0</v>
      </c>
      <c r="M107">
        <v>1.2381427916924884E-6</v>
      </c>
      <c r="N107">
        <v>0</v>
      </c>
      <c r="O107" s="1">
        <v>2.4528067277916599E-13</v>
      </c>
      <c r="P107">
        <v>0</v>
      </c>
      <c r="Q107">
        <v>100</v>
      </c>
      <c r="AJ107">
        <v>1</v>
      </c>
    </row>
    <row r="108" spans="1:36" x14ac:dyDescent="0.2">
      <c r="A108">
        <v>124</v>
      </c>
      <c r="B108">
        <v>779</v>
      </c>
      <c r="C108">
        <v>125</v>
      </c>
      <c r="D108">
        <v>0.475512521978807</v>
      </c>
      <c r="E108">
        <v>1.29585837294164</v>
      </c>
      <c r="F108">
        <v>2.5391258783161499</v>
      </c>
      <c r="G108">
        <v>-21.263845901964658</v>
      </c>
      <c r="H108">
        <v>-18.545863671005424</v>
      </c>
      <c r="I108">
        <v>2.5832649631318998</v>
      </c>
      <c r="J108">
        <v>1.50583091725132</v>
      </c>
      <c r="K108">
        <v>0.51035609695767004</v>
      </c>
      <c r="L108">
        <v>0</v>
      </c>
      <c r="M108">
        <v>1.2381427916924881E-6</v>
      </c>
      <c r="N108">
        <v>0</v>
      </c>
      <c r="O108" s="1">
        <v>7.24498194870167E-13</v>
      </c>
      <c r="P108">
        <v>0</v>
      </c>
      <c r="Q108">
        <v>100</v>
      </c>
      <c r="AJ108">
        <v>1</v>
      </c>
    </row>
    <row r="109" spans="1:36" x14ac:dyDescent="0.2">
      <c r="A109">
        <v>125</v>
      </c>
      <c r="B109">
        <v>778</v>
      </c>
      <c r="C109">
        <v>125</v>
      </c>
      <c r="D109">
        <v>0.47494696285021398</v>
      </c>
      <c r="E109">
        <v>2.1871381932740901</v>
      </c>
      <c r="F109">
        <v>2.5391258783161499</v>
      </c>
      <c r="G109">
        <v>-35.884570480183427</v>
      </c>
      <c r="H109">
        <v>-31.304084513424879</v>
      </c>
      <c r="I109">
        <v>4.3575949833596903</v>
      </c>
      <c r="J109">
        <v>2.5412216219877202</v>
      </c>
      <c r="K109">
        <v>0.86137446431939702</v>
      </c>
      <c r="L109">
        <v>0</v>
      </c>
      <c r="M109">
        <v>1.2381427916924881E-6</v>
      </c>
      <c r="N109">
        <v>0</v>
      </c>
      <c r="O109" s="1">
        <v>1.2228015854553801E-12</v>
      </c>
      <c r="P109">
        <v>0</v>
      </c>
      <c r="Q109">
        <v>100</v>
      </c>
      <c r="AJ109">
        <v>1</v>
      </c>
    </row>
    <row r="110" spans="1:36" x14ac:dyDescent="0.2">
      <c r="A110">
        <v>126</v>
      </c>
      <c r="B110">
        <v>777</v>
      </c>
      <c r="C110">
        <v>125</v>
      </c>
      <c r="D110">
        <v>0.47438032662001101</v>
      </c>
      <c r="E110">
        <v>3.13448741149868</v>
      </c>
      <c r="F110">
        <v>2.5391258783161499</v>
      </c>
      <c r="G110">
        <v>-51.421569860729093</v>
      </c>
      <c r="H110">
        <v>-44.86695174716926</v>
      </c>
      <c r="I110">
        <v>6.2416017840878197</v>
      </c>
      <c r="J110">
        <v>3.6415005223059</v>
      </c>
      <c r="K110">
        <v>1.23447499718972</v>
      </c>
      <c r="L110">
        <v>0</v>
      </c>
      <c r="M110">
        <v>1.2381427916924881E-6</v>
      </c>
      <c r="N110">
        <v>0</v>
      </c>
      <c r="O110" s="1">
        <v>1.75245267453028E-12</v>
      </c>
      <c r="P110">
        <v>0</v>
      </c>
      <c r="Q110">
        <v>100</v>
      </c>
      <c r="AJ110">
        <v>1</v>
      </c>
    </row>
    <row r="111" spans="1:36" x14ac:dyDescent="0.2">
      <c r="A111">
        <v>127</v>
      </c>
      <c r="B111">
        <v>776</v>
      </c>
      <c r="C111">
        <v>125</v>
      </c>
      <c r="D111">
        <v>0.47381261020826598</v>
      </c>
      <c r="E111">
        <v>4.18204456250304</v>
      </c>
      <c r="F111">
        <v>2.5391258783161499</v>
      </c>
      <c r="G111">
        <v>-68.598521225090082</v>
      </c>
      <c r="H111">
        <v>-59.866509240955608</v>
      </c>
      <c r="I111">
        <v>8.3229395073483001</v>
      </c>
      <c r="J111">
        <v>4.8579150296252296</v>
      </c>
      <c r="K111">
        <v>1.64704105385921</v>
      </c>
      <c r="L111">
        <v>0</v>
      </c>
      <c r="M111">
        <v>1.2381427916924881E-6</v>
      </c>
      <c r="N111">
        <v>0</v>
      </c>
      <c r="O111" s="1">
        <v>2.3381287644282399E-12</v>
      </c>
      <c r="P111">
        <v>0</v>
      </c>
      <c r="Q111">
        <v>100</v>
      </c>
      <c r="AJ111">
        <v>1</v>
      </c>
    </row>
    <row r="112" spans="1:36" x14ac:dyDescent="0.2">
      <c r="A112">
        <v>128</v>
      </c>
      <c r="B112">
        <v>775</v>
      </c>
      <c r="C112">
        <v>125</v>
      </c>
      <c r="D112">
        <v>0.473243810523307</v>
      </c>
      <c r="E112">
        <v>5.4419160716719999</v>
      </c>
      <c r="F112">
        <v>2.5391258783161499</v>
      </c>
      <c r="G112">
        <v>-89.253500156037646</v>
      </c>
      <c r="H112">
        <v>-77.908053987977027</v>
      </c>
      <c r="I112">
        <v>10.824258138683</v>
      </c>
      <c r="J112">
        <v>6.3206303295961304</v>
      </c>
      <c r="K112">
        <v>2.1432242167059701</v>
      </c>
      <c r="L112">
        <v>0</v>
      </c>
      <c r="M112">
        <v>1.2381427916924881E-6</v>
      </c>
      <c r="N112">
        <v>0</v>
      </c>
      <c r="O112" s="1">
        <v>3.0425071542435001E-12</v>
      </c>
      <c r="P112">
        <v>0</v>
      </c>
      <c r="Q112">
        <v>100</v>
      </c>
      <c r="AJ112">
        <v>1</v>
      </c>
    </row>
    <row r="113" spans="1:36" x14ac:dyDescent="0.2">
      <c r="A113">
        <v>129</v>
      </c>
      <c r="B113">
        <v>774</v>
      </c>
      <c r="C113">
        <v>125</v>
      </c>
      <c r="D113">
        <v>0.47267392446163797</v>
      </c>
      <c r="E113">
        <v>8.8721443404079405</v>
      </c>
      <c r="F113">
        <v>2.5391258783161499</v>
      </c>
      <c r="G113">
        <v>-145.49543179655967</v>
      </c>
      <c r="H113">
        <v>-127.02650413804751</v>
      </c>
      <c r="I113">
        <v>17.637327659372701</v>
      </c>
      <c r="J113">
        <v>10.3034893013416</v>
      </c>
      <c r="K113">
        <v>3.4941727057232699</v>
      </c>
      <c r="L113">
        <v>0</v>
      </c>
      <c r="M113">
        <v>1.2381427916924881E-6</v>
      </c>
      <c r="N113">
        <v>0</v>
      </c>
      <c r="O113" s="1">
        <v>4.9603048399970096E-12</v>
      </c>
      <c r="P113">
        <v>0</v>
      </c>
      <c r="Q113">
        <v>100</v>
      </c>
      <c r="AJ113">
        <v>1</v>
      </c>
    </row>
    <row r="114" spans="1:36" x14ac:dyDescent="0.2">
      <c r="A114">
        <v>130</v>
      </c>
      <c r="B114">
        <v>773</v>
      </c>
      <c r="C114">
        <v>125</v>
      </c>
      <c r="D114">
        <v>0.472102948907902</v>
      </c>
      <c r="E114">
        <v>12.7682656553831</v>
      </c>
      <c r="F114">
        <v>2.5391258783161499</v>
      </c>
      <c r="G114">
        <v>-209.36304892073261</v>
      </c>
      <c r="H114">
        <v>-182.82386281685604</v>
      </c>
      <c r="I114">
        <v>25.368432924414801</v>
      </c>
      <c r="J114">
        <v>14.826365127933</v>
      </c>
      <c r="K114">
        <v>5.0286067990652699</v>
      </c>
      <c r="L114">
        <v>0</v>
      </c>
      <c r="M114">
        <v>1.2381427916924884E-6</v>
      </c>
      <c r="N114">
        <v>0</v>
      </c>
      <c r="O114" s="1">
        <v>7.13857749589461E-12</v>
      </c>
      <c r="P114">
        <v>0</v>
      </c>
      <c r="Q114">
        <v>100</v>
      </c>
      <c r="AJ114">
        <v>1</v>
      </c>
    </row>
    <row r="115" spans="1:36" x14ac:dyDescent="0.2">
      <c r="A115">
        <v>131</v>
      </c>
      <c r="B115">
        <v>772</v>
      </c>
      <c r="C115">
        <v>125</v>
      </c>
      <c r="D115">
        <v>0.47153088073482102</v>
      </c>
      <c r="E115">
        <v>23.3474609915285</v>
      </c>
      <c r="F115">
        <v>2.5391258783161499</v>
      </c>
      <c r="G115">
        <v>-382.78522914937463</v>
      </c>
      <c r="H115">
        <v>-334.33038264520354</v>
      </c>
      <c r="I115">
        <v>46.361619388768197</v>
      </c>
      <c r="J115">
        <v>27.107494340811499</v>
      </c>
      <c r="K115">
        <v>9.1950781924257008</v>
      </c>
      <c r="L115">
        <v>0</v>
      </c>
      <c r="M115">
        <v>1.2381427916924881E-6</v>
      </c>
      <c r="N115">
        <v>0</v>
      </c>
      <c r="O115" s="1">
        <v>1.30532731788937E-11</v>
      </c>
      <c r="P115">
        <v>0</v>
      </c>
      <c r="Q115">
        <v>100</v>
      </c>
      <c r="AJ115">
        <v>1</v>
      </c>
    </row>
    <row r="116" spans="1:36" x14ac:dyDescent="0.2">
      <c r="A116">
        <v>132</v>
      </c>
      <c r="B116">
        <v>771</v>
      </c>
      <c r="C116">
        <v>125</v>
      </c>
      <c r="D116">
        <v>0.47095771680314102</v>
      </c>
      <c r="E116">
        <v>27.899539716481101</v>
      </c>
      <c r="F116">
        <v>2.5391258783161499</v>
      </c>
      <c r="G116">
        <v>-457.36187765670621</v>
      </c>
      <c r="H116">
        <v>-399.54751536998765</v>
      </c>
      <c r="I116">
        <v>55.369786224889602</v>
      </c>
      <c r="J116">
        <v>32.388704102963999</v>
      </c>
      <c r="K116">
        <v>10.987852140273899</v>
      </c>
      <c r="L116">
        <v>0</v>
      </c>
      <c r="M116">
        <v>1.2381427916924881E-6</v>
      </c>
      <c r="N116">
        <v>0</v>
      </c>
      <c r="O116" s="1">
        <v>1.5598283411492199E-11</v>
      </c>
      <c r="P116">
        <v>0</v>
      </c>
      <c r="Q116">
        <v>100</v>
      </c>
      <c r="AJ116">
        <v>1</v>
      </c>
    </row>
    <row r="117" spans="1:36" x14ac:dyDescent="0.2">
      <c r="A117">
        <v>133</v>
      </c>
      <c r="B117">
        <v>770</v>
      </c>
      <c r="C117">
        <v>125</v>
      </c>
      <c r="D117">
        <v>0.47038345396155901</v>
      </c>
      <c r="E117">
        <v>30.431692135715299</v>
      </c>
      <c r="F117">
        <v>2.5391258783161499</v>
      </c>
      <c r="G117">
        <v>-498.81150272409286</v>
      </c>
      <c r="H117">
        <v>-435.84563356634533</v>
      </c>
      <c r="I117">
        <v>60.361279928818902</v>
      </c>
      <c r="J117">
        <v>35.323955677052098</v>
      </c>
      <c r="K117">
        <v>11.985105738789199</v>
      </c>
      <c r="L117">
        <v>0</v>
      </c>
      <c r="M117">
        <v>1.2381427916924881E-6</v>
      </c>
      <c r="N117">
        <v>0</v>
      </c>
      <c r="O117" s="1">
        <v>1.7013978131824101E-11</v>
      </c>
      <c r="P117">
        <v>0</v>
      </c>
      <c r="Q117">
        <v>100</v>
      </c>
      <c r="AJ117">
        <v>1</v>
      </c>
    </row>
    <row r="118" spans="1:36" x14ac:dyDescent="0.2">
      <c r="A118">
        <v>134</v>
      </c>
      <c r="B118">
        <v>769</v>
      </c>
      <c r="C118">
        <v>125</v>
      </c>
      <c r="D118">
        <v>0.46980808904668597</v>
      </c>
      <c r="E118">
        <v>31.642213739597199</v>
      </c>
      <c r="F118">
        <v>2.5391258783161499</v>
      </c>
      <c r="G118">
        <v>-518.59064182036184</v>
      </c>
      <c r="H118">
        <v>-453.21956770275551</v>
      </c>
      <c r="I118">
        <v>62.727125766546401</v>
      </c>
      <c r="J118">
        <v>36.724565359128697</v>
      </c>
      <c r="K118">
        <v>12.4618531163886</v>
      </c>
      <c r="L118">
        <v>0</v>
      </c>
      <c r="M118">
        <v>1.2381427916924884E-6</v>
      </c>
      <c r="N118">
        <v>0</v>
      </c>
      <c r="O118" s="1">
        <v>1.7690765607351201E-11</v>
      </c>
      <c r="P118">
        <v>0</v>
      </c>
      <c r="Q118">
        <v>100</v>
      </c>
      <c r="AJ118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752EF-91D8-47C6-84A7-C6A3BE9C8B0C}">
  <sheetPr codeName="Sheet13"/>
  <dimension ref="A1:AJ135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763</v>
      </c>
      <c r="C2">
        <v>275</v>
      </c>
      <c r="D2">
        <v>0.30708922453313198</v>
      </c>
      <c r="E2">
        <v>4.0877764558780099</v>
      </c>
      <c r="F2">
        <v>0.54996166268446101</v>
      </c>
      <c r="G2">
        <v>-88.792932028672908</v>
      </c>
      <c r="H2">
        <v>-51.942625939948172</v>
      </c>
      <c r="I2">
        <v>35.566901863080602</v>
      </c>
      <c r="J2">
        <v>15.7415385060097</v>
      </c>
      <c r="K2">
        <v>7.4328389290352304</v>
      </c>
      <c r="L2">
        <v>1.1953593544791693E-3</v>
      </c>
      <c r="M2">
        <v>1.9636467237705462E-4</v>
      </c>
      <c r="N2" s="1">
        <v>5.4859173085491399E-6</v>
      </c>
      <c r="O2" s="1">
        <v>1.19053913797938E-6</v>
      </c>
      <c r="P2" s="1">
        <v>-4.3395834829167301E-6</v>
      </c>
      <c r="AE2">
        <v>100</v>
      </c>
      <c r="AJ2">
        <v>1</v>
      </c>
    </row>
    <row r="3" spans="1:36" x14ac:dyDescent="0.2">
      <c r="A3">
        <v>2</v>
      </c>
      <c r="B3">
        <v>762</v>
      </c>
      <c r="C3">
        <v>275</v>
      </c>
      <c r="D3">
        <v>0.306352219485102</v>
      </c>
      <c r="E3">
        <v>4.0914645566476704</v>
      </c>
      <c r="F3">
        <v>0.55061964729202595</v>
      </c>
      <c r="G3">
        <v>-88.837451991657773</v>
      </c>
      <c r="H3">
        <v>-52.005249089134942</v>
      </c>
      <c r="I3">
        <v>35.583774612169002</v>
      </c>
      <c r="J3">
        <v>15.762515329448201</v>
      </c>
      <c r="K3">
        <v>7.4306548572498103</v>
      </c>
      <c r="L3">
        <v>1.1960475999566829E-3</v>
      </c>
      <c r="M3">
        <v>1.9601518700588123E-4</v>
      </c>
      <c r="N3" s="1">
        <v>5.5348269457737398E-6</v>
      </c>
      <c r="O3" s="1">
        <v>1.1875782610890601E-6</v>
      </c>
      <c r="P3" s="1">
        <v>-4.3417369393806504E-6</v>
      </c>
      <c r="AE3">
        <v>100</v>
      </c>
      <c r="AJ3">
        <v>1</v>
      </c>
    </row>
    <row r="4" spans="1:36" x14ac:dyDescent="0.2">
      <c r="A4">
        <v>3</v>
      </c>
      <c r="B4">
        <v>761</v>
      </c>
      <c r="C4">
        <v>275</v>
      </c>
      <c r="D4">
        <v>0.30561378910216402</v>
      </c>
      <c r="E4">
        <v>4.1036062866857996</v>
      </c>
      <c r="F4">
        <v>0.55127879711622796</v>
      </c>
      <c r="G4">
        <v>-89.065402106623893</v>
      </c>
      <c r="H4">
        <v>-52.175391278077583</v>
      </c>
      <c r="I4">
        <v>35.674089023888001</v>
      </c>
      <c r="J4">
        <v>15.816076831021199</v>
      </c>
      <c r="K4">
        <v>7.4437948786566803</v>
      </c>
      <c r="L4">
        <v>1.1967306744472181E-3</v>
      </c>
      <c r="M4">
        <v>1.9566495908420329E-4</v>
      </c>
      <c r="N4" s="1">
        <v>5.5954049849587999E-6</v>
      </c>
      <c r="O4" s="1">
        <v>1.1870533074631701E-6</v>
      </c>
      <c r="P4" s="1">
        <v>-4.3528059789209496E-6</v>
      </c>
      <c r="AE4">
        <v>100</v>
      </c>
      <c r="AJ4">
        <v>1</v>
      </c>
    </row>
    <row r="5" spans="1:36" x14ac:dyDescent="0.2">
      <c r="A5">
        <v>4</v>
      </c>
      <c r="B5">
        <v>760</v>
      </c>
      <c r="C5">
        <v>275</v>
      </c>
      <c r="D5">
        <v>0.30487392924551299</v>
      </c>
      <c r="E5">
        <v>4.1156719261614301</v>
      </c>
      <c r="F5">
        <v>0.55193911159252396</v>
      </c>
      <c r="G5">
        <v>-89.291505588982901</v>
      </c>
      <c r="H5">
        <v>-52.344666091873115</v>
      </c>
      <c r="I5">
        <v>35.763630389892199</v>
      </c>
      <c r="J5">
        <v>15.8693754197323</v>
      </c>
      <c r="K5">
        <v>7.4567499199076099</v>
      </c>
      <c r="L5">
        <v>1.1974085424393379E-3</v>
      </c>
      <c r="M5">
        <v>1.9531399207968603E-4</v>
      </c>
      <c r="N5" s="1">
        <v>5.6562005238952601E-6</v>
      </c>
      <c r="O5" s="1">
        <v>1.1864803253189601E-6</v>
      </c>
      <c r="P5" s="1">
        <v>-4.3637349423147102E-6</v>
      </c>
      <c r="AE5">
        <v>100</v>
      </c>
      <c r="AJ5">
        <v>1</v>
      </c>
    </row>
    <row r="6" spans="1:36" x14ac:dyDescent="0.2">
      <c r="A6">
        <v>5</v>
      </c>
      <c r="B6">
        <v>759</v>
      </c>
      <c r="C6">
        <v>275</v>
      </c>
      <c r="D6">
        <v>0.30413263576031102</v>
      </c>
      <c r="E6">
        <v>4.1276620444235199</v>
      </c>
      <c r="F6">
        <v>0.55260059012820195</v>
      </c>
      <c r="G6">
        <v>-89.515776926500067</v>
      </c>
      <c r="H6">
        <v>-52.513079943929384</v>
      </c>
      <c r="I6">
        <v>35.8524042864506</v>
      </c>
      <c r="J6">
        <v>15.922412630682899</v>
      </c>
      <c r="K6">
        <v>7.4695216005214702</v>
      </c>
      <c r="L6">
        <v>1.1980811684997577E-3</v>
      </c>
      <c r="M6">
        <v>1.9496228951073602E-4</v>
      </c>
      <c r="N6" s="1">
        <v>5.71721054417919E-6</v>
      </c>
      <c r="O6" s="1">
        <v>1.1858597552992999E-6</v>
      </c>
      <c r="P6" s="1">
        <v>-4.3745239307860504E-6</v>
      </c>
      <c r="AE6">
        <v>100</v>
      </c>
      <c r="AJ6">
        <v>1</v>
      </c>
    </row>
    <row r="7" spans="1:36" x14ac:dyDescent="0.2">
      <c r="A7">
        <v>6</v>
      </c>
      <c r="B7">
        <v>758</v>
      </c>
      <c r="C7">
        <v>275</v>
      </c>
      <c r="D7">
        <v>0.303389904475587</v>
      </c>
      <c r="E7">
        <v>4.1395772040052297</v>
      </c>
      <c r="F7">
        <v>0.55326323210226602</v>
      </c>
      <c r="G7">
        <v>-89.738230437989841</v>
      </c>
      <c r="H7">
        <v>-52.680639168635494</v>
      </c>
      <c r="I7">
        <v>35.940416224244402</v>
      </c>
      <c r="J7">
        <v>15.975189974825099</v>
      </c>
      <c r="K7">
        <v>7.4821115227119597</v>
      </c>
      <c r="L7">
        <v>1.1987485172768261E-3</v>
      </c>
      <c r="M7">
        <v>1.9460985494651058E-4</v>
      </c>
      <c r="N7" s="1">
        <v>5.7784320009251604E-6</v>
      </c>
      <c r="O7" s="1">
        <v>1.1851920355313401E-6</v>
      </c>
      <c r="P7" s="1">
        <v>-4.3851730438564898E-6</v>
      </c>
      <c r="AE7">
        <v>100</v>
      </c>
      <c r="AJ7">
        <v>1</v>
      </c>
    </row>
    <row r="8" spans="1:36" x14ac:dyDescent="0.2">
      <c r="A8">
        <v>7</v>
      </c>
      <c r="B8">
        <v>757</v>
      </c>
      <c r="C8">
        <v>275</v>
      </c>
      <c r="D8">
        <v>0.30264573120419402</v>
      </c>
      <c r="E8">
        <v>4.1514179604485602</v>
      </c>
      <c r="F8">
        <v>0.553927036865275</v>
      </c>
      <c r="G8">
        <v>-89.958880269827489</v>
      </c>
      <c r="H8">
        <v>-52.847350019005184</v>
      </c>
      <c r="I8">
        <v>36.027671646949997</v>
      </c>
      <c r="J8">
        <v>16.027708938250001</v>
      </c>
      <c r="K8">
        <v>7.4945212711439799</v>
      </c>
      <c r="L8">
        <v>1.1994105535029587E-3</v>
      </c>
      <c r="M8">
        <v>1.9425669200678956E-4</v>
      </c>
      <c r="N8" s="1">
        <v>5.8398618225778598E-6</v>
      </c>
      <c r="O8" s="1">
        <v>1.1844776015977899E-6</v>
      </c>
      <c r="P8" s="1">
        <v>-4.3956823792266997E-6</v>
      </c>
      <c r="AE8">
        <v>100</v>
      </c>
      <c r="AJ8">
        <v>1</v>
      </c>
    </row>
    <row r="9" spans="1:36" x14ac:dyDescent="0.2">
      <c r="A9">
        <v>8</v>
      </c>
      <c r="B9">
        <v>756</v>
      </c>
      <c r="C9">
        <v>275</v>
      </c>
      <c r="D9">
        <v>0.30190011174270298</v>
      </c>
      <c r="E9">
        <v>4.1631848625802101</v>
      </c>
      <c r="F9">
        <v>0.55459200373927897</v>
      </c>
      <c r="G9">
        <v>-90.1777404022463</v>
      </c>
      <c r="H9">
        <v>-53.013218670062884</v>
      </c>
      <c r="I9">
        <v>36.114175933741997</v>
      </c>
      <c r="J9">
        <v>16.0799709832358</v>
      </c>
      <c r="K9">
        <v>7.5067524135046497</v>
      </c>
      <c r="L9">
        <v>1.2000672419984482E-3</v>
      </c>
      <c r="M9">
        <v>1.9390280436198249E-4</v>
      </c>
      <c r="N9" s="1">
        <v>5.9014969113800396E-6</v>
      </c>
      <c r="O9" s="1">
        <v>1.1837168866386199E-6</v>
      </c>
      <c r="P9" s="1">
        <v>-4.4060520331442099E-6</v>
      </c>
      <c r="AE9">
        <v>100</v>
      </c>
      <c r="AJ9">
        <v>1</v>
      </c>
    </row>
    <row r="10" spans="1:36" x14ac:dyDescent="0.2">
      <c r="A10">
        <v>9</v>
      </c>
      <c r="B10">
        <v>755</v>
      </c>
      <c r="C10">
        <v>275</v>
      </c>
      <c r="D10">
        <v>0.30115304187132302</v>
      </c>
      <c r="E10">
        <v>4.1748784525772402</v>
      </c>
      <c r="F10">
        <v>0.55525813201767704</v>
      </c>
      <c r="G10">
        <v>-90.394824651067637</v>
      </c>
      <c r="H10">
        <v>-53.178251219558909</v>
      </c>
      <c r="I10">
        <v>36.199934399967098</v>
      </c>
      <c r="J10">
        <v>16.131977548468502</v>
      </c>
      <c r="K10">
        <v>7.5188065006931399</v>
      </c>
      <c r="L10">
        <v>1.2007185476741171E-3</v>
      </c>
      <c r="M10">
        <v>1.9354819573302135E-4</v>
      </c>
      <c r="N10" s="1">
        <v>5.9633341435336799E-6</v>
      </c>
      <c r="O10" s="1">
        <v>1.18291032139049E-6</v>
      </c>
      <c r="P10" s="1">
        <v>-4.4162821005412103E-6</v>
      </c>
      <c r="AE10">
        <v>100</v>
      </c>
      <c r="AJ10">
        <v>1</v>
      </c>
    </row>
    <row r="11" spans="1:36" x14ac:dyDescent="0.2">
      <c r="A11">
        <v>10</v>
      </c>
      <c r="B11">
        <v>754</v>
      </c>
      <c r="C11">
        <v>275</v>
      </c>
      <c r="D11">
        <v>0.30040451735384299</v>
      </c>
      <c r="E11">
        <v>4.1864992659132101</v>
      </c>
      <c r="F11">
        <v>0.55592542096507103</v>
      </c>
      <c r="G11">
        <v>-90.610146666840393</v>
      </c>
      <c r="H11">
        <v>-53.342453687160862</v>
      </c>
      <c r="I11">
        <v>36.284952296782301</v>
      </c>
      <c r="J11">
        <v>16.1837300488131</v>
      </c>
      <c r="K11">
        <v>7.5306850667946996</v>
      </c>
      <c r="L11">
        <v>1.2013644355344699E-3</v>
      </c>
      <c r="M11">
        <v>1.9319286989129213E-4</v>
      </c>
      <c r="N11" s="1">
        <v>6.0253703692237704E-6</v>
      </c>
      <c r="O11" s="1">
        <v>1.18205833419228E-6</v>
      </c>
      <c r="P11" s="1">
        <v>-4.4263726750501898E-6</v>
      </c>
      <c r="AE11">
        <v>100</v>
      </c>
      <c r="AJ11">
        <v>1</v>
      </c>
    </row>
    <row r="12" spans="1:36" x14ac:dyDescent="0.2">
      <c r="A12">
        <v>11</v>
      </c>
      <c r="B12">
        <v>753</v>
      </c>
      <c r="C12">
        <v>275</v>
      </c>
      <c r="D12">
        <v>0.29965453393753799</v>
      </c>
      <c r="E12">
        <v>4.1980478315557397</v>
      </c>
      <c r="F12">
        <v>0.55659386981720904</v>
      </c>
      <c r="G12">
        <v>-90.823719939421821</v>
      </c>
      <c r="H12">
        <v>-53.505832016850476</v>
      </c>
      <c r="I12">
        <v>36.369234812971001</v>
      </c>
      <c r="J12">
        <v>16.235229876049601</v>
      </c>
      <c r="K12">
        <v>7.5423896295056503</v>
      </c>
      <c r="L12">
        <v>1.2020048706808957E-3</v>
      </c>
      <c r="M12">
        <v>1.9283683065854628E-4</v>
      </c>
      <c r="N12" s="1">
        <v>6.0876024129877503E-6</v>
      </c>
      <c r="O12" s="1">
        <v>1.18116135106127E-6</v>
      </c>
      <c r="P12" s="1">
        <v>-4.43632384928345E-6</v>
      </c>
      <c r="AE12">
        <v>100</v>
      </c>
      <c r="AJ12">
        <v>1</v>
      </c>
    </row>
    <row r="13" spans="1:36" x14ac:dyDescent="0.2">
      <c r="A13">
        <v>12</v>
      </c>
      <c r="B13">
        <v>752</v>
      </c>
      <c r="C13">
        <v>275</v>
      </c>
      <c r="D13">
        <v>0.29890308735307097</v>
      </c>
      <c r="E13">
        <v>4.2095246720987198</v>
      </c>
      <c r="F13">
        <v>0.55726347778082896</v>
      </c>
      <c r="G13">
        <v>-91.035557801136889</v>
      </c>
      <c r="H13">
        <v>-53.6683920784916</v>
      </c>
      <c r="I13">
        <v>36.452787076190802</v>
      </c>
      <c r="J13">
        <v>16.286478399365201</v>
      </c>
      <c r="K13">
        <v>7.55392169044016</v>
      </c>
      <c r="L13">
        <v>1.2026398183147557E-3</v>
      </c>
      <c r="M13">
        <v>1.924800819068232E-4</v>
      </c>
      <c r="N13" s="1">
        <v>6.1500270740182004E-6</v>
      </c>
      <c r="O13" s="1">
        <v>1.1802197957498701E-6</v>
      </c>
      <c r="P13" s="1">
        <v>-4.4461357150443504E-6</v>
      </c>
      <c r="AE13">
        <v>100</v>
      </c>
      <c r="AJ13">
        <v>1</v>
      </c>
    </row>
    <row r="14" spans="1:36" x14ac:dyDescent="0.2">
      <c r="A14">
        <v>13</v>
      </c>
      <c r="B14">
        <v>751</v>
      </c>
      <c r="C14">
        <v>275</v>
      </c>
      <c r="D14">
        <v>0.29815017331445698</v>
      </c>
      <c r="E14">
        <v>4.2209303035948196</v>
      </c>
      <c r="F14">
        <v>0.55793424403356595</v>
      </c>
      <c r="G14">
        <v>-91.245673423447684</v>
      </c>
      <c r="H14">
        <v>-53.830139665576546</v>
      </c>
      <c r="I14">
        <v>36.535614151623903</v>
      </c>
      <c r="J14">
        <v>16.3374769646801</v>
      </c>
      <c r="K14">
        <v>7.5652827348967699</v>
      </c>
      <c r="L14">
        <v>1.2032692437403828E-3</v>
      </c>
      <c r="M14">
        <v>1.9212262755833809E-4</v>
      </c>
      <c r="N14" s="1">
        <v>6.2126411260325302E-6</v>
      </c>
      <c r="O14" s="1">
        <v>1.17923408971749E-6</v>
      </c>
      <c r="P14" s="1">
        <v>-4.4558083632209499E-6</v>
      </c>
      <c r="AE14">
        <v>100</v>
      </c>
      <c r="AJ14">
        <v>1</v>
      </c>
    </row>
    <row r="15" spans="1:36" x14ac:dyDescent="0.2">
      <c r="A15">
        <v>14</v>
      </c>
      <c r="B15">
        <v>750</v>
      </c>
      <c r="C15">
        <v>275</v>
      </c>
      <c r="D15">
        <v>0.29739578751893703</v>
      </c>
      <c r="E15">
        <v>4.2322652358831503</v>
      </c>
      <c r="F15">
        <v>0.55860616772383997</v>
      </c>
      <c r="G15">
        <v>-91.45407982433494</v>
      </c>
      <c r="H15">
        <v>-53.991080499288991</v>
      </c>
      <c r="I15">
        <v>36.617721044915001</v>
      </c>
      <c r="J15">
        <v>16.388226895894999</v>
      </c>
      <c r="K15">
        <v>7.5764742325141397</v>
      </c>
      <c r="L15">
        <v>1.2038931123682388E-3</v>
      </c>
      <c r="M15">
        <v>1.917644715853801E-4</v>
      </c>
      <c r="N15" s="1">
        <v>6.2754413178645004E-6</v>
      </c>
      <c r="O15" s="1">
        <v>1.1782046522409399E-6</v>
      </c>
      <c r="P15" s="1">
        <v>-4.4653418842019904E-6</v>
      </c>
      <c r="AE15">
        <v>100</v>
      </c>
      <c r="AJ15">
        <v>1</v>
      </c>
    </row>
    <row r="16" spans="1:36" x14ac:dyDescent="0.2">
      <c r="A16">
        <v>15</v>
      </c>
      <c r="B16">
        <v>749</v>
      </c>
      <c r="C16">
        <v>275</v>
      </c>
      <c r="D16">
        <v>0.29663992564692099</v>
      </c>
      <c r="E16">
        <v>4.24352997252553</v>
      </c>
      <c r="F16">
        <v>0.55927924797073003</v>
      </c>
      <c r="G16">
        <v>-91.660789867205381</v>
      </c>
      <c r="H16">
        <v>-54.151220227575848</v>
      </c>
      <c r="I16">
        <v>36.699112701719301</v>
      </c>
      <c r="J16">
        <v>16.438729494622201</v>
      </c>
      <c r="K16">
        <v>7.5874976372225698</v>
      </c>
      <c r="L16">
        <v>1.2045113897179512E-3</v>
      </c>
      <c r="M16">
        <v>1.914056180101959E-4</v>
      </c>
      <c r="N16" s="1">
        <v>6.3384243735090697E-6</v>
      </c>
      <c r="O16" s="1">
        <v>1.17713190041446E-6</v>
      </c>
      <c r="P16" s="1">
        <v>-4.4747363678811201E-6</v>
      </c>
      <c r="AE16">
        <v>100</v>
      </c>
      <c r="AJ16">
        <v>1</v>
      </c>
    </row>
    <row r="17" spans="1:36" x14ac:dyDescent="0.2">
      <c r="A17">
        <v>16</v>
      </c>
      <c r="B17">
        <v>748</v>
      </c>
      <c r="C17">
        <v>275</v>
      </c>
      <c r="D17">
        <v>0.29588258336189799</v>
      </c>
      <c r="E17">
        <v>4.2547250109216304</v>
      </c>
      <c r="F17">
        <v>0.55995348386390498</v>
      </c>
      <c r="G17">
        <v>-91.865816263665067</v>
      </c>
      <c r="H17">
        <v>-54.310564426503944</v>
      </c>
      <c r="I17">
        <v>36.779794008796301</v>
      </c>
      <c r="J17">
        <v>16.4889860406143</v>
      </c>
      <c r="K17">
        <v>7.5983543875150401</v>
      </c>
      <c r="L17">
        <v>1.2051240414215599E-3</v>
      </c>
      <c r="M17">
        <v>1.9104607090488274E-4</v>
      </c>
      <c r="N17" s="1">
        <v>6.4015869924231498E-6</v>
      </c>
      <c r="O17" s="1">
        <v>1.1760162491990801E-6</v>
      </c>
      <c r="P17" s="1">
        <v>-4.48399190384785E-6</v>
      </c>
      <c r="AE17">
        <v>100</v>
      </c>
      <c r="AJ17">
        <v>1</v>
      </c>
    </row>
    <row r="18" spans="1:36" x14ac:dyDescent="0.2">
      <c r="A18">
        <v>17</v>
      </c>
      <c r="B18">
        <v>747</v>
      </c>
      <c r="C18">
        <v>275</v>
      </c>
      <c r="D18">
        <v>0.29512375631034898</v>
      </c>
      <c r="E18">
        <v>4.2658508423495203</v>
      </c>
      <c r="F18">
        <v>0.56062887446346499</v>
      </c>
      <c r="G18">
        <v>-92.069171574676673</v>
      </c>
      <c r="H18">
        <v>-54.4691186006648</v>
      </c>
      <c r="I18">
        <v>36.8597697944587</v>
      </c>
      <c r="J18">
        <v>16.538997791896001</v>
      </c>
      <c r="K18">
        <v>7.6090459065848801</v>
      </c>
      <c r="L18">
        <v>1.2057310332263733E-3</v>
      </c>
      <c r="M18">
        <v>1.9068583439123634E-4</v>
      </c>
      <c r="N18" s="1">
        <v>6.46492584972805E-6</v>
      </c>
      <c r="O18" s="1">
        <v>1.17485811145053E-6</v>
      </c>
      <c r="P18" s="1">
        <v>-4.4931085814995401E-6</v>
      </c>
      <c r="AE18">
        <v>100</v>
      </c>
      <c r="AJ18">
        <v>1</v>
      </c>
    </row>
    <row r="19" spans="1:36" x14ac:dyDescent="0.2">
      <c r="A19">
        <v>18</v>
      </c>
      <c r="B19">
        <v>746</v>
      </c>
      <c r="C19">
        <v>275</v>
      </c>
      <c r="D19">
        <v>0.29436344012167098</v>
      </c>
      <c r="E19">
        <v>4.2769079521408004</v>
      </c>
      <c r="F19">
        <v>0.56130541879990004</v>
      </c>
      <c r="G19">
        <v>-92.270868214617593</v>
      </c>
      <c r="H19">
        <v>-54.62688818530016</v>
      </c>
      <c r="I19">
        <v>36.939044830181899</v>
      </c>
      <c r="J19">
        <v>16.5887659854289</v>
      </c>
      <c r="K19">
        <v>7.6195736027010899</v>
      </c>
      <c r="L19">
        <v>1.2063323309982942E-3</v>
      </c>
      <c r="M19">
        <v>1.9032491264064461E-4</v>
      </c>
      <c r="N19" s="1">
        <v>6.52843759663336E-6</v>
      </c>
      <c r="O19" s="1">
        <v>1.17365789798396E-6</v>
      </c>
      <c r="P19" s="1">
        <v>-4.50208649029665E-6</v>
      </c>
      <c r="AE19">
        <v>100</v>
      </c>
      <c r="AJ19">
        <v>1</v>
      </c>
    </row>
    <row r="20" spans="1:36" x14ac:dyDescent="0.2">
      <c r="A20">
        <v>19</v>
      </c>
      <c r="B20">
        <v>745</v>
      </c>
      <c r="C20">
        <v>275</v>
      </c>
      <c r="D20">
        <v>0.29360163040809401</v>
      </c>
      <c r="E20">
        <v>4.28789681942117</v>
      </c>
      <c r="F20">
        <v>0.56198311587393401</v>
      </c>
      <c r="G20">
        <v>-92.470918445957494</v>
      </c>
      <c r="H20">
        <v>-54.783878542879528</v>
      </c>
      <c r="I20">
        <v>37.017623828458497</v>
      </c>
      <c r="J20">
        <v>16.638291836084001</v>
      </c>
      <c r="K20">
        <v>7.6299388688094503</v>
      </c>
      <c r="L20">
        <v>1.2069279007246572E-3</v>
      </c>
      <c r="M20">
        <v>1.8996330987391323E-4</v>
      </c>
      <c r="N20" s="1">
        <v>6.5921188601919497E-6</v>
      </c>
      <c r="O20" s="1">
        <v>1.1724160175181499E-6</v>
      </c>
      <c r="P20" s="1">
        <v>-4.5109257195573097E-6</v>
      </c>
      <c r="AE20">
        <v>100</v>
      </c>
      <c r="AJ20">
        <v>1</v>
      </c>
    </row>
    <row r="21" spans="1:36" x14ac:dyDescent="0.2">
      <c r="A21">
        <v>20</v>
      </c>
      <c r="B21">
        <v>744</v>
      </c>
      <c r="C21">
        <v>275</v>
      </c>
      <c r="D21">
        <v>0.29283832276459099</v>
      </c>
      <c r="E21">
        <v>4.2988179177041301</v>
      </c>
      <c r="F21">
        <v>0.56266196465644502</v>
      </c>
      <c r="G21">
        <v>-92.669334392339351</v>
      </c>
      <c r="H21">
        <v>-54.940094970573647</v>
      </c>
      <c r="I21">
        <v>37.0955114480223</v>
      </c>
      <c r="J21">
        <v>16.6875765389279</v>
      </c>
      <c r="K21">
        <v>7.6401430836522701</v>
      </c>
      <c r="L21">
        <v>1.207517708517558E-3</v>
      </c>
      <c r="M21">
        <v>1.896010303611445E-4</v>
      </c>
      <c r="N21" s="1">
        <v>6.6559662443751503E-6</v>
      </c>
      <c r="O21" s="1">
        <v>1.1711328768539599E-6</v>
      </c>
      <c r="P21" s="1">
        <v>-4.5196263591522503E-6</v>
      </c>
      <c r="AE21">
        <v>100</v>
      </c>
      <c r="AJ21">
        <v>1</v>
      </c>
    </row>
    <row r="22" spans="1:36" x14ac:dyDescent="0.2">
      <c r="A22">
        <v>21</v>
      </c>
      <c r="B22">
        <v>743</v>
      </c>
      <c r="C22">
        <v>275</v>
      </c>
      <c r="D22">
        <v>0.29207351276878402</v>
      </c>
      <c r="E22">
        <v>4.3096717144895802</v>
      </c>
      <c r="F22">
        <v>0.563341964088373</v>
      </c>
      <c r="G22">
        <v>-92.866128030186758</v>
      </c>
      <c r="H22">
        <v>-55.095542695021209</v>
      </c>
      <c r="I22">
        <v>37.172712290473498</v>
      </c>
      <c r="J22">
        <v>16.736621267647699</v>
      </c>
      <c r="K22">
        <v>7.6501876111141298</v>
      </c>
      <c r="L22">
        <v>1.2081017206166229E-3</v>
      </c>
      <c r="M22">
        <v>1.8923807842155036E-4</v>
      </c>
      <c r="N22" s="1">
        <v>6.7199763296340499E-6</v>
      </c>
      <c r="O22" s="1">
        <v>1.1698088807783401E-6</v>
      </c>
      <c r="P22" s="1">
        <v>-4.5281884991492099E-6</v>
      </c>
      <c r="AE22">
        <v>100</v>
      </c>
      <c r="AJ22">
        <v>1</v>
      </c>
    </row>
    <row r="23" spans="1:36" x14ac:dyDescent="0.2">
      <c r="A23">
        <v>22</v>
      </c>
      <c r="B23">
        <v>742</v>
      </c>
      <c r="C23">
        <v>275</v>
      </c>
      <c r="D23">
        <v>0.291307195980888</v>
      </c>
      <c r="E23">
        <v>4.3204586714787103</v>
      </c>
      <c r="F23">
        <v>0.56402311308061603</v>
      </c>
      <c r="G23">
        <v>-93.061311193607523</v>
      </c>
      <c r="H23">
        <v>-55.250226874967531</v>
      </c>
      <c r="I23">
        <v>37.249230902229499</v>
      </c>
      <c r="J23">
        <v>16.785427175368898</v>
      </c>
      <c r="K23">
        <v>7.6600738006656499</v>
      </c>
      <c r="L23">
        <v>1.2086799033924221E-3</v>
      </c>
      <c r="M23">
        <v>1.8887445842331581E-4</v>
      </c>
      <c r="N23" s="1">
        <v>6.7841456734049003E-6</v>
      </c>
      <c r="O23" s="1">
        <v>1.1684444321379001E-6</v>
      </c>
      <c r="P23" s="1">
        <v>-4.5366122301085003E-6</v>
      </c>
      <c r="AE23">
        <v>100</v>
      </c>
      <c r="AJ23">
        <v>1</v>
      </c>
    </row>
    <row r="24" spans="1:36" x14ac:dyDescent="0.2">
      <c r="A24">
        <v>23</v>
      </c>
      <c r="B24">
        <v>741</v>
      </c>
      <c r="C24">
        <v>275</v>
      </c>
      <c r="D24">
        <v>0.29053936794360102</v>
      </c>
      <c r="E24">
        <v>4.3311792446715804</v>
      </c>
      <c r="F24">
        <v>0.56470541051391998</v>
      </c>
      <c r="G24">
        <v>-93.254895576758088</v>
      </c>
      <c r="H24">
        <v>-55.404152602406107</v>
      </c>
      <c r="I24">
        <v>37.3250717754579</v>
      </c>
      <c r="J24">
        <v>16.8339953950174</v>
      </c>
      <c r="K24">
        <v>7.6698029875965199</v>
      </c>
      <c r="L24">
        <v>1.2092522233491973E-3</v>
      </c>
      <c r="M24">
        <v>1.8851017478340302E-4</v>
      </c>
      <c r="N24" s="1">
        <v>6.8484708104494801E-6</v>
      </c>
      <c r="O24" s="1">
        <v>1.1670399318787401E-6</v>
      </c>
      <c r="P24" s="1">
        <v>-4.5448976432517199E-6</v>
      </c>
      <c r="AE24">
        <v>100</v>
      </c>
      <c r="AJ24">
        <v>1</v>
      </c>
    </row>
    <row r="25" spans="1:36" x14ac:dyDescent="0.2">
      <c r="A25">
        <v>24</v>
      </c>
      <c r="B25">
        <v>740</v>
      </c>
      <c r="C25">
        <v>275</v>
      </c>
      <c r="D25">
        <v>0.28977002418201098</v>
      </c>
      <c r="E25">
        <v>5.2893071466118302</v>
      </c>
      <c r="F25">
        <v>0.56538885523881099</v>
      </c>
      <c r="G25">
        <v>-113.8388364757097</v>
      </c>
      <c r="H25">
        <v>-67.681022231491383</v>
      </c>
      <c r="I25">
        <v>45.561704693844199</v>
      </c>
      <c r="J25">
        <v>20.5663817268426</v>
      </c>
      <c r="K25">
        <v>9.3551669750860498</v>
      </c>
      <c r="L25">
        <v>1.2098186471282172E-3</v>
      </c>
      <c r="M25">
        <v>1.881452319673947E-4</v>
      </c>
      <c r="N25" s="1">
        <v>8.4214890695520798E-6</v>
      </c>
      <c r="O25" s="1">
        <v>1.41995162607203E-6</v>
      </c>
      <c r="P25" s="1">
        <v>-5.5466084613863398E-6</v>
      </c>
      <c r="AE25">
        <v>100</v>
      </c>
      <c r="AJ25">
        <v>1</v>
      </c>
    </row>
    <row r="26" spans="1:36" x14ac:dyDescent="0.2">
      <c r="A26">
        <v>25</v>
      </c>
      <c r="B26">
        <v>739</v>
      </c>
      <c r="C26">
        <v>275</v>
      </c>
      <c r="D26">
        <v>0.28899916020352701</v>
      </c>
      <c r="E26">
        <v>6.4393561977002003</v>
      </c>
      <c r="F26">
        <v>0.56607344607547905</v>
      </c>
      <c r="G26">
        <v>-138.53525125891633</v>
      </c>
      <c r="H26">
        <v>-82.421886126466504</v>
      </c>
      <c r="I26">
        <v>55.443412663624798</v>
      </c>
      <c r="J26">
        <v>25.048352305467901</v>
      </c>
      <c r="K26">
        <v>11.3754782923373</v>
      </c>
      <c r="L26">
        <v>1.2103791415105361E-3</v>
      </c>
      <c r="M26">
        <v>1.8777963448927704E-4</v>
      </c>
      <c r="N26" s="1">
        <v>1.0323235398261099E-5</v>
      </c>
      <c r="O26" s="1">
        <v>1.7222898945235199E-6</v>
      </c>
      <c r="P26" s="1">
        <v>-6.7480229663172597E-6</v>
      </c>
      <c r="AE26">
        <v>100</v>
      </c>
      <c r="AJ26">
        <v>1</v>
      </c>
    </row>
    <row r="27" spans="1:36" x14ac:dyDescent="0.2">
      <c r="A27">
        <v>26</v>
      </c>
      <c r="B27">
        <v>738</v>
      </c>
      <c r="C27">
        <v>275</v>
      </c>
      <c r="D27">
        <v>0.28822677149780002</v>
      </c>
      <c r="E27">
        <v>9.4972591444357608</v>
      </c>
      <c r="F27">
        <v>0.56675918181370799</v>
      </c>
      <c r="G27">
        <v>-204.24071888265343</v>
      </c>
      <c r="H27">
        <v>-121.59910508374243</v>
      </c>
      <c r="I27">
        <v>81.735695706662597</v>
      </c>
      <c r="J27">
        <v>36.958314411693202</v>
      </c>
      <c r="K27">
        <v>16.757133274917901</v>
      </c>
      <c r="L27">
        <v>1.2109336734201098E-3</v>
      </c>
      <c r="M27">
        <v>1.8741338691124582E-4</v>
      </c>
      <c r="N27" s="1">
        <v>1.5329772008291999E-5</v>
      </c>
      <c r="O27" s="1">
        <v>2.5307250212430199E-6</v>
      </c>
      <c r="P27" s="1">
        <v>-9.9456313423600293E-6</v>
      </c>
      <c r="AE27">
        <v>100</v>
      </c>
      <c r="AJ27">
        <v>1</v>
      </c>
    </row>
    <row r="28" spans="1:36" x14ac:dyDescent="0.2">
      <c r="A28">
        <v>27</v>
      </c>
      <c r="B28">
        <v>737</v>
      </c>
      <c r="C28">
        <v>275</v>
      </c>
      <c r="D28">
        <v>0.28745285353660599</v>
      </c>
      <c r="E28">
        <v>10.1299115165366</v>
      </c>
      <c r="F28">
        <v>0.56744606121277097</v>
      </c>
      <c r="G28">
        <v>-217.75889114447966</v>
      </c>
      <c r="H28">
        <v>-129.73876114226252</v>
      </c>
      <c r="I28">
        <v>87.141441330133901</v>
      </c>
      <c r="J28">
        <v>39.436304612572002</v>
      </c>
      <c r="K28">
        <v>17.8517610905369</v>
      </c>
      <c r="L28">
        <v>1.2114822099271987E-3</v>
      </c>
      <c r="M28">
        <v>1.8704649384357154E-4</v>
      </c>
      <c r="N28" s="1">
        <v>1.6462202835738198E-5</v>
      </c>
      <c r="O28" s="1">
        <v>2.6892365119248702E-6</v>
      </c>
      <c r="P28" s="1">
        <v>-1.0600692845715099E-5</v>
      </c>
      <c r="AE28">
        <v>100</v>
      </c>
      <c r="AJ28">
        <v>1</v>
      </c>
    </row>
    <row r="29" spans="1:36" x14ac:dyDescent="0.2">
      <c r="A29">
        <v>28</v>
      </c>
      <c r="B29">
        <v>736</v>
      </c>
      <c r="C29">
        <v>275</v>
      </c>
      <c r="D29">
        <v>0.28667740177377199</v>
      </c>
      <c r="E29">
        <v>10.3497826489969</v>
      </c>
      <c r="F29">
        <v>0.56813408300133506</v>
      </c>
      <c r="G29">
        <v>-222.39636513101252</v>
      </c>
      <c r="H29">
        <v>-132.5950593763842</v>
      </c>
      <c r="I29">
        <v>88.992943106386093</v>
      </c>
      <c r="J29">
        <v>40.3086282001398</v>
      </c>
      <c r="K29">
        <v>18.217147956202702</v>
      </c>
      <c r="L29">
        <v>1.2120247182506815E-3</v>
      </c>
      <c r="M29">
        <v>1.8667895994427743E-4</v>
      </c>
      <c r="N29" s="1">
        <v>1.6933213844415098E-5</v>
      </c>
      <c r="O29" s="1">
        <v>2.7373167186582999E-6</v>
      </c>
      <c r="P29" s="1">
        <v>-1.0823031022041701E-5</v>
      </c>
      <c r="AE29">
        <v>100</v>
      </c>
      <c r="AJ29">
        <v>1</v>
      </c>
    </row>
    <row r="30" spans="1:36" x14ac:dyDescent="0.2">
      <c r="A30">
        <v>29</v>
      </c>
      <c r="B30">
        <v>763</v>
      </c>
      <c r="C30">
        <v>250</v>
      </c>
      <c r="D30">
        <v>0.33362978333253301</v>
      </c>
      <c r="E30">
        <v>4.4984803082935203</v>
      </c>
      <c r="F30">
        <v>0.521433177309651</v>
      </c>
      <c r="G30">
        <v>-97.923947348183006</v>
      </c>
      <c r="H30">
        <v>-57.101208460970817</v>
      </c>
      <c r="I30">
        <v>39.400968193681301</v>
      </c>
      <c r="J30">
        <v>17.484752097068998</v>
      </c>
      <c r="K30">
        <v>8.6271463037767298</v>
      </c>
      <c r="L30">
        <v>1.2896603047046033E-3</v>
      </c>
      <c r="M30">
        <v>2.3142400221639906E-4</v>
      </c>
      <c r="N30" s="1">
        <v>6.3955857918781597E-6</v>
      </c>
      <c r="O30" s="1">
        <v>1.8535815308068599E-6</v>
      </c>
      <c r="P30" s="1">
        <v>-6.0825531002678298E-6</v>
      </c>
      <c r="AE30">
        <v>100</v>
      </c>
      <c r="AJ30">
        <v>1</v>
      </c>
    </row>
    <row r="31" spans="1:36" x14ac:dyDescent="0.2">
      <c r="A31">
        <v>30</v>
      </c>
      <c r="B31">
        <v>762</v>
      </c>
      <c r="C31">
        <v>250</v>
      </c>
      <c r="D31">
        <v>0.33291841762063901</v>
      </c>
      <c r="E31">
        <v>4.5023177049309799</v>
      </c>
      <c r="F31">
        <v>0.52210632293512205</v>
      </c>
      <c r="G31">
        <v>-97.968054544891828</v>
      </c>
      <c r="H31">
        <v>-57.167422280792863</v>
      </c>
      <c r="I31">
        <v>39.417677405944701</v>
      </c>
      <c r="J31">
        <v>17.508410936532002</v>
      </c>
      <c r="K31">
        <v>8.6233732616382195</v>
      </c>
      <c r="L31">
        <v>1.2905791835346745E-3</v>
      </c>
      <c r="M31">
        <v>2.310168466174833E-4</v>
      </c>
      <c r="N31" s="1">
        <v>6.4652591759495303E-6</v>
      </c>
      <c r="O31" s="1">
        <v>1.84903103432776E-6</v>
      </c>
      <c r="P31" s="1">
        <v>-6.0869494569862597E-6</v>
      </c>
      <c r="AE31">
        <v>100</v>
      </c>
      <c r="AJ31">
        <v>1</v>
      </c>
    </row>
    <row r="32" spans="1:36" x14ac:dyDescent="0.2">
      <c r="A32">
        <v>31</v>
      </c>
      <c r="B32">
        <v>761</v>
      </c>
      <c r="C32">
        <v>250</v>
      </c>
      <c r="D32">
        <v>0.33220567615916602</v>
      </c>
      <c r="E32">
        <v>4.5137457940483401</v>
      </c>
      <c r="F32">
        <v>0.52278081635030804</v>
      </c>
      <c r="G32">
        <v>-98.177214478786397</v>
      </c>
      <c r="H32">
        <v>-57.330085751952204</v>
      </c>
      <c r="I32">
        <v>39.500760788428401</v>
      </c>
      <c r="J32">
        <v>17.5616072363634</v>
      </c>
      <c r="K32">
        <v>8.6341075511534093</v>
      </c>
      <c r="L32">
        <v>1.2914920031927059E-3</v>
      </c>
      <c r="M32">
        <v>2.3060856165234772E-4</v>
      </c>
      <c r="N32" s="1">
        <v>6.5461985261212799E-6</v>
      </c>
      <c r="O32" s="1">
        <v>1.84756980535535E-6</v>
      </c>
      <c r="P32" s="1">
        <v>-6.1015302385026299E-6</v>
      </c>
      <c r="AE32">
        <v>100</v>
      </c>
      <c r="AJ32">
        <v>1</v>
      </c>
    </row>
    <row r="33" spans="1:36" x14ac:dyDescent="0.2">
      <c r="A33">
        <v>32</v>
      </c>
      <c r="B33">
        <v>760</v>
      </c>
      <c r="C33">
        <v>250</v>
      </c>
      <c r="D33">
        <v>0.33149155495329902</v>
      </c>
      <c r="E33">
        <v>4.5251076313348397</v>
      </c>
      <c r="F33">
        <v>0.523456657347251</v>
      </c>
      <c r="G33">
        <v>-98.384750929784857</v>
      </c>
      <c r="H33">
        <v>-57.492005162372365</v>
      </c>
      <c r="I33">
        <v>39.583153764576799</v>
      </c>
      <c r="J33">
        <v>17.614579128530899</v>
      </c>
      <c r="K33">
        <v>8.6446653563772902</v>
      </c>
      <c r="L33">
        <v>1.2923987114362441E-3</v>
      </c>
      <c r="M33">
        <v>2.3019915088390777E-4</v>
      </c>
      <c r="N33" s="1">
        <v>6.6275130126184398E-6</v>
      </c>
      <c r="O33" s="1">
        <v>1.84604314475743E-6</v>
      </c>
      <c r="P33" s="1">
        <v>-6.115941218807E-6</v>
      </c>
      <c r="AE33">
        <v>100</v>
      </c>
      <c r="AJ33">
        <v>1</v>
      </c>
    </row>
    <row r="34" spans="1:36" x14ac:dyDescent="0.2">
      <c r="A34">
        <v>33</v>
      </c>
      <c r="B34">
        <v>759</v>
      </c>
      <c r="C34">
        <v>250</v>
      </c>
      <c r="D34">
        <v>0.33077604999273502</v>
      </c>
      <c r="E34">
        <v>4.5364037385251903</v>
      </c>
      <c r="F34">
        <v>0.52413384568172094</v>
      </c>
      <c r="G34">
        <v>-98.590677129105117</v>
      </c>
      <c r="H34">
        <v>-57.653186424347986</v>
      </c>
      <c r="I34">
        <v>39.6648614189249</v>
      </c>
      <c r="J34">
        <v>17.667327885486301</v>
      </c>
      <c r="K34">
        <v>8.6550482780306908</v>
      </c>
      <c r="L34">
        <v>1.2932992560888326E-3</v>
      </c>
      <c r="M34">
        <v>2.2978861796121934E-4</v>
      </c>
      <c r="N34" s="1">
        <v>6.7091985412209796E-6</v>
      </c>
      <c r="O34" s="1">
        <v>1.8444515832400899E-6</v>
      </c>
      <c r="P34" s="1">
        <v>-6.1301821065969603E-6</v>
      </c>
      <c r="AE34">
        <v>100</v>
      </c>
      <c r="AJ34">
        <v>1</v>
      </c>
    </row>
    <row r="35" spans="1:36" x14ac:dyDescent="0.2">
      <c r="A35">
        <v>34</v>
      </c>
      <c r="B35">
        <v>758</v>
      </c>
      <c r="C35">
        <v>250</v>
      </c>
      <c r="D35">
        <v>0.330059157251614</v>
      </c>
      <c r="E35">
        <v>4.5476346316216496</v>
      </c>
      <c r="F35">
        <v>0.52481238107299899</v>
      </c>
      <c r="G35">
        <v>-98.795006163977249</v>
      </c>
      <c r="H35">
        <v>-57.813635384253679</v>
      </c>
      <c r="I35">
        <v>39.745888780018902</v>
      </c>
      <c r="J35">
        <v>17.719854758698901</v>
      </c>
      <c r="K35">
        <v>8.6652579009737405</v>
      </c>
      <c r="L35">
        <v>1.2941935850456407E-3</v>
      </c>
      <c r="M35">
        <v>2.2937696661968069E-4</v>
      </c>
      <c r="N35" s="1">
        <v>6.7912509617481698E-6</v>
      </c>
      <c r="O35" s="1">
        <v>1.8427956495504001E-6</v>
      </c>
      <c r="P35" s="1">
        <v>-6.1442526091078003E-6</v>
      </c>
      <c r="AE35">
        <v>100</v>
      </c>
      <c r="AJ35">
        <v>1</v>
      </c>
    </row>
    <row r="36" spans="1:36" x14ac:dyDescent="0.2">
      <c r="A36">
        <v>35</v>
      </c>
      <c r="B36">
        <v>757</v>
      </c>
      <c r="C36">
        <v>250</v>
      </c>
      <c r="D36">
        <v>0.32934087268844398</v>
      </c>
      <c r="E36">
        <v>4.5588008210616904</v>
      </c>
      <c r="F36">
        <v>0.52549226320365605</v>
      </c>
      <c r="G36">
        <v>-98.997750981550084</v>
      </c>
      <c r="H36">
        <v>-57.973357824571458</v>
      </c>
      <c r="I36">
        <v>39.826240821968497</v>
      </c>
      <c r="J36">
        <v>17.772160979291701</v>
      </c>
      <c r="K36">
        <v>8.6752957945927207</v>
      </c>
      <c r="L36">
        <v>1.2950816462789501E-3</v>
      </c>
      <c r="M36">
        <v>2.2896420068120723E-4</v>
      </c>
      <c r="N36" s="1">
        <v>6.8736660684188003E-6</v>
      </c>
      <c r="O36" s="1">
        <v>1.84107587057747E-6</v>
      </c>
      <c r="P36" s="1">
        <v>-6.1581524325016104E-6</v>
      </c>
      <c r="AE36">
        <v>100</v>
      </c>
      <c r="AJ36">
        <v>1</v>
      </c>
    </row>
    <row r="37" spans="1:36" x14ac:dyDescent="0.2">
      <c r="A37">
        <v>36</v>
      </c>
      <c r="B37">
        <v>756</v>
      </c>
      <c r="C37">
        <v>250</v>
      </c>
      <c r="D37">
        <v>0.32862119224602798</v>
      </c>
      <c r="E37">
        <v>4.5699028116634999</v>
      </c>
      <c r="F37">
        <v>0.52617349171939898</v>
      </c>
      <c r="G37">
        <v>-99.198924387969356</v>
      </c>
      <c r="H37">
        <v>-58.132359463097274</v>
      </c>
      <c r="I37">
        <v>39.905922464057802</v>
      </c>
      <c r="J37">
        <v>17.824247757828399</v>
      </c>
      <c r="K37">
        <v>8.6851635127612195</v>
      </c>
      <c r="L37">
        <v>1.2959633878440583E-3</v>
      </c>
      <c r="M37">
        <v>2.2855032405439386E-4</v>
      </c>
      <c r="N37" s="1">
        <v>6.9564395998977399E-6</v>
      </c>
      <c r="O37" s="1">
        <v>1.83929277136197E-6</v>
      </c>
      <c r="P37" s="1">
        <v>-6.1718812819568299E-6</v>
      </c>
      <c r="AE37">
        <v>100</v>
      </c>
      <c r="AJ37">
        <v>1</v>
      </c>
    </row>
    <row r="38" spans="1:36" x14ac:dyDescent="0.2">
      <c r="A38">
        <v>37</v>
      </c>
      <c r="B38">
        <v>755</v>
      </c>
      <c r="C38">
        <v>250</v>
      </c>
      <c r="D38">
        <v>0.32790011185138401</v>
      </c>
      <c r="E38">
        <v>4.5809411029038802</v>
      </c>
      <c r="F38">
        <v>0.52685606622883996</v>
      </c>
      <c r="G38">
        <v>-99.398539054667793</v>
      </c>
      <c r="H38">
        <v>-58.290645956374867</v>
      </c>
      <c r="I38">
        <v>39.984938573256798</v>
      </c>
      <c r="J38">
        <v>17.876116285379901</v>
      </c>
      <c r="K38">
        <v>8.6948625944341806</v>
      </c>
      <c r="L38">
        <v>1.2968387578846607E-3</v>
      </c>
      <c r="M38">
        <v>2.2813534073467382E-4</v>
      </c>
      <c r="N38" s="1">
        <v>7.0395672398646196E-6</v>
      </c>
      <c r="O38" s="1">
        <v>1.83744687523962E-6</v>
      </c>
      <c r="P38" s="1">
        <v>-6.1854388622077397E-6</v>
      </c>
      <c r="AE38">
        <v>100</v>
      </c>
      <c r="AJ38">
        <v>1</v>
      </c>
    </row>
    <row r="39" spans="1:36" x14ac:dyDescent="0.2">
      <c r="A39">
        <v>38</v>
      </c>
      <c r="B39">
        <v>754</v>
      </c>
      <c r="C39">
        <v>250</v>
      </c>
      <c r="D39">
        <v>0.32717762741566497</v>
      </c>
      <c r="E39">
        <v>4.5919161887368203</v>
      </c>
      <c r="F39">
        <v>0.52753998630330401</v>
      </c>
      <c r="G39">
        <v>-99.596607514678396</v>
      </c>
      <c r="H39">
        <v>-58.448222897287721</v>
      </c>
      <c r="I39">
        <v>40.0632939627219</v>
      </c>
      <c r="J39">
        <v>17.9277677328149</v>
      </c>
      <c r="K39">
        <v>8.7043945633663302</v>
      </c>
      <c r="L39">
        <v>1.297707704638724E-3</v>
      </c>
      <c r="M39">
        <v>2.2771925480444128E-4</v>
      </c>
      <c r="N39" s="1">
        <v>7.1230446169039403E-6</v>
      </c>
      <c r="O39" s="1">
        <v>1.83553870379744E-6</v>
      </c>
      <c r="P39" s="1">
        <v>-6.1988248774630502E-6</v>
      </c>
      <c r="AE39">
        <v>100</v>
      </c>
      <c r="AJ39">
        <v>1</v>
      </c>
    </row>
    <row r="40" spans="1:36" x14ac:dyDescent="0.2">
      <c r="A40">
        <v>39</v>
      </c>
      <c r="B40">
        <v>753</v>
      </c>
      <c r="C40">
        <v>250</v>
      </c>
      <c r="D40">
        <v>0.32645373483409301</v>
      </c>
      <c r="E40">
        <v>4.6028285579317902</v>
      </c>
      <c r="F40">
        <v>0.528225251476656</v>
      </c>
      <c r="G40">
        <v>-99.793142170226687</v>
      </c>
      <c r="H40">
        <v>-58.605095819267419</v>
      </c>
      <c r="I40">
        <v>40.140993394831298</v>
      </c>
      <c r="J40">
        <v>17.9792032521081</v>
      </c>
      <c r="K40">
        <v>8.7137609288169404</v>
      </c>
      <c r="L40">
        <v>1.2985701764441145E-3</v>
      </c>
      <c r="M40">
        <v>2.2730207043318771E-4</v>
      </c>
      <c r="N40" s="1">
        <v>7.2068673052167403E-6</v>
      </c>
      <c r="O40" s="1">
        <v>1.83356877703912E-6</v>
      </c>
      <c r="P40" s="1">
        <v>-6.2120390320295997E-6</v>
      </c>
      <c r="AE40">
        <v>100</v>
      </c>
      <c r="AJ40">
        <v>1</v>
      </c>
    </row>
    <row r="41" spans="1:36" x14ac:dyDescent="0.2">
      <c r="A41">
        <v>40</v>
      </c>
      <c r="B41">
        <v>752</v>
      </c>
      <c r="C41">
        <v>250</v>
      </c>
      <c r="D41">
        <v>0.32572842998585799</v>
      </c>
      <c r="E41">
        <v>4.6136786938891801</v>
      </c>
      <c r="F41">
        <v>0.52891186124509804</v>
      </c>
      <c r="G41">
        <v>-99.988155288971925</v>
      </c>
      <c r="H41">
        <v>-58.761270193848475</v>
      </c>
      <c r="I41">
        <v>40.218041579656003</v>
      </c>
      <c r="J41">
        <v>18.030423975618799</v>
      </c>
      <c r="K41">
        <v>8.7229631852615999</v>
      </c>
      <c r="L41">
        <v>1.2994261217443425E-3</v>
      </c>
      <c r="M41">
        <v>2.268837918776033E-4</v>
      </c>
      <c r="N41" s="1">
        <v>7.2910308245363101E-6</v>
      </c>
      <c r="O41" s="1">
        <v>1.83153761333874E-6</v>
      </c>
      <c r="P41" s="1">
        <v>-6.22508103022759E-6</v>
      </c>
      <c r="AE41">
        <v>100</v>
      </c>
      <c r="AJ41">
        <v>1</v>
      </c>
    </row>
    <row r="42" spans="1:36" x14ac:dyDescent="0.2">
      <c r="A42">
        <v>41</v>
      </c>
      <c r="B42">
        <v>751</v>
      </c>
      <c r="C42">
        <v>250</v>
      </c>
      <c r="D42">
        <v>0.32500170873407402</v>
      </c>
      <c r="E42">
        <v>4.6244670749079102</v>
      </c>
      <c r="F42">
        <v>0.52959981506698395</v>
      </c>
      <c r="G42">
        <v>-100.18165901005355</v>
      </c>
      <c r="H42">
        <v>-58.916751433978675</v>
      </c>
      <c r="I42">
        <v>40.294443177376301</v>
      </c>
      <c r="J42">
        <v>18.081431017127802</v>
      </c>
      <c r="K42">
        <v>8.7320028129598395</v>
      </c>
      <c r="L42">
        <v>1.300275489094248E-3</v>
      </c>
      <c r="M42">
        <v>2.2646442348167082E-4</v>
      </c>
      <c r="N42" s="1">
        <v>7.3755306407675399E-6</v>
      </c>
      <c r="O42" s="1">
        <v>1.8294457295747701E-6</v>
      </c>
      <c r="P42" s="1">
        <v>-6.23795057691787E-6</v>
      </c>
      <c r="AE42">
        <v>100</v>
      </c>
      <c r="AJ42">
        <v>1</v>
      </c>
    </row>
    <row r="43" spans="1:36" x14ac:dyDescent="0.2">
      <c r="A43">
        <v>42</v>
      </c>
      <c r="B43">
        <v>750</v>
      </c>
      <c r="C43">
        <v>250</v>
      </c>
      <c r="D43">
        <v>0.324273566925672</v>
      </c>
      <c r="E43">
        <v>4.6351941740757603</v>
      </c>
      <c r="F43">
        <v>0.53028911236263798</v>
      </c>
      <c r="G43">
        <v>-100.37366534195394</v>
      </c>
      <c r="H43">
        <v>-59.071544892530454</v>
      </c>
      <c r="I43">
        <v>40.3702027974035</v>
      </c>
      <c r="J43">
        <v>18.1322254714064</v>
      </c>
      <c r="K43">
        <v>8.7408812778075298</v>
      </c>
      <c r="L43">
        <v>1.3011182271658577E-3</v>
      </c>
      <c r="M43">
        <v>2.260439696767572E-4</v>
      </c>
      <c r="N43" s="1">
        <v>7.4603621660556703E-6</v>
      </c>
      <c r="O43" s="1">
        <v>1.82729364111284E-6</v>
      </c>
      <c r="P43" s="1">
        <v>-6.2506473775210101E-6</v>
      </c>
      <c r="AE43">
        <v>100</v>
      </c>
      <c r="AJ43">
        <v>1</v>
      </c>
    </row>
    <row r="44" spans="1:36" x14ac:dyDescent="0.2">
      <c r="A44">
        <v>43</v>
      </c>
      <c r="B44">
        <v>749</v>
      </c>
      <c r="C44">
        <v>250</v>
      </c>
      <c r="D44">
        <v>0.32354400039133302</v>
      </c>
      <c r="E44">
        <v>4.6458604595496604</v>
      </c>
      <c r="F44">
        <v>0.53097975251415996</v>
      </c>
      <c r="G44">
        <v>-100.56418616880752</v>
      </c>
      <c r="H44">
        <v>-59.225655865777284</v>
      </c>
      <c r="I44">
        <v>40.445325000903701</v>
      </c>
      <c r="J44">
        <v>18.182808415307001</v>
      </c>
      <c r="K44">
        <v>8.7496000319254392</v>
      </c>
      <c r="L44">
        <v>1.301954284753894E-3</v>
      </c>
      <c r="M44">
        <v>2.2562243498164988E-4</v>
      </c>
      <c r="N44" s="1">
        <v>7.5455207595004699E-6</v>
      </c>
      <c r="O44" s="1">
        <v>1.8250818619416E-6</v>
      </c>
      <c r="P44" s="1">
        <v>-6.2631711385617198E-6</v>
      </c>
      <c r="AE44">
        <v>100</v>
      </c>
      <c r="AJ44">
        <v>1</v>
      </c>
    </row>
    <row r="45" spans="1:36" x14ac:dyDescent="0.2">
      <c r="A45">
        <v>44</v>
      </c>
      <c r="B45">
        <v>748</v>
      </c>
      <c r="C45">
        <v>250</v>
      </c>
      <c r="D45">
        <v>0.32281300494540499</v>
      </c>
      <c r="E45">
        <v>4.6564663942987696</v>
      </c>
      <c r="F45">
        <v>0.53167173486526598</v>
      </c>
      <c r="G45">
        <v>-100.75323324507137</v>
      </c>
      <c r="H45">
        <v>-59.37908959002911</v>
      </c>
      <c r="I45">
        <v>40.519814298636703</v>
      </c>
      <c r="J45">
        <v>18.233180906760399</v>
      </c>
      <c r="K45">
        <v>8.7581605132324505</v>
      </c>
      <c r="L45">
        <v>1.3027836107818854E-3</v>
      </c>
      <c r="M45">
        <v>2.2519982400264784E-4</v>
      </c>
      <c r="N45" s="1">
        <v>7.63100172701322E-6</v>
      </c>
      <c r="O45" s="1">
        <v>1.8228109045961099E-6</v>
      </c>
      <c r="P45" s="1">
        <v>-6.2755215674899801E-6</v>
      </c>
      <c r="AE45">
        <v>100</v>
      </c>
      <c r="AJ45">
        <v>1</v>
      </c>
    </row>
    <row r="46" spans="1:36" x14ac:dyDescent="0.2">
      <c r="A46">
        <v>45</v>
      </c>
      <c r="B46">
        <v>747</v>
      </c>
      <c r="C46">
        <v>250</v>
      </c>
      <c r="D46">
        <v>0.32208057638582899</v>
      </c>
      <c r="E46">
        <v>4.6670124366607002</v>
      </c>
      <c r="F46">
        <v>0.53236505872108797</v>
      </c>
      <c r="G46">
        <v>-100.9408182077954</v>
      </c>
      <c r="H46">
        <v>-59.531851248631888</v>
      </c>
      <c r="I46">
        <v>40.593675155876198</v>
      </c>
      <c r="J46">
        <v>18.283343986945301</v>
      </c>
      <c r="K46">
        <v>8.7665641465507793</v>
      </c>
      <c r="L46">
        <v>1.3036061543077362E-3</v>
      </c>
      <c r="M46">
        <v>2.2477614143356757E-4</v>
      </c>
      <c r="N46" s="1">
        <v>7.7168003225143003E-6</v>
      </c>
      <c r="O46" s="1">
        <v>1.8204812803995601E-6</v>
      </c>
      <c r="P46" s="1">
        <v>-6.2876983735971903E-6</v>
      </c>
      <c r="AE46">
        <v>100</v>
      </c>
      <c r="AJ46">
        <v>1</v>
      </c>
    </row>
    <row r="47" spans="1:36" x14ac:dyDescent="0.2">
      <c r="A47">
        <v>46</v>
      </c>
      <c r="B47">
        <v>746</v>
      </c>
      <c r="C47">
        <v>250</v>
      </c>
      <c r="D47">
        <v>0.32134671049404001</v>
      </c>
      <c r="E47">
        <v>4.6774990397779703</v>
      </c>
      <c r="F47">
        <v>0.53305972334802598</v>
      </c>
      <c r="G47">
        <v>-101.12695256465481</v>
      </c>
      <c r="H47">
        <v>-59.683945964692953</v>
      </c>
      <c r="I47">
        <v>40.6669119875815</v>
      </c>
      <c r="J47">
        <v>18.3332986780858</v>
      </c>
      <c r="K47">
        <v>8.7748123426014395</v>
      </c>
      <c r="L47">
        <v>1.3044218645294641E-3</v>
      </c>
      <c r="M47">
        <v>2.2435139205577133E-4</v>
      </c>
      <c r="N47" s="1">
        <v>7.8029117473393593E-6</v>
      </c>
      <c r="O47" s="1">
        <v>1.8180934992647201E-6</v>
      </c>
      <c r="P47" s="1">
        <v>-6.29970126742417E-6</v>
      </c>
      <c r="AE47">
        <v>100</v>
      </c>
      <c r="AJ47">
        <v>1</v>
      </c>
    </row>
    <row r="48" spans="1:36" x14ac:dyDescent="0.2">
      <c r="A48">
        <v>47</v>
      </c>
      <c r="B48">
        <v>745</v>
      </c>
      <c r="C48">
        <v>250</v>
      </c>
      <c r="D48">
        <v>0.32061140303491598</v>
      </c>
      <c r="E48">
        <v>4.6879266522000398</v>
      </c>
      <c r="F48">
        <v>0.53375572797354398</v>
      </c>
      <c r="G48">
        <v>-101.31164770720105</v>
      </c>
      <c r="H48">
        <v>-59.835378808670797</v>
      </c>
      <c r="I48">
        <v>40.739529163710898</v>
      </c>
      <c r="J48">
        <v>18.3830459858073</v>
      </c>
      <c r="K48">
        <v>8.7829064991924408</v>
      </c>
      <c r="L48">
        <v>1.3052306907911382E-3</v>
      </c>
      <c r="M48">
        <v>2.2392558073817514E-4</v>
      </c>
      <c r="N48" s="1">
        <v>7.8893311515477695E-6</v>
      </c>
      <c r="O48" s="1">
        <v>1.8156480699512E-6</v>
      </c>
      <c r="P48" s="1">
        <v>-6.3115299617397098E-6</v>
      </c>
      <c r="AE48">
        <v>100</v>
      </c>
      <c r="AJ48">
        <v>1</v>
      </c>
    </row>
    <row r="49" spans="1:36" x14ac:dyDescent="0.2">
      <c r="A49">
        <v>48</v>
      </c>
      <c r="B49">
        <v>744</v>
      </c>
      <c r="C49">
        <v>250</v>
      </c>
      <c r="D49">
        <v>0.31987464975667701</v>
      </c>
      <c r="E49">
        <v>4.6982957176354496</v>
      </c>
      <c r="F49">
        <v>0.53445307178602697</v>
      </c>
      <c r="G49">
        <v>-101.4949149057215</v>
      </c>
      <c r="H49">
        <v>-59.986154795126275</v>
      </c>
      <c r="I49">
        <v>40.8115310071408</v>
      </c>
      <c r="J49">
        <v>18.432586898168299</v>
      </c>
      <c r="K49">
        <v>8.7908480008071805</v>
      </c>
      <c r="L49">
        <v>1.3060325825887276E-3</v>
      </c>
      <c r="M49">
        <v>2.2349871243725614E-4</v>
      </c>
      <c r="N49" s="1">
        <v>7.9760536338734803E-6</v>
      </c>
      <c r="O49" s="1">
        <v>1.8131454999892299E-6</v>
      </c>
      <c r="P49" s="1">
        <v>-6.3231841713744904E-6</v>
      </c>
      <c r="AE49">
        <v>100</v>
      </c>
      <c r="AJ49">
        <v>1</v>
      </c>
    </row>
    <row r="50" spans="1:36" x14ac:dyDescent="0.2">
      <c r="A50">
        <v>49</v>
      </c>
      <c r="B50">
        <v>743</v>
      </c>
      <c r="C50">
        <v>250</v>
      </c>
      <c r="D50">
        <v>0.31913644639078897</v>
      </c>
      <c r="E50">
        <v>6.7943968533804497</v>
      </c>
      <c r="F50">
        <v>0.53515175393459302</v>
      </c>
      <c r="G50">
        <v>-146.71692540290312</v>
      </c>
      <c r="H50">
        <v>-86.775084907333309</v>
      </c>
      <c r="I50">
        <v>58.992991848322603</v>
      </c>
      <c r="J50">
        <v>26.6689328649062</v>
      </c>
      <c r="K50">
        <v>12.6962058956661</v>
      </c>
      <c r="L50">
        <v>1.3068274895755598E-3</v>
      </c>
      <c r="M50">
        <v>2.2307079219698698E-4</v>
      </c>
      <c r="N50" s="1">
        <v>1.16348062263159E-5</v>
      </c>
      <c r="O50" s="1">
        <v>2.6126288899254998E-6</v>
      </c>
      <c r="P50" s="1">
        <v>-9.1407546846026107E-6</v>
      </c>
      <c r="AE50">
        <v>100</v>
      </c>
      <c r="AJ50">
        <v>1</v>
      </c>
    </row>
    <row r="51" spans="1:36" x14ac:dyDescent="0.2">
      <c r="A51">
        <v>50</v>
      </c>
      <c r="B51">
        <v>742</v>
      </c>
      <c r="C51">
        <v>250</v>
      </c>
      <c r="D51">
        <v>0.318396788651924</v>
      </c>
      <c r="E51">
        <v>9.6146520975265606</v>
      </c>
      <c r="F51">
        <v>0.53585177352894597</v>
      </c>
      <c r="G51">
        <v>-207.5335241867032</v>
      </c>
      <c r="H51">
        <v>-122.83190754987821</v>
      </c>
      <c r="I51">
        <v>83.442957918694205</v>
      </c>
      <c r="J51">
        <v>37.756922865353303</v>
      </c>
      <c r="K51">
        <v>17.942745685448699</v>
      </c>
      <c r="L51">
        <v>1.3076153615686314E-3</v>
      </c>
      <c r="M51">
        <v>2.2264182514884908E-4</v>
      </c>
      <c r="N51" s="1">
        <v>1.66063721996943E-5</v>
      </c>
      <c r="O51" s="1">
        <v>3.6837312313122001E-6</v>
      </c>
      <c r="P51" s="1">
        <v>-1.2929876104045499E-5</v>
      </c>
      <c r="AE51">
        <v>100</v>
      </c>
      <c r="AJ51">
        <v>1</v>
      </c>
    </row>
    <row r="52" spans="1:36" x14ac:dyDescent="0.2">
      <c r="A52">
        <v>51</v>
      </c>
      <c r="B52">
        <v>741</v>
      </c>
      <c r="C52">
        <v>250</v>
      </c>
      <c r="D52">
        <v>0.31765567223783697</v>
      </c>
      <c r="E52">
        <v>10.1833608810655</v>
      </c>
      <c r="F52">
        <v>0.53655312963919899</v>
      </c>
      <c r="G52">
        <v>-219.72081880863016</v>
      </c>
      <c r="H52">
        <v>-130.13744168811198</v>
      </c>
      <c r="I52">
        <v>88.339204915391505</v>
      </c>
      <c r="J52">
        <v>40.009391008749397</v>
      </c>
      <c r="K52">
        <v>18.979221848753799</v>
      </c>
      <c r="L52">
        <v>1.3083961485540511E-3</v>
      </c>
      <c r="M52">
        <v>2.2221181651174392E-4</v>
      </c>
      <c r="N52" s="1">
        <v>1.77393591600736E-5</v>
      </c>
      <c r="O52" s="1">
        <v>3.8874611440031901E-6</v>
      </c>
      <c r="P52" s="1">
        <v>-1.36891197139388E-5</v>
      </c>
      <c r="AE52">
        <v>100</v>
      </c>
      <c r="AJ52">
        <v>1</v>
      </c>
    </row>
    <row r="53" spans="1:36" x14ac:dyDescent="0.2">
      <c r="A53">
        <v>52</v>
      </c>
      <c r="B53">
        <v>740</v>
      </c>
      <c r="C53">
        <v>250</v>
      </c>
      <c r="D53">
        <v>0.31691309282929903</v>
      </c>
      <c r="E53">
        <v>10.3840760401946</v>
      </c>
      <c r="F53">
        <v>0.53725582129572502</v>
      </c>
      <c r="G53">
        <v>-223.96147997405893</v>
      </c>
      <c r="H53">
        <v>-132.74327264969776</v>
      </c>
      <c r="I53">
        <v>90.040122124390905</v>
      </c>
      <c r="J53">
        <v>40.817457013873202</v>
      </c>
      <c r="K53">
        <v>19.327991672851301</v>
      </c>
      <c r="L53">
        <v>1.309169800692835E-3</v>
      </c>
      <c r="M53">
        <v>2.2178077159190821E-4</v>
      </c>
      <c r="N53" s="1">
        <v>1.82428683455225E-5</v>
      </c>
      <c r="O53" s="1">
        <v>3.9496293846508298E-6</v>
      </c>
      <c r="P53" s="1">
        <v>-1.39530696792026E-5</v>
      </c>
      <c r="AE53">
        <v>100</v>
      </c>
      <c r="AJ53">
        <v>1</v>
      </c>
    </row>
    <row r="54" spans="1:36" x14ac:dyDescent="0.2">
      <c r="A54">
        <v>53</v>
      </c>
      <c r="B54">
        <v>763</v>
      </c>
      <c r="C54">
        <v>225</v>
      </c>
      <c r="D54">
        <v>0.360170342131933</v>
      </c>
      <c r="E54">
        <v>4.9020798396410203</v>
      </c>
      <c r="F54">
        <v>0.48937938642464501</v>
      </c>
      <c r="G54">
        <v>-106.95200143443989</v>
      </c>
      <c r="H54">
        <v>-62.129197063960774</v>
      </c>
      <c r="I54">
        <v>43.261699214964501</v>
      </c>
      <c r="J54">
        <v>19.233889836629</v>
      </c>
      <c r="K54">
        <v>10.0169315987236</v>
      </c>
      <c r="L54">
        <v>1.3991225925674422E-3</v>
      </c>
      <c r="M54">
        <v>2.7853131249827378E-4</v>
      </c>
      <c r="N54" s="1">
        <v>6.8270003405472197E-6</v>
      </c>
      <c r="O54" s="1">
        <v>2.9739412455158198E-6</v>
      </c>
      <c r="P54" s="1">
        <v>-8.6059787681971803E-6</v>
      </c>
      <c r="AE54">
        <v>100</v>
      </c>
      <c r="AJ54">
        <v>1</v>
      </c>
    </row>
    <row r="55" spans="1:36" x14ac:dyDescent="0.2">
      <c r="A55">
        <v>54</v>
      </c>
      <c r="B55">
        <v>762</v>
      </c>
      <c r="C55">
        <v>225</v>
      </c>
      <c r="D55">
        <v>0.35948461575617302</v>
      </c>
      <c r="E55">
        <v>4.9084734356478901</v>
      </c>
      <c r="F55">
        <v>0.49006487950535499</v>
      </c>
      <c r="G55">
        <v>-107.0481860305017</v>
      </c>
      <c r="H55">
        <v>-62.229494517162216</v>
      </c>
      <c r="I55">
        <v>43.2995222366363</v>
      </c>
      <c r="J55">
        <v>19.270438787338399</v>
      </c>
      <c r="K55">
        <v>10.01596654019</v>
      </c>
      <c r="L55">
        <v>1.400395218574617E-3</v>
      </c>
      <c r="M55">
        <v>2.7806099651990983E-4</v>
      </c>
      <c r="N55" s="1">
        <v>6.9297072798316997E-6</v>
      </c>
      <c r="O55" s="1">
        <v>2.9684961133108401E-6</v>
      </c>
      <c r="P55" s="1">
        <v>-8.6195723022605797E-6</v>
      </c>
      <c r="AE55">
        <v>100</v>
      </c>
      <c r="AJ55">
        <v>1</v>
      </c>
    </row>
    <row r="56" spans="1:36" x14ac:dyDescent="0.2">
      <c r="A56">
        <v>55</v>
      </c>
      <c r="B56">
        <v>761</v>
      </c>
      <c r="C56">
        <v>225</v>
      </c>
      <c r="D56">
        <v>0.35879756321617101</v>
      </c>
      <c r="E56">
        <v>4.9190467472210502</v>
      </c>
      <c r="F56">
        <v>0.49075195566205598</v>
      </c>
      <c r="G56">
        <v>-107.23539439024859</v>
      </c>
      <c r="H56">
        <v>-62.382860366718731</v>
      </c>
      <c r="I56">
        <v>43.374122713477398</v>
      </c>
      <c r="J56">
        <v>19.323427571525301</v>
      </c>
      <c r="K56">
        <v>10.023488832734101</v>
      </c>
      <c r="L56">
        <v>1.4016610472918709E-3</v>
      </c>
      <c r="M56">
        <v>2.7758893737240956E-4</v>
      </c>
      <c r="N56" s="1">
        <v>7.0389982706989501E-6</v>
      </c>
      <c r="O56" s="1">
        <v>2.9655274095767202E-6</v>
      </c>
      <c r="P56" s="1">
        <v>-8.6404044790414201E-6</v>
      </c>
      <c r="AE56">
        <v>100</v>
      </c>
      <c r="AJ56">
        <v>1</v>
      </c>
    </row>
    <row r="57" spans="1:36" x14ac:dyDescent="0.2">
      <c r="A57">
        <v>56</v>
      </c>
      <c r="B57">
        <v>760</v>
      </c>
      <c r="C57">
        <v>225</v>
      </c>
      <c r="D57">
        <v>0.35810918066108399</v>
      </c>
      <c r="E57">
        <v>4.9295629308669602</v>
      </c>
      <c r="F57">
        <v>0.49144061549942297</v>
      </c>
      <c r="G57">
        <v>-107.4211900859265</v>
      </c>
      <c r="H57">
        <v>-62.535596044807562</v>
      </c>
      <c r="I57">
        <v>43.4481101870375</v>
      </c>
      <c r="J57">
        <v>19.3762315360628</v>
      </c>
      <c r="K57">
        <v>10.0308415206124</v>
      </c>
      <c r="L57">
        <v>1.4029199985897741E-3</v>
      </c>
      <c r="M57">
        <v>2.7711513706788111E-4</v>
      </c>
      <c r="N57" s="1">
        <v>7.1489673252131004E-6</v>
      </c>
      <c r="O57" s="1">
        <v>2.96246507766529E-6</v>
      </c>
      <c r="P57" s="1">
        <v>-8.6610352693357601E-6</v>
      </c>
      <c r="AE57">
        <v>100</v>
      </c>
      <c r="AJ57">
        <v>1</v>
      </c>
    </row>
    <row r="58" spans="1:36" x14ac:dyDescent="0.2">
      <c r="A58">
        <v>57</v>
      </c>
      <c r="B58">
        <v>759</v>
      </c>
      <c r="C58">
        <v>225</v>
      </c>
      <c r="D58">
        <v>0.35741946422516302</v>
      </c>
      <c r="E58">
        <v>4.9400224523343503</v>
      </c>
      <c r="F58">
        <v>0.49213085957542302</v>
      </c>
      <c r="G58">
        <v>-107.60558492268029</v>
      </c>
      <c r="H58">
        <v>-62.68770685195485</v>
      </c>
      <c r="I58">
        <v>43.521489177856701</v>
      </c>
      <c r="J58">
        <v>19.428851610955501</v>
      </c>
      <c r="K58">
        <v>10.038026179858401</v>
      </c>
      <c r="L58">
        <v>1.4041719922708537E-3</v>
      </c>
      <c r="M58">
        <v>2.7663959775880412E-4</v>
      </c>
      <c r="N58" s="1">
        <v>7.2596095336439903E-6</v>
      </c>
      <c r="O58" s="1">
        <v>2.95930970840267E-6</v>
      </c>
      <c r="P58" s="1">
        <v>-8.6814635686997998E-6</v>
      </c>
      <c r="AE58">
        <v>100</v>
      </c>
      <c r="AJ58">
        <v>1</v>
      </c>
    </row>
    <row r="59" spans="1:36" x14ac:dyDescent="0.2">
      <c r="A59">
        <v>58</v>
      </c>
      <c r="B59">
        <v>758</v>
      </c>
      <c r="C59">
        <v>225</v>
      </c>
      <c r="D59">
        <v>0.356728410027642</v>
      </c>
      <c r="E59">
        <v>4.9504257727644099</v>
      </c>
      <c r="F59">
        <v>0.49282268840091997</v>
      </c>
      <c r="G59">
        <v>-107.78859058791484</v>
      </c>
      <c r="H59">
        <v>-62.83919803620384</v>
      </c>
      <c r="I59">
        <v>43.594264160722602</v>
      </c>
      <c r="J59">
        <v>19.481288707470899</v>
      </c>
      <c r="K59">
        <v>10.045044372504901</v>
      </c>
      <c r="L59">
        <v>1.4054169480793061E-3</v>
      </c>
      <c r="M59">
        <v>2.7616232173905732E-4</v>
      </c>
      <c r="N59" s="1">
        <v>7.3709198662448203E-6</v>
      </c>
      <c r="O59" s="1">
        <v>2.9560618920211201E-6</v>
      </c>
      <c r="P59" s="1">
        <v>-8.7016882669138804E-6</v>
      </c>
      <c r="AE59">
        <v>100</v>
      </c>
      <c r="AJ59">
        <v>1</v>
      </c>
    </row>
    <row r="60" spans="1:36" x14ac:dyDescent="0.2">
      <c r="A60">
        <v>59</v>
      </c>
      <c r="B60">
        <v>757</v>
      </c>
      <c r="C60">
        <v>225</v>
      </c>
      <c r="D60">
        <v>0.35603601417269398</v>
      </c>
      <c r="E60">
        <v>4.9607733487172201</v>
      </c>
      <c r="F60">
        <v>0.49351610243928801</v>
      </c>
      <c r="G60">
        <v>-107.97021865208742</v>
      </c>
      <c r="H60">
        <v>-62.990074793365778</v>
      </c>
      <c r="I60">
        <v>43.666439564974098</v>
      </c>
      <c r="J60">
        <v>19.533543718244701</v>
      </c>
      <c r="K60">
        <v>10.051897646698301</v>
      </c>
      <c r="L60">
        <v>1.4066547857104824E-3</v>
      </c>
      <c r="M60">
        <v>2.7568331144484358E-4</v>
      </c>
      <c r="N60" s="1">
        <v>7.4828931729536102E-6</v>
      </c>
      <c r="O60" s="1">
        <v>2.9527222182457201E-6</v>
      </c>
      <c r="P60" s="1">
        <v>-8.7217082483587508E-6</v>
      </c>
      <c r="AE60">
        <v>100</v>
      </c>
      <c r="AJ60">
        <v>1</v>
      </c>
    </row>
    <row r="61" spans="1:36" x14ac:dyDescent="0.2">
      <c r="A61">
        <v>60</v>
      </c>
      <c r="B61">
        <v>756</v>
      </c>
      <c r="C61">
        <v>225</v>
      </c>
      <c r="D61">
        <v>0.35534227274935698</v>
      </c>
      <c r="E61">
        <v>4.9710656323150797</v>
      </c>
      <c r="F61">
        <v>0.49421110210605401</v>
      </c>
      <c r="G61">
        <v>-108.15048057204244</v>
      </c>
      <c r="H61">
        <v>-63.140342268755148</v>
      </c>
      <c r="I61">
        <v>43.7380197758349</v>
      </c>
      <c r="J61">
        <v>19.585617517863898</v>
      </c>
      <c r="K61">
        <v>10.0585875370487</v>
      </c>
      <c r="L61">
        <v>1.4078854248212134E-3</v>
      </c>
      <c r="M61">
        <v>2.7520256945572124E-4</v>
      </c>
      <c r="N61" s="1">
        <v>7.5955241833215901E-6</v>
      </c>
      <c r="O61" s="1">
        <v>2.9492912764514402E-6</v>
      </c>
      <c r="P61" s="1">
        <v>-8.7415223926087405E-6</v>
      </c>
      <c r="AE61">
        <v>100</v>
      </c>
      <c r="AJ61">
        <v>1</v>
      </c>
    </row>
    <row r="62" spans="1:36" x14ac:dyDescent="0.2">
      <c r="A62">
        <v>61</v>
      </c>
      <c r="B62">
        <v>755</v>
      </c>
      <c r="C62">
        <v>225</v>
      </c>
      <c r="D62">
        <v>0.354647181831445</v>
      </c>
      <c r="E62">
        <v>4.9813030713150397</v>
      </c>
      <c r="F62">
        <v>0.49490768776852501</v>
      </c>
      <c r="G62">
        <v>-108.32938769279754</v>
      </c>
      <c r="H62">
        <v>-63.29000555803033</v>
      </c>
      <c r="I62">
        <v>43.809009135118004</v>
      </c>
      <c r="J62">
        <v>19.637510963158999</v>
      </c>
      <c r="K62">
        <v>10.0651155648341</v>
      </c>
      <c r="L62">
        <v>1.409108785039863E-3</v>
      </c>
      <c r="M62">
        <v>2.7472009849557617E-4</v>
      </c>
      <c r="N62" s="1">
        <v>7.7088075063736708E-6</v>
      </c>
      <c r="O62" s="1">
        <v>2.9457696557757898E-6</v>
      </c>
      <c r="P62" s="1">
        <v>-8.7611295749034494E-6</v>
      </c>
      <c r="AE62">
        <v>100</v>
      </c>
      <c r="AJ62">
        <v>1</v>
      </c>
    </row>
    <row r="63" spans="1:36" x14ac:dyDescent="0.2">
      <c r="A63">
        <v>62</v>
      </c>
      <c r="B63">
        <v>754</v>
      </c>
      <c r="C63">
        <v>225</v>
      </c>
      <c r="D63">
        <v>0.35395073747748601</v>
      </c>
      <c r="E63">
        <v>4.9914861089968001</v>
      </c>
      <c r="F63">
        <v>0.49560585974538901</v>
      </c>
      <c r="G63">
        <v>-108.50695124531345</v>
      </c>
      <c r="H63">
        <v>-63.439069705686514</v>
      </c>
      <c r="I63">
        <v>43.8794119403114</v>
      </c>
      <c r="J63">
        <v>19.6892248927774</v>
      </c>
      <c r="K63">
        <v>10.071483237831499</v>
      </c>
      <c r="L63">
        <v>1.4103247859760767E-3</v>
      </c>
      <c r="M63">
        <v>2.7423590143348006E-4</v>
      </c>
      <c r="N63" s="1">
        <v>7.8227376302267007E-6</v>
      </c>
      <c r="O63" s="1">
        <v>2.94215794511924E-6</v>
      </c>
      <c r="P63" s="1">
        <v>-8.7805286662946697E-6</v>
      </c>
      <c r="AE63">
        <v>100</v>
      </c>
      <c r="AJ63">
        <v>1</v>
      </c>
    </row>
    <row r="64" spans="1:36" x14ac:dyDescent="0.2">
      <c r="A64">
        <v>63</v>
      </c>
      <c r="B64">
        <v>753</v>
      </c>
      <c r="C64">
        <v>225</v>
      </c>
      <c r="D64">
        <v>0.35325293573064698</v>
      </c>
      <c r="E64">
        <v>5.0016151845015102</v>
      </c>
      <c r="F64">
        <v>0.49630561830638598</v>
      </c>
      <c r="G64">
        <v>-108.68318235406652</v>
      </c>
      <c r="H64">
        <v>-63.587539709281046</v>
      </c>
      <c r="I64">
        <v>43.949232447622997</v>
      </c>
      <c r="J64">
        <v>19.740760128532202</v>
      </c>
      <c r="K64">
        <v>10.0776920510576</v>
      </c>
      <c r="L64">
        <v>1.4115333472314697E-3</v>
      </c>
      <c r="M64">
        <v>2.7374998128468057E-4</v>
      </c>
      <c r="N64" s="1">
        <v>7.9373089224322707E-6</v>
      </c>
      <c r="O64" s="1">
        <v>2.93845673341348E-6</v>
      </c>
      <c r="P64" s="1">
        <v>-8.7997185345971594E-6</v>
      </c>
      <c r="AE64">
        <v>100</v>
      </c>
      <c r="AJ64">
        <v>1</v>
      </c>
    </row>
    <row r="65" spans="1:36" x14ac:dyDescent="0.2">
      <c r="A65">
        <v>64</v>
      </c>
      <c r="B65">
        <v>752</v>
      </c>
      <c r="C65">
        <v>225</v>
      </c>
      <c r="D65">
        <v>0.35255377261864101</v>
      </c>
      <c r="E65">
        <v>5.0116907325477902</v>
      </c>
      <c r="F65">
        <v>0.49700696367191499</v>
      </c>
      <c r="G65">
        <v>-108.85809203107611</v>
      </c>
      <c r="H65">
        <v>-63.735420515745702</v>
      </c>
      <c r="I65">
        <v>44.018474869551397</v>
      </c>
      <c r="J65">
        <v>19.7921174743019</v>
      </c>
      <c r="K65">
        <v>10.0837434862504</v>
      </c>
      <c r="L65">
        <v>1.4127343884097433E-3</v>
      </c>
      <c r="M65">
        <v>2.7326234121145598E-4</v>
      </c>
      <c r="N65" s="1">
        <v>8.0525156294190706E-6</v>
      </c>
      <c r="O65" s="1">
        <v>2.93466660951906E-6</v>
      </c>
      <c r="P65" s="1">
        <v>-8.8186980442461504E-6</v>
      </c>
      <c r="AE65">
        <v>100</v>
      </c>
      <c r="AJ65">
        <v>1</v>
      </c>
    </row>
    <row r="66" spans="1:36" x14ac:dyDescent="0.2">
      <c r="A66">
        <v>65</v>
      </c>
      <c r="B66">
        <v>751</v>
      </c>
      <c r="C66">
        <v>225</v>
      </c>
      <c r="D66">
        <v>0.35185324415369101</v>
      </c>
      <c r="E66">
        <v>5.02585939207784</v>
      </c>
      <c r="F66">
        <v>0.497709896012688</v>
      </c>
      <c r="G66">
        <v>-109.12171386839793</v>
      </c>
      <c r="H66">
        <v>-63.935462182960045</v>
      </c>
      <c r="I66">
        <v>44.123544198413398</v>
      </c>
      <c r="J66">
        <v>19.859681457915499</v>
      </c>
      <c r="K66">
        <v>10.097969584976299</v>
      </c>
      <c r="L66">
        <v>1.4139278291270155E-3</v>
      </c>
      <c r="M66">
        <v>2.7277298452397321E-4</v>
      </c>
      <c r="N66" s="1">
        <v>8.1750961267728104E-6</v>
      </c>
      <c r="O66" s="1">
        <v>2.9332079857207202E-6</v>
      </c>
      <c r="P66" s="1">
        <v>-8.8447627653355995E-6</v>
      </c>
      <c r="AE66">
        <v>100</v>
      </c>
      <c r="AJ66">
        <v>1</v>
      </c>
    </row>
    <row r="67" spans="1:36" x14ac:dyDescent="0.2">
      <c r="A67">
        <v>66</v>
      </c>
      <c r="B67">
        <v>750</v>
      </c>
      <c r="C67">
        <v>225</v>
      </c>
      <c r="D67">
        <v>0.35115134633240402</v>
      </c>
      <c r="E67">
        <v>5.1835615194860001</v>
      </c>
      <c r="F67">
        <v>0.49841441544936699</v>
      </c>
      <c r="G67">
        <v>-112.50025239830279</v>
      </c>
      <c r="H67">
        <v>-65.962126987281451</v>
      </c>
      <c r="I67">
        <v>45.488043554933199</v>
      </c>
      <c r="J67">
        <v>20.4948000701953</v>
      </c>
      <c r="K67">
        <v>10.400103525923299</v>
      </c>
      <c r="L67">
        <v>1.4151135890225653E-3</v>
      </c>
      <c r="M67">
        <v>2.7228191468116428E-4</v>
      </c>
      <c r="N67" s="1">
        <v>8.5348841072749302E-6</v>
      </c>
      <c r="O67" s="1">
        <v>3.0151664770487402E-6</v>
      </c>
      <c r="P67" s="1">
        <v>-9.1233355202709299E-6</v>
      </c>
      <c r="AE67">
        <v>100</v>
      </c>
      <c r="AJ67">
        <v>1</v>
      </c>
    </row>
    <row r="68" spans="1:36" x14ac:dyDescent="0.2">
      <c r="A68">
        <v>67</v>
      </c>
      <c r="B68">
        <v>749</v>
      </c>
      <c r="C68">
        <v>225</v>
      </c>
      <c r="D68">
        <v>0.350448075135744</v>
      </c>
      <c r="E68">
        <v>5.3547286906707798</v>
      </c>
      <c r="F68">
        <v>0.49912052205220397</v>
      </c>
      <c r="G68">
        <v>-116.16816053744994</v>
      </c>
      <c r="H68">
        <v>-68.161450119966361</v>
      </c>
      <c r="I68">
        <v>46.969402457622003</v>
      </c>
      <c r="J68">
        <v>21.183899773720601</v>
      </c>
      <c r="K68">
        <v>10.7283280371924</v>
      </c>
      <c r="L68">
        <v>1.4162915877691448E-3</v>
      </c>
      <c r="M68">
        <v>2.7178913529151436E-4</v>
      </c>
      <c r="N68" s="1">
        <v>8.9237208558518193E-6</v>
      </c>
      <c r="O68" s="1">
        <v>3.10429856315096E-6</v>
      </c>
      <c r="P68" s="1">
        <v>-9.4255398372130705E-6</v>
      </c>
      <c r="AE68">
        <v>100</v>
      </c>
      <c r="AJ68">
        <v>1</v>
      </c>
    </row>
    <row r="69" spans="1:36" x14ac:dyDescent="0.2">
      <c r="A69">
        <v>68</v>
      </c>
      <c r="B69">
        <v>748</v>
      </c>
      <c r="C69">
        <v>225</v>
      </c>
      <c r="D69">
        <v>0.34974342652891699</v>
      </c>
      <c r="E69">
        <v>6.4818529072646696</v>
      </c>
      <c r="F69">
        <v>0.49982821584070197</v>
      </c>
      <c r="G69">
        <v>-140.56371312843208</v>
      </c>
      <c r="H69">
        <v>-82.534498014401862</v>
      </c>
      <c r="I69">
        <v>56.830949839196101</v>
      </c>
      <c r="J69">
        <v>25.657843079473199</v>
      </c>
      <c r="K69">
        <v>12.96816126389</v>
      </c>
      <c r="L69">
        <v>1.4174617450838846E-3</v>
      </c>
      <c r="M69">
        <v>2.7129465011387977E-4</v>
      </c>
      <c r="N69" s="1">
        <v>1.0932003648886701E-5</v>
      </c>
      <c r="O69" s="1">
        <v>3.7450755227029902E-6</v>
      </c>
      <c r="P69" s="1">
        <v>-1.1410510922066899E-5</v>
      </c>
      <c r="AE69">
        <v>100</v>
      </c>
      <c r="AJ69">
        <v>1</v>
      </c>
    </row>
    <row r="70" spans="1:36" x14ac:dyDescent="0.2">
      <c r="A70">
        <v>69</v>
      </c>
      <c r="B70">
        <v>747</v>
      </c>
      <c r="C70">
        <v>225</v>
      </c>
      <c r="D70">
        <v>0.34903739646130499</v>
      </c>
      <c r="E70">
        <v>8.5060004145861203</v>
      </c>
      <c r="F70">
        <v>0.50053749678325199</v>
      </c>
      <c r="G70">
        <v>-184.38426821473905</v>
      </c>
      <c r="H70">
        <v>-108.34198081336888</v>
      </c>
      <c r="I70">
        <v>74.545071859173305</v>
      </c>
      <c r="J70">
        <v>33.689798514207197</v>
      </c>
      <c r="K70">
        <v>16.9937326758747</v>
      </c>
      <c r="L70">
        <v>1.4186239807389418E-3</v>
      </c>
      <c r="M70">
        <v>2.7079846305825764E-4</v>
      </c>
      <c r="N70" s="1">
        <v>1.45168264666019E-5</v>
      </c>
      <c r="O70" s="1">
        <v>4.8979527246216599E-6</v>
      </c>
      <c r="P70" s="1">
        <v>-1.49748406460727E-5</v>
      </c>
      <c r="AE70">
        <v>100</v>
      </c>
      <c r="AJ70">
        <v>1</v>
      </c>
    </row>
    <row r="71" spans="1:36" x14ac:dyDescent="0.2">
      <c r="A71">
        <v>70</v>
      </c>
      <c r="B71">
        <v>746</v>
      </c>
      <c r="C71">
        <v>225</v>
      </c>
      <c r="D71">
        <v>0.34832998086640898</v>
      </c>
      <c r="E71">
        <v>9.8836928534341801</v>
      </c>
      <c r="F71">
        <v>0.50124836479679802</v>
      </c>
      <c r="G71">
        <v>-214.16185844620045</v>
      </c>
      <c r="H71">
        <v>-125.92897782566141</v>
      </c>
      <c r="I71">
        <v>86.5805197238071</v>
      </c>
      <c r="J71">
        <v>39.169118268570401</v>
      </c>
      <c r="K71">
        <v>19.718154806232501</v>
      </c>
      <c r="L71">
        <v>1.4197782145724304E-3</v>
      </c>
      <c r="M71">
        <v>2.7030057818655599E-4</v>
      </c>
      <c r="N71" s="1">
        <v>1.7067324117129401E-5</v>
      </c>
      <c r="O71" s="1">
        <v>5.6718999089916401E-6</v>
      </c>
      <c r="P71" s="1">
        <v>-1.7401257024515002E-5</v>
      </c>
      <c r="AE71">
        <v>100</v>
      </c>
      <c r="AJ71">
        <v>1</v>
      </c>
    </row>
    <row r="72" spans="1:36" x14ac:dyDescent="0.2">
      <c r="A72">
        <v>71</v>
      </c>
      <c r="B72">
        <v>745</v>
      </c>
      <c r="C72">
        <v>225</v>
      </c>
      <c r="D72">
        <v>0.347621175661739</v>
      </c>
      <c r="E72">
        <v>10.279287308169501</v>
      </c>
      <c r="F72">
        <v>0.50196081974649398</v>
      </c>
      <c r="G72">
        <v>-222.64365330345245</v>
      </c>
      <c r="H72">
        <v>-131.01002932227144</v>
      </c>
      <c r="I72">
        <v>90.005899347443204</v>
      </c>
      <c r="J72">
        <v>40.760414338630603</v>
      </c>
      <c r="K72">
        <v>20.478266238709399</v>
      </c>
      <c r="L72">
        <v>1.420924366499103E-3</v>
      </c>
      <c r="M72">
        <v>2.6980099971325185E-4</v>
      </c>
      <c r="N72" s="1">
        <v>1.79582467499922E-5</v>
      </c>
      <c r="O72" s="1">
        <v>5.8787468735205299E-6</v>
      </c>
      <c r="P72" s="1">
        <v>-1.80985001395517E-5</v>
      </c>
      <c r="AE72">
        <v>100</v>
      </c>
      <c r="AJ72">
        <v>1</v>
      </c>
    </row>
    <row r="73" spans="1:36" x14ac:dyDescent="0.2">
      <c r="A73">
        <v>72</v>
      </c>
      <c r="B73">
        <v>764</v>
      </c>
      <c r="C73">
        <v>200</v>
      </c>
      <c r="D73">
        <v>0.38736971508460899</v>
      </c>
      <c r="E73">
        <v>5.3043750625850503</v>
      </c>
      <c r="F73">
        <v>0.45228805448552301</v>
      </c>
      <c r="G73">
        <v>-116.05772495726906</v>
      </c>
      <c r="H73">
        <v>-67.062324542560006</v>
      </c>
      <c r="I73">
        <v>47.243345614275398</v>
      </c>
      <c r="J73">
        <v>20.973127997363399</v>
      </c>
      <c r="K73">
        <v>11.727869020592999</v>
      </c>
      <c r="L73">
        <v>1.5221493354871563E-3</v>
      </c>
      <c r="M73">
        <v>3.4394199512921059E-4</v>
      </c>
      <c r="N73" s="1">
        <v>5.7522617140399501E-6</v>
      </c>
      <c r="O73" s="1">
        <v>4.9727356842263197E-6</v>
      </c>
      <c r="P73" s="1">
        <v>-1.2287636347063701E-5</v>
      </c>
      <c r="AE73">
        <v>100</v>
      </c>
      <c r="AJ73">
        <v>1</v>
      </c>
    </row>
    <row r="74" spans="1:36" x14ac:dyDescent="0.2">
      <c r="A74">
        <v>73</v>
      </c>
      <c r="B74">
        <v>763</v>
      </c>
      <c r="C74">
        <v>200</v>
      </c>
      <c r="D74">
        <v>0.38671090093133698</v>
      </c>
      <c r="E74">
        <v>5.3076407274987902</v>
      </c>
      <c r="F74">
        <v>0.452977441859793</v>
      </c>
      <c r="G74">
        <v>-116.08191416505996</v>
      </c>
      <c r="H74">
        <v>-67.124605463292767</v>
      </c>
      <c r="I74">
        <v>47.252179761345303</v>
      </c>
      <c r="J74">
        <v>21.001293402685299</v>
      </c>
      <c r="K74">
        <v>11.7172296830216</v>
      </c>
      <c r="L74">
        <v>1.5239725615670298E-3</v>
      </c>
      <c r="M74">
        <v>3.4341646764188326E-4</v>
      </c>
      <c r="N74" s="1">
        <v>5.8881541205118902E-6</v>
      </c>
      <c r="O74" s="1">
        <v>4.9617865322963196E-6</v>
      </c>
      <c r="P74" s="1">
        <v>-1.2305603022761801E-5</v>
      </c>
      <c r="AE74">
        <v>100</v>
      </c>
      <c r="AJ74">
        <v>1</v>
      </c>
    </row>
    <row r="75" spans="1:36" x14ac:dyDescent="0.2">
      <c r="A75">
        <v>74</v>
      </c>
      <c r="B75">
        <v>762</v>
      </c>
      <c r="C75">
        <v>200</v>
      </c>
      <c r="D75">
        <v>0.38605081389170998</v>
      </c>
      <c r="E75">
        <v>5.3172692012510296</v>
      </c>
      <c r="F75">
        <v>0.45366870567212503</v>
      </c>
      <c r="G75">
        <v>-116.245168059804</v>
      </c>
      <c r="H75">
        <v>-67.267421758563131</v>
      </c>
      <c r="I75">
        <v>47.317576360136698</v>
      </c>
      <c r="J75">
        <v>21.054672289510101</v>
      </c>
      <c r="K75">
        <v>11.7205994920308</v>
      </c>
      <c r="L75">
        <v>1.5257892376992494E-3</v>
      </c>
      <c r="M75">
        <v>3.4288827953132302E-4</v>
      </c>
      <c r="N75" s="1">
        <v>6.0322665824274297E-6</v>
      </c>
      <c r="O75" s="1">
        <v>4.9567084152796497E-6</v>
      </c>
      <c r="P75" s="1">
        <v>-1.2338217103783199E-5</v>
      </c>
      <c r="AE75">
        <v>100</v>
      </c>
      <c r="AJ75">
        <v>1</v>
      </c>
    </row>
    <row r="76" spans="1:36" x14ac:dyDescent="0.2">
      <c r="A76">
        <v>75</v>
      </c>
      <c r="B76">
        <v>761</v>
      </c>
      <c r="C76">
        <v>200</v>
      </c>
      <c r="D76">
        <v>0.38538945027317301</v>
      </c>
      <c r="E76">
        <v>5.3268487151722903</v>
      </c>
      <c r="F76">
        <v>0.45436184830042903</v>
      </c>
      <c r="G76">
        <v>-116.40720101434493</v>
      </c>
      <c r="H76">
        <v>-67.409710013480094</v>
      </c>
      <c r="I76">
        <v>47.382429387231603</v>
      </c>
      <c r="J76">
        <v>21.1079119144845</v>
      </c>
      <c r="K76">
        <v>11.7238028128852</v>
      </c>
      <c r="L76">
        <v>1.5275992420961764E-3</v>
      </c>
      <c r="M76">
        <v>3.4235742669254377E-4</v>
      </c>
      <c r="N76" s="1">
        <v>6.1776427980830596E-6</v>
      </c>
      <c r="O76" s="1">
        <v>4.9514905583882797E-6</v>
      </c>
      <c r="P76" s="1">
        <v>-1.23706222358609E-5</v>
      </c>
      <c r="AE76">
        <v>100</v>
      </c>
      <c r="AJ76">
        <v>1</v>
      </c>
    </row>
    <row r="77" spans="1:36" x14ac:dyDescent="0.2">
      <c r="A77">
        <v>76</v>
      </c>
      <c r="B77">
        <v>760</v>
      </c>
      <c r="C77">
        <v>200</v>
      </c>
      <c r="D77">
        <v>0.38472680636887402</v>
      </c>
      <c r="E77">
        <v>5.3363796783986102</v>
      </c>
      <c r="F77">
        <v>0.45505687206717499</v>
      </c>
      <c r="G77">
        <v>-116.56802341713774</v>
      </c>
      <c r="H77">
        <v>-67.551474907024428</v>
      </c>
      <c r="I77">
        <v>47.4467427907434</v>
      </c>
      <c r="J77">
        <v>21.1610128317344</v>
      </c>
      <c r="K77">
        <v>11.726841205929199</v>
      </c>
      <c r="L77">
        <v>1.5294024524042345E-3</v>
      </c>
      <c r="M77">
        <v>3.4182390521239169E-4</v>
      </c>
      <c r="N77" s="1">
        <v>6.3242798467591199E-6</v>
      </c>
      <c r="O77" s="1">
        <v>4.9461334670039204E-6</v>
      </c>
      <c r="P77" s="1">
        <v>-1.24028159176805E-5</v>
      </c>
      <c r="AE77">
        <v>100</v>
      </c>
      <c r="AJ77">
        <v>1</v>
      </c>
    </row>
    <row r="78" spans="1:36" x14ac:dyDescent="0.2">
      <c r="A78">
        <v>77</v>
      </c>
      <c r="B78">
        <v>759</v>
      </c>
      <c r="C78">
        <v>200</v>
      </c>
      <c r="D78">
        <v>0.38406287845759102</v>
      </c>
      <c r="E78">
        <v>5.3458624962157799</v>
      </c>
      <c r="F78">
        <v>0.45575377923867499</v>
      </c>
      <c r="G78">
        <v>-116.72764555720697</v>
      </c>
      <c r="H78">
        <v>-67.692721074417733</v>
      </c>
      <c r="I78">
        <v>47.510520480146397</v>
      </c>
      <c r="J78">
        <v>21.213975575081701</v>
      </c>
      <c r="K78">
        <v>11.729716219020499</v>
      </c>
      <c r="L78">
        <v>1.531198745717248E-3</v>
      </c>
      <c r="M78">
        <v>3.4128771137268039E-4</v>
      </c>
      <c r="N78" s="1">
        <v>6.4721745775402097E-6</v>
      </c>
      <c r="O78" s="1">
        <v>4.9406376467085703E-6</v>
      </c>
      <c r="P78" s="1">
        <v>-1.2434795620231E-5</v>
      </c>
      <c r="AE78">
        <v>100</v>
      </c>
      <c r="AJ78">
        <v>1</v>
      </c>
    </row>
    <row r="79" spans="1:36" x14ac:dyDescent="0.2">
      <c r="A79">
        <v>78</v>
      </c>
      <c r="B79">
        <v>758</v>
      </c>
      <c r="C79">
        <v>200</v>
      </c>
      <c r="D79">
        <v>0.383397662803666</v>
      </c>
      <c r="E79">
        <v>5.3552975705054298</v>
      </c>
      <c r="F79">
        <v>0.45645257202433998</v>
      </c>
      <c r="G79">
        <v>-116.88607763406667</v>
      </c>
      <c r="H79">
        <v>-67.833453112696262</v>
      </c>
      <c r="I79">
        <v>47.573766330304203</v>
      </c>
      <c r="J79">
        <v>21.2668006598227</v>
      </c>
      <c r="K79">
        <v>11.7324293885671</v>
      </c>
      <c r="L79">
        <v>1.5329879985900401E-3</v>
      </c>
      <c r="M79">
        <v>3.4074884165332146E-4</v>
      </c>
      <c r="N79" s="1">
        <v>6.6213236071478803E-6</v>
      </c>
      <c r="O79" s="1">
        <v>4.9350036038794199E-6</v>
      </c>
      <c r="P79" s="1">
        <v>-1.2466558788291501E-5</v>
      </c>
      <c r="AE79">
        <v>100</v>
      </c>
      <c r="AJ79">
        <v>1</v>
      </c>
    </row>
    <row r="80" spans="1:36" x14ac:dyDescent="0.2">
      <c r="A80">
        <v>79</v>
      </c>
      <c r="B80">
        <v>757</v>
      </c>
      <c r="C80">
        <v>200</v>
      </c>
      <c r="D80">
        <v>0.38273115565694399</v>
      </c>
      <c r="E80">
        <v>5.3818120877825297</v>
      </c>
      <c r="F80">
        <v>0.45715325257592998</v>
      </c>
      <c r="G80">
        <v>-117.416991247415</v>
      </c>
      <c r="H80">
        <v>-68.19068192281658</v>
      </c>
      <c r="I80">
        <v>47.788563925599298</v>
      </c>
      <c r="J80">
        <v>21.387551170121199</v>
      </c>
      <c r="K80">
        <v>11.772446236480899</v>
      </c>
      <c r="L80">
        <v>1.5347700870519453E-3</v>
      </c>
      <c r="M80">
        <v>3.4020729273536902E-4</v>
      </c>
      <c r="N80" s="1">
        <v>6.7933420821558403E-6</v>
      </c>
      <c r="O80" s="1">
        <v>4.9449684462987301E-6</v>
      </c>
      <c r="P80" s="1">
        <v>-1.2538003104614301E-5</v>
      </c>
      <c r="AE80">
        <v>100</v>
      </c>
      <c r="AJ80">
        <v>1</v>
      </c>
    </row>
    <row r="81" spans="1:36" x14ac:dyDescent="0.2">
      <c r="A81">
        <v>80</v>
      </c>
      <c r="B81">
        <v>756</v>
      </c>
      <c r="C81">
        <v>200</v>
      </c>
      <c r="D81">
        <v>0.38206335325268598</v>
      </c>
      <c r="E81">
        <v>5.5228781319667197</v>
      </c>
      <c r="F81">
        <v>0.45785582298683303</v>
      </c>
      <c r="G81">
        <v>-120.44565095514841</v>
      </c>
      <c r="H81">
        <v>-70.00002663853644</v>
      </c>
      <c r="I81">
        <v>49.019856042969998</v>
      </c>
      <c r="J81">
        <v>21.964011642970998</v>
      </c>
      <c r="K81">
        <v>12.0624831108144</v>
      </c>
      <c r="L81">
        <v>1.5365448866216135E-3</v>
      </c>
      <c r="M81">
        <v>3.396630615042568E-4</v>
      </c>
      <c r="N81" s="1">
        <v>7.1151362859508098E-6</v>
      </c>
      <c r="O81" s="1">
        <v>5.05969116585298E-6</v>
      </c>
      <c r="P81" s="1">
        <v>-1.28764705027898E-5</v>
      </c>
      <c r="AE81">
        <v>100</v>
      </c>
      <c r="AJ81">
        <v>1</v>
      </c>
    </row>
    <row r="82" spans="1:36" x14ac:dyDescent="0.2">
      <c r="A82">
        <v>81</v>
      </c>
      <c r="B82">
        <v>755</v>
      </c>
      <c r="C82">
        <v>200</v>
      </c>
      <c r="D82">
        <v>0.38139425181150599</v>
      </c>
      <c r="E82">
        <v>5.6722675500175104</v>
      </c>
      <c r="F82">
        <v>0.45856028529133602</v>
      </c>
      <c r="G82">
        <v>-123.65327424567825</v>
      </c>
      <c r="H82">
        <v>-71.916037404151723</v>
      </c>
      <c r="I82">
        <v>50.3238660325203</v>
      </c>
      <c r="J82">
        <v>22.5744026327977</v>
      </c>
      <c r="K82">
        <v>12.369731378751499</v>
      </c>
      <c r="L82">
        <v>1.5383122723209872E-3</v>
      </c>
      <c r="M82">
        <v>3.3911614505275197E-4</v>
      </c>
      <c r="N82" s="1">
        <v>7.4560740811186498E-6</v>
      </c>
      <c r="O82" s="1">
        <v>5.1812098209138199E-6</v>
      </c>
      <c r="P82" s="1">
        <v>-1.32347034739834E-5</v>
      </c>
      <c r="AE82">
        <v>100</v>
      </c>
      <c r="AJ82">
        <v>1</v>
      </c>
    </row>
    <row r="83" spans="1:36" x14ac:dyDescent="0.2">
      <c r="A83">
        <v>82</v>
      </c>
      <c r="B83">
        <v>754</v>
      </c>
      <c r="C83">
        <v>200</v>
      </c>
      <c r="D83">
        <v>0.38072384753930699</v>
      </c>
      <c r="E83">
        <v>5.8355336524993202</v>
      </c>
      <c r="F83">
        <v>0.45926664146385499</v>
      </c>
      <c r="G83">
        <v>-127.16065210747036</v>
      </c>
      <c r="H83">
        <v>-74.009244787018758</v>
      </c>
      <c r="I83">
        <v>51.749741294991303</v>
      </c>
      <c r="J83">
        <v>23.240911614224299</v>
      </c>
      <c r="K83">
        <v>12.706199679339401</v>
      </c>
      <c r="L83">
        <v>1.5400721186903535E-3</v>
      </c>
      <c r="M83">
        <v>3.3856654068413543E-4</v>
      </c>
      <c r="N83" s="1">
        <v>7.82431720313976E-6</v>
      </c>
      <c r="O83" s="1">
        <v>5.3145107215118899E-6</v>
      </c>
      <c r="P83" s="1">
        <v>-1.36256973191595E-5</v>
      </c>
      <c r="AE83">
        <v>100</v>
      </c>
      <c r="AJ83">
        <v>1</v>
      </c>
    </row>
    <row r="84" spans="1:36" x14ac:dyDescent="0.2">
      <c r="A84">
        <v>83</v>
      </c>
      <c r="B84">
        <v>753</v>
      </c>
      <c r="C84">
        <v>200</v>
      </c>
      <c r="D84">
        <v>0.380052136627202</v>
      </c>
      <c r="E84">
        <v>6.6194291254594901</v>
      </c>
      <c r="F84">
        <v>0.45997489341823899</v>
      </c>
      <c r="G84">
        <v>-144.18363348780889</v>
      </c>
      <c r="H84">
        <v>-83.977383500766464</v>
      </c>
      <c r="I84">
        <v>58.675669279216002</v>
      </c>
      <c r="J84">
        <v>26.3818832414429</v>
      </c>
      <c r="K84">
        <v>14.390848761914199</v>
      </c>
      <c r="L84">
        <v>1.541824299803552E-3</v>
      </c>
      <c r="M84">
        <v>3.380142459152467E-4</v>
      </c>
      <c r="N84" s="1">
        <v>9.0506318062295906E-6</v>
      </c>
      <c r="O84" s="1">
        <v>6.0104050465198698E-6</v>
      </c>
      <c r="P84" s="1">
        <v>-1.5467274474658699E-5</v>
      </c>
      <c r="AE84">
        <v>100</v>
      </c>
      <c r="AJ84">
        <v>1</v>
      </c>
    </row>
    <row r="85" spans="1:36" x14ac:dyDescent="0.2">
      <c r="A85">
        <v>84</v>
      </c>
      <c r="B85">
        <v>752</v>
      </c>
      <c r="C85">
        <v>200</v>
      </c>
      <c r="D85">
        <v>0.37937911525142798</v>
      </c>
      <c r="E85">
        <v>8.2352991487913201</v>
      </c>
      <c r="F85">
        <v>0.46068504300701602</v>
      </c>
      <c r="G85">
        <v>-179.30734295504215</v>
      </c>
      <c r="H85">
        <v>-104.50995132740996</v>
      </c>
      <c r="I85">
        <v>72.966984706150697</v>
      </c>
      <c r="J85">
        <v>32.845581449054897</v>
      </c>
      <c r="K85">
        <v>17.8762025678916</v>
      </c>
      <c r="L85">
        <v>1.5435686892833393E-3</v>
      </c>
      <c r="M85">
        <v>3.3745925847954796E-4</v>
      </c>
      <c r="N85" s="1">
        <v>1.14792547960194E-5</v>
      </c>
      <c r="O85" s="1">
        <v>7.4551309939047397E-6</v>
      </c>
      <c r="P85" s="1">
        <v>-1.9256710457786501E-5</v>
      </c>
      <c r="AE85">
        <v>100</v>
      </c>
      <c r="AJ85">
        <v>1</v>
      </c>
    </row>
    <row r="86" spans="1:36" x14ac:dyDescent="0.2">
      <c r="A86">
        <v>85</v>
      </c>
      <c r="B86">
        <v>751</v>
      </c>
      <c r="C86">
        <v>200</v>
      </c>
      <c r="D86">
        <v>0.378704779573308</v>
      </c>
      <c r="E86">
        <v>9.6652908879576902</v>
      </c>
      <c r="F86">
        <v>0.46139709202066598</v>
      </c>
      <c r="G86">
        <v>-210.35696512050882</v>
      </c>
      <c r="H86">
        <v>-122.69580475128403</v>
      </c>
      <c r="I86">
        <v>85.599464377471804</v>
      </c>
      <c r="J86">
        <v>38.576644500248399</v>
      </c>
      <c r="K86">
        <v>20.947879939227601</v>
      </c>
      <c r="L86">
        <v>1.5453051603175106E-3</v>
      </c>
      <c r="M86">
        <v>3.3690157633022602E-4</v>
      </c>
      <c r="N86" s="1">
        <v>1.3731306048007E-5</v>
      </c>
      <c r="O86" s="1">
        <v>8.7231967517619107E-6</v>
      </c>
      <c r="P86" s="1">
        <v>-2.2616292214962698E-5</v>
      </c>
      <c r="AE86">
        <v>100</v>
      </c>
      <c r="AJ86">
        <v>1</v>
      </c>
    </row>
    <row r="87" spans="1:36" x14ac:dyDescent="0.2">
      <c r="A87">
        <v>86</v>
      </c>
      <c r="B87">
        <v>750</v>
      </c>
      <c r="C87">
        <v>200</v>
      </c>
      <c r="D87">
        <v>0.37802912573913899</v>
      </c>
      <c r="E87">
        <v>10.217514705304801</v>
      </c>
      <c r="F87">
        <v>0.46211104218689197</v>
      </c>
      <c r="G87">
        <v>-222.28518397858988</v>
      </c>
      <c r="H87">
        <v>-129.74679218050827</v>
      </c>
      <c r="I87">
        <v>90.450314115645995</v>
      </c>
      <c r="J87">
        <v>40.809977023332003</v>
      </c>
      <c r="K87">
        <v>22.110518409063399</v>
      </c>
      <c r="L87">
        <v>1.5470335856745735E-3</v>
      </c>
      <c r="M87">
        <v>3.3634119764314386E-4</v>
      </c>
      <c r="N87" s="1">
        <v>1.4790895601387899E-5</v>
      </c>
      <c r="O87" s="1">
        <v>9.1935435588978498E-6</v>
      </c>
      <c r="P87" s="1">
        <v>-2.39248774066564E-5</v>
      </c>
      <c r="AE87">
        <v>100</v>
      </c>
      <c r="AJ87">
        <v>1</v>
      </c>
    </row>
    <row r="88" spans="1:36" x14ac:dyDescent="0.2">
      <c r="A88">
        <v>87</v>
      </c>
      <c r="B88">
        <v>749</v>
      </c>
      <c r="C88">
        <v>200</v>
      </c>
      <c r="D88">
        <v>0.37735214988015597</v>
      </c>
      <c r="E88">
        <v>10.4166260511436</v>
      </c>
      <c r="F88">
        <v>0.46282689516988901</v>
      </c>
      <c r="G88">
        <v>-226.52472012336892</v>
      </c>
      <c r="H88">
        <v>-132.3168215656315</v>
      </c>
      <c r="I88">
        <v>92.1722443778486</v>
      </c>
      <c r="J88">
        <v>41.635071249475097</v>
      </c>
      <c r="K88">
        <v>22.506527083565501</v>
      </c>
      <c r="L88">
        <v>1.5487538377205381E-3</v>
      </c>
      <c r="M88">
        <v>3.3577812081994098E-4</v>
      </c>
      <c r="N88" s="1">
        <v>1.53610581176445E-5</v>
      </c>
      <c r="O88" s="1">
        <v>9.3440187092184894E-6</v>
      </c>
      <c r="P88" s="1">
        <v>-2.4407518843023899E-5</v>
      </c>
      <c r="AE88">
        <v>100</v>
      </c>
      <c r="AJ88">
        <v>1</v>
      </c>
    </row>
    <row r="89" spans="1:36" x14ac:dyDescent="0.2">
      <c r="A89">
        <v>88</v>
      </c>
      <c r="B89">
        <v>765</v>
      </c>
      <c r="C89">
        <v>175</v>
      </c>
      <c r="D89">
        <v>0.41451668833983701</v>
      </c>
      <c r="E89">
        <v>5.7141064731692097</v>
      </c>
      <c r="F89">
        <v>0.40990071422263102</v>
      </c>
      <c r="G89">
        <v>-125.40492165383414</v>
      </c>
      <c r="H89">
        <v>-72.004854516744246</v>
      </c>
      <c r="I89">
        <v>51.440867986032998</v>
      </c>
      <c r="J89">
        <v>22.682203896200299</v>
      </c>
      <c r="K89">
        <v>13.9402208264162</v>
      </c>
      <c r="L89">
        <v>1.6546654349248423E-3</v>
      </c>
      <c r="M89">
        <v>4.3594582259703311E-4</v>
      </c>
      <c r="N89" s="1">
        <v>1.41328535137927E-6</v>
      </c>
      <c r="O89" s="1">
        <v>8.7069777796221099E-6</v>
      </c>
      <c r="P89" s="1">
        <v>-1.7643633843704401E-5</v>
      </c>
      <c r="AE89">
        <v>100</v>
      </c>
      <c r="AJ89">
        <v>1</v>
      </c>
    </row>
    <row r="90" spans="1:36" x14ac:dyDescent="0.2">
      <c r="A90">
        <v>89</v>
      </c>
      <c r="B90">
        <v>764</v>
      </c>
      <c r="C90">
        <v>175</v>
      </c>
      <c r="D90">
        <v>0.41388468398978101</v>
      </c>
      <c r="E90">
        <v>5.7311688043125599</v>
      </c>
      <c r="F90">
        <v>0.41058006522061502</v>
      </c>
      <c r="G90">
        <v>-125.72779744537965</v>
      </c>
      <c r="H90">
        <v>-72.242621285058519</v>
      </c>
      <c r="I90">
        <v>51.572536168389298</v>
      </c>
      <c r="J90">
        <v>22.770384709530699</v>
      </c>
      <c r="K90">
        <v>13.958711807484001</v>
      </c>
      <c r="L90">
        <v>1.6573001620850663E-3</v>
      </c>
      <c r="M90">
        <v>4.3539960093590103E-4</v>
      </c>
      <c r="N90" s="1">
        <v>1.58784083699652E-6</v>
      </c>
      <c r="O90" s="1">
        <v>8.7123208729708403E-6</v>
      </c>
      <c r="P90" s="1">
        <v>-1.7723584912620501E-5</v>
      </c>
      <c r="AE90">
        <v>100</v>
      </c>
      <c r="AJ90">
        <v>1</v>
      </c>
    </row>
    <row r="91" spans="1:36" x14ac:dyDescent="0.2">
      <c r="A91">
        <v>90</v>
      </c>
      <c r="B91">
        <v>763</v>
      </c>
      <c r="C91">
        <v>175</v>
      </c>
      <c r="D91">
        <v>0.41325145973073701</v>
      </c>
      <c r="E91">
        <v>5.8562190081283196</v>
      </c>
      <c r="F91">
        <v>0.41126162494439</v>
      </c>
      <c r="G91">
        <v>-128.41840585034294</v>
      </c>
      <c r="H91">
        <v>-73.842183806820657</v>
      </c>
      <c r="I91">
        <v>52.675359100180202</v>
      </c>
      <c r="J91">
        <v>23.288144010636099</v>
      </c>
      <c r="K91">
        <v>14.239643703494499</v>
      </c>
      <c r="L91">
        <v>1.6599311622991155E-3</v>
      </c>
      <c r="M91">
        <v>4.3484956205187603E-4</v>
      </c>
      <c r="N91" s="1">
        <v>1.79832167825812E-6</v>
      </c>
      <c r="O91" s="1">
        <v>8.8812267433375205E-6</v>
      </c>
      <c r="P91" s="1">
        <v>-1.8138090033322901E-5</v>
      </c>
      <c r="AE91">
        <v>100</v>
      </c>
      <c r="AJ91">
        <v>1</v>
      </c>
    </row>
    <row r="92" spans="1:36" x14ac:dyDescent="0.2">
      <c r="A92">
        <v>91</v>
      </c>
      <c r="B92">
        <v>762</v>
      </c>
      <c r="C92">
        <v>175</v>
      </c>
      <c r="D92">
        <v>0.41261701202724399</v>
      </c>
      <c r="E92">
        <v>5.9863547358639799</v>
      </c>
      <c r="F92">
        <v>0.411945399082977</v>
      </c>
      <c r="G92">
        <v>-131.21825957972914</v>
      </c>
      <c r="H92">
        <v>-75.506906403909937</v>
      </c>
      <c r="I92">
        <v>53.822903864757102</v>
      </c>
      <c r="J92">
        <v>23.827065289452801</v>
      </c>
      <c r="K92">
        <v>14.531913086515999</v>
      </c>
      <c r="L92">
        <v>1.6625582699135511E-3</v>
      </c>
      <c r="M92">
        <v>4.3429568703726645E-4</v>
      </c>
      <c r="N92" s="1">
        <v>2.01985368719439E-6</v>
      </c>
      <c r="O92" s="1">
        <v>9.0568348092884501E-6</v>
      </c>
      <c r="P92" s="1">
        <v>-1.8569477746813899E-5</v>
      </c>
      <c r="AE92">
        <v>100</v>
      </c>
      <c r="AJ92">
        <v>1</v>
      </c>
    </row>
    <row r="93" spans="1:36" x14ac:dyDescent="0.2">
      <c r="A93">
        <v>92</v>
      </c>
      <c r="B93">
        <v>761</v>
      </c>
      <c r="C93">
        <v>175</v>
      </c>
      <c r="D93">
        <v>0.411981337330175</v>
      </c>
      <c r="E93">
        <v>6.1239937312495298</v>
      </c>
      <c r="F93">
        <v>0.412631393275806</v>
      </c>
      <c r="G93">
        <v>-134.18019712037426</v>
      </c>
      <c r="H93">
        <v>-77.267356235269489</v>
      </c>
      <c r="I93">
        <v>55.036837412729298</v>
      </c>
      <c r="J93">
        <v>24.396835845940299</v>
      </c>
      <c r="K93">
        <v>14.8413180166255</v>
      </c>
      <c r="L93">
        <v>1.6651813175267126E-3</v>
      </c>
      <c r="M93">
        <v>4.3373795712486934E-4</v>
      </c>
      <c r="N93" s="1">
        <v>2.25391304027581E-6</v>
      </c>
      <c r="O93" s="1">
        <v>9.2427324188861694E-6</v>
      </c>
      <c r="P93" s="1">
        <v>-1.9025321892226298E-5</v>
      </c>
      <c r="AE93">
        <v>100</v>
      </c>
      <c r="AJ93">
        <v>1</v>
      </c>
    </row>
    <row r="94" spans="1:36" x14ac:dyDescent="0.2">
      <c r="A94">
        <v>93</v>
      </c>
      <c r="B94">
        <v>760</v>
      </c>
      <c r="C94">
        <v>175</v>
      </c>
      <c r="D94">
        <v>0.41134443207665999</v>
      </c>
      <c r="E94">
        <v>6.2740196737287199</v>
      </c>
      <c r="F94">
        <v>0.41331961311145299</v>
      </c>
      <c r="G94">
        <v>-137.41097808692754</v>
      </c>
      <c r="H94">
        <v>-79.185262027746759</v>
      </c>
      <c r="I94">
        <v>56.360941236516503</v>
      </c>
      <c r="J94">
        <v>25.017010371460302</v>
      </c>
      <c r="K94">
        <v>15.1795837281907</v>
      </c>
      <c r="L94">
        <v>1.6678001359930626E-3</v>
      </c>
      <c r="M94">
        <v>4.3317635369420941E-4</v>
      </c>
      <c r="N94" s="1">
        <v>2.5032684533700802E-6</v>
      </c>
      <c r="O94" s="1">
        <v>9.4461837308729407E-6</v>
      </c>
      <c r="P94" s="1">
        <v>-1.9520913408777301E-5</v>
      </c>
      <c r="AE94">
        <v>100</v>
      </c>
      <c r="AJ94">
        <v>1</v>
      </c>
    </row>
    <row r="95" spans="1:36" x14ac:dyDescent="0.2">
      <c r="A95">
        <v>94</v>
      </c>
      <c r="B95">
        <v>759</v>
      </c>
      <c r="C95">
        <v>175</v>
      </c>
      <c r="D95">
        <v>0.41070629269001901</v>
      </c>
      <c r="E95">
        <v>6.5818145522815303</v>
      </c>
      <c r="F95">
        <v>0.41401006412639402</v>
      </c>
      <c r="G95">
        <v>-144.09306070153971</v>
      </c>
      <c r="H95">
        <v>-83.096239490606493</v>
      </c>
      <c r="I95">
        <v>59.100506447115002</v>
      </c>
      <c r="J95">
        <v>26.267940807400201</v>
      </c>
      <c r="K95">
        <v>15.8977163180075</v>
      </c>
      <c r="L95">
        <v>1.6704145544284377E-3</v>
      </c>
      <c r="M95">
        <v>4.3261085827785302E-4</v>
      </c>
      <c r="N95" s="1">
        <v>2.8317609843561198E-6</v>
      </c>
      <c r="O95" s="1">
        <v>9.8853984268009893E-6</v>
      </c>
      <c r="P95" s="1">
        <v>-2.0509437143925001E-5</v>
      </c>
      <c r="AE95">
        <v>100</v>
      </c>
      <c r="AJ95">
        <v>1</v>
      </c>
    </row>
    <row r="96" spans="1:36" x14ac:dyDescent="0.2">
      <c r="A96">
        <v>95</v>
      </c>
      <c r="B96">
        <v>758</v>
      </c>
      <c r="C96">
        <v>175</v>
      </c>
      <c r="D96">
        <v>0.41006691557969399</v>
      </c>
      <c r="E96">
        <v>7.4040974759208904</v>
      </c>
      <c r="F96">
        <v>0.41470275180371802</v>
      </c>
      <c r="G96">
        <v>-162.0285055027235</v>
      </c>
      <c r="H96">
        <v>-93.50722815646165</v>
      </c>
      <c r="I96">
        <v>66.455427848034901</v>
      </c>
      <c r="J96">
        <v>29.576272755481501</v>
      </c>
      <c r="K96">
        <v>17.853986846523899</v>
      </c>
      <c r="L96">
        <v>1.6730244002158929E-3</v>
      </c>
      <c r="M96">
        <v>4.3204145256789725E-4</v>
      </c>
      <c r="N96" s="1">
        <v>3.41920186709084E-6</v>
      </c>
      <c r="O96" s="1">
        <v>1.1093070481279399E-5</v>
      </c>
      <c r="P96" s="1">
        <v>-2.3106322871868E-5</v>
      </c>
      <c r="AE96">
        <v>100</v>
      </c>
      <c r="AJ96">
        <v>1</v>
      </c>
    </row>
    <row r="97" spans="1:36" x14ac:dyDescent="0.2">
      <c r="A97">
        <v>96</v>
      </c>
      <c r="B97">
        <v>757</v>
      </c>
      <c r="C97">
        <v>175</v>
      </c>
      <c r="D97">
        <v>0.40942629714119499</v>
      </c>
      <c r="E97">
        <v>9.1234109366424008</v>
      </c>
      <c r="F97">
        <v>0.41539768157183499</v>
      </c>
      <c r="G97">
        <v>-199.57145009283778</v>
      </c>
      <c r="H97">
        <v>-115.25710308117772</v>
      </c>
      <c r="I97">
        <v>81.851738084394995</v>
      </c>
      <c r="J97">
        <v>36.4770354488059</v>
      </c>
      <c r="K97">
        <v>21.9630762071662</v>
      </c>
      <c r="L97">
        <v>1.6756294990119024E-3</v>
      </c>
      <c r="M97">
        <v>4.3146811842239527E-4</v>
      </c>
      <c r="N97" s="1">
        <v>4.5039123025582499E-6</v>
      </c>
      <c r="O97" s="1">
        <v>1.36351839792073E-5</v>
      </c>
      <c r="P97" s="1">
        <v>-2.8514334038169001E-5</v>
      </c>
      <c r="AE97">
        <v>100</v>
      </c>
      <c r="AJ97">
        <v>1</v>
      </c>
    </row>
    <row r="98" spans="1:36" x14ac:dyDescent="0.2">
      <c r="A98">
        <v>97</v>
      </c>
      <c r="B98">
        <v>756</v>
      </c>
      <c r="C98">
        <v>175</v>
      </c>
      <c r="D98">
        <v>0.40878443375601398</v>
      </c>
      <c r="E98">
        <v>9.9916352381584392</v>
      </c>
      <c r="F98">
        <v>0.41609485880319902</v>
      </c>
      <c r="G98">
        <v>-218.47393386299439</v>
      </c>
      <c r="H98">
        <v>-126.26544720489504</v>
      </c>
      <c r="I98">
        <v>89.602297512839996</v>
      </c>
      <c r="J98">
        <v>39.984336311171901</v>
      </c>
      <c r="K98">
        <v>24.012878378014701</v>
      </c>
      <c r="L98">
        <v>1.678229674753767E-3</v>
      </c>
      <c r="M98">
        <v>4.3089083787200758E-4</v>
      </c>
      <c r="N98" s="1">
        <v>5.2540116001276798E-6</v>
      </c>
      <c r="O98" s="1">
        <v>1.4895579299695399E-5</v>
      </c>
      <c r="P98" s="1">
        <v>-3.1274216447546199E-5</v>
      </c>
      <c r="AE98">
        <v>100</v>
      </c>
      <c r="AJ98">
        <v>1</v>
      </c>
    </row>
    <row r="99" spans="1:36" x14ac:dyDescent="0.2">
      <c r="A99">
        <v>98</v>
      </c>
      <c r="B99">
        <v>755</v>
      </c>
      <c r="C99">
        <v>175</v>
      </c>
      <c r="D99">
        <v>0.40814132179156798</v>
      </c>
      <c r="E99">
        <v>10.3298452522108</v>
      </c>
      <c r="F99">
        <v>0.41679428881299901</v>
      </c>
      <c r="G99">
        <v>-225.77651181215148</v>
      </c>
      <c r="H99">
        <v>-130.58080256531821</v>
      </c>
      <c r="I99">
        <v>92.595069414590995</v>
      </c>
      <c r="J99">
        <v>41.375016523056701</v>
      </c>
      <c r="K99">
        <v>24.784037424383801</v>
      </c>
      <c r="L99">
        <v>1.6808247496673274E-3</v>
      </c>
      <c r="M99">
        <v>4.3030959312664792E-4</v>
      </c>
      <c r="N99" s="1">
        <v>5.7674195914297901E-6</v>
      </c>
      <c r="O99" s="1">
        <v>1.53611797880905E-5</v>
      </c>
      <c r="P99" s="1">
        <v>-3.2380536744785599E-5</v>
      </c>
      <c r="AE99">
        <v>100</v>
      </c>
      <c r="AJ99">
        <v>1</v>
      </c>
    </row>
    <row r="100" spans="1:36" x14ac:dyDescent="0.2">
      <c r="A100">
        <v>99</v>
      </c>
      <c r="B100">
        <v>754</v>
      </c>
      <c r="C100">
        <v>175</v>
      </c>
      <c r="D100">
        <v>0.40749695760112897</v>
      </c>
      <c r="E100">
        <v>10.4764557155617</v>
      </c>
      <c r="F100">
        <v>0.41749597685781797</v>
      </c>
      <c r="G100">
        <v>-228.88704648245053</v>
      </c>
      <c r="H100">
        <v>-132.47610401739107</v>
      </c>
      <c r="I100">
        <v>93.868410394146807</v>
      </c>
      <c r="J100">
        <v>42.000048761174398</v>
      </c>
      <c r="K100">
        <v>25.093548911321701</v>
      </c>
      <c r="L100">
        <v>1.6834145442753245E-3</v>
      </c>
      <c r="M100">
        <v>4.2972436658222468E-4</v>
      </c>
      <c r="N100" s="1">
        <v>6.1928450229809398E-6</v>
      </c>
      <c r="O100" s="1">
        <v>1.5539887240341101E-5</v>
      </c>
      <c r="P100" s="1">
        <v>-3.2888295598107401E-5</v>
      </c>
      <c r="AE100">
        <v>100</v>
      </c>
      <c r="AJ100">
        <v>1</v>
      </c>
    </row>
    <row r="101" spans="1:36" x14ac:dyDescent="0.2">
      <c r="A101">
        <v>100</v>
      </c>
      <c r="B101">
        <v>775</v>
      </c>
      <c r="C101">
        <v>150</v>
      </c>
      <c r="D101">
        <v>0.44700710776129698</v>
      </c>
      <c r="E101">
        <v>6.14035113228715</v>
      </c>
      <c r="F101">
        <v>0.35562462570499698</v>
      </c>
      <c r="G101">
        <v>-135.71801762026027</v>
      </c>
      <c r="H101">
        <v>-76.820902400121497</v>
      </c>
      <c r="I101">
        <v>56.1948472128201</v>
      </c>
      <c r="J101">
        <v>24.0292971032708</v>
      </c>
      <c r="K101">
        <v>17.266383395453499</v>
      </c>
      <c r="L101">
        <v>1.74863251799447E-3</v>
      </c>
      <c r="M101">
        <v>5.7157698103235167E-4</v>
      </c>
      <c r="N101" s="1">
        <v>-1.05455972696614E-5</v>
      </c>
      <c r="O101" s="1">
        <v>1.6366514905598101E-5</v>
      </c>
      <c r="P101" s="1">
        <v>-2.48227115060846E-5</v>
      </c>
      <c r="AE101">
        <v>100</v>
      </c>
      <c r="AJ101">
        <v>1</v>
      </c>
    </row>
    <row r="102" spans="1:36" x14ac:dyDescent="0.2">
      <c r="A102">
        <v>101</v>
      </c>
      <c r="B102">
        <v>774</v>
      </c>
      <c r="C102">
        <v>150</v>
      </c>
      <c r="D102">
        <v>0.44641216635630598</v>
      </c>
      <c r="E102">
        <v>6.1559202745939903</v>
      </c>
      <c r="F102">
        <v>0.35624768027248299</v>
      </c>
      <c r="G102">
        <v>-136.00581105486302</v>
      </c>
      <c r="H102">
        <v>-77.039788528550176</v>
      </c>
      <c r="I102">
        <v>56.314324902746201</v>
      </c>
      <c r="J102">
        <v>24.116194454473298</v>
      </c>
      <c r="K102">
        <v>17.279888727655699</v>
      </c>
      <c r="L102">
        <v>1.7523037160198554E-3</v>
      </c>
      <c r="M102">
        <v>5.7113666056184315E-4</v>
      </c>
      <c r="N102" s="1">
        <v>-1.0425499420086499E-5</v>
      </c>
      <c r="O102" s="1">
        <v>1.6379574006783301E-5</v>
      </c>
      <c r="P102" s="1">
        <v>-2.4940034391902902E-5</v>
      </c>
      <c r="AE102">
        <v>100</v>
      </c>
      <c r="AJ102">
        <v>1</v>
      </c>
    </row>
    <row r="103" spans="1:36" x14ac:dyDescent="0.2">
      <c r="A103">
        <v>102</v>
      </c>
      <c r="B103">
        <v>773</v>
      </c>
      <c r="C103">
        <v>150</v>
      </c>
      <c r="D103">
        <v>0.44581608755914398</v>
      </c>
      <c r="E103">
        <v>6.1823208753704098</v>
      </c>
      <c r="F103">
        <v>0.35687313754174299</v>
      </c>
      <c r="G103">
        <v>-136.5325484050181</v>
      </c>
      <c r="H103">
        <v>-77.394418081482669</v>
      </c>
      <c r="I103">
        <v>56.532684822614598</v>
      </c>
      <c r="J103">
        <v>24.245789163173001</v>
      </c>
      <c r="K103">
        <v>17.323581477597902</v>
      </c>
      <c r="L103">
        <v>1.7559802734019516E-3</v>
      </c>
      <c r="M103">
        <v>5.7069198063049425E-4</v>
      </c>
      <c r="N103" s="1">
        <v>-1.03201092355453E-5</v>
      </c>
      <c r="O103" s="1">
        <v>1.64211472546595E-5</v>
      </c>
      <c r="P103" s="1">
        <v>-2.5101819098678399E-5</v>
      </c>
      <c r="AE103">
        <v>100</v>
      </c>
      <c r="AJ103">
        <v>1</v>
      </c>
    </row>
    <row r="104" spans="1:36" x14ac:dyDescent="0.2">
      <c r="A104">
        <v>103</v>
      </c>
      <c r="B104">
        <v>772</v>
      </c>
      <c r="C104">
        <v>150</v>
      </c>
      <c r="D104">
        <v>0.44521886810505501</v>
      </c>
      <c r="E104">
        <v>6.2087282608344303</v>
      </c>
      <c r="F104">
        <v>0.35750100822311298</v>
      </c>
      <c r="G104">
        <v>-137.0589758774978</v>
      </c>
      <c r="H104">
        <v>-77.749365884098026</v>
      </c>
      <c r="I104">
        <v>56.750861607396303</v>
      </c>
      <c r="J104">
        <v>24.375721329186401</v>
      </c>
      <c r="K104">
        <v>17.3670230797212</v>
      </c>
      <c r="L104">
        <v>1.7596620566039767E-3</v>
      </c>
      <c r="M104">
        <v>5.7024290048188762E-4</v>
      </c>
      <c r="N104" s="1">
        <v>-1.021077268879E-5</v>
      </c>
      <c r="O104" s="1">
        <v>1.6462379618093599E-5</v>
      </c>
      <c r="P104" s="1">
        <v>-2.5264306883140001E-5</v>
      </c>
      <c r="AE104">
        <v>100</v>
      </c>
      <c r="AJ104">
        <v>1</v>
      </c>
    </row>
    <row r="105" spans="1:36" x14ac:dyDescent="0.2">
      <c r="A105">
        <v>104</v>
      </c>
      <c r="B105">
        <v>771</v>
      </c>
      <c r="C105">
        <v>150</v>
      </c>
      <c r="D105">
        <v>0.44462050471675502</v>
      </c>
      <c r="E105">
        <v>6.2596880677215196</v>
      </c>
      <c r="F105">
        <v>0.35813130303401502</v>
      </c>
      <c r="G105">
        <v>-138.12671938618885</v>
      </c>
      <c r="H105">
        <v>-78.412103833644693</v>
      </c>
      <c r="I105">
        <v>57.193121419762797</v>
      </c>
      <c r="J105">
        <v>24.602463444492901</v>
      </c>
      <c r="K105">
        <v>17.478751549196399</v>
      </c>
      <c r="L105">
        <v>1.7633489290803178E-3</v>
      </c>
      <c r="M105">
        <v>5.6978937911685359E-4</v>
      </c>
      <c r="N105" s="1">
        <v>-1.0137175883040399E-5</v>
      </c>
      <c r="O105" s="1">
        <v>1.6568235910815701E-5</v>
      </c>
      <c r="P105" s="1">
        <v>-2.5527597627020701E-5</v>
      </c>
      <c r="AE105">
        <v>100</v>
      </c>
      <c r="AJ105">
        <v>1</v>
      </c>
    </row>
    <row r="106" spans="1:36" x14ac:dyDescent="0.2">
      <c r="A106">
        <v>105</v>
      </c>
      <c r="B106">
        <v>770</v>
      </c>
      <c r="C106">
        <v>150</v>
      </c>
      <c r="D106">
        <v>0.44402099410439499</v>
      </c>
      <c r="E106">
        <v>6.3743121647774199</v>
      </c>
      <c r="F106">
        <v>0.35876403269776902</v>
      </c>
      <c r="G106">
        <v>-140.59779440775074</v>
      </c>
      <c r="H106">
        <v>-79.873011393566529</v>
      </c>
      <c r="I106">
        <v>58.216393411333399</v>
      </c>
      <c r="J106">
        <v>25.080219642219198</v>
      </c>
      <c r="K106">
        <v>17.767422550262399</v>
      </c>
      <c r="L106">
        <v>1.7670407512394338E-3</v>
      </c>
      <c r="M106">
        <v>5.6933137529686646E-4</v>
      </c>
      <c r="N106" s="1">
        <v>-1.01597086572809E-5</v>
      </c>
      <c r="O106" s="1">
        <v>1.6841705822963902E-5</v>
      </c>
      <c r="P106" s="1">
        <v>-2.6052204562412999E-5</v>
      </c>
      <c r="AE106">
        <v>100</v>
      </c>
      <c r="AJ106">
        <v>1</v>
      </c>
    </row>
    <row r="107" spans="1:36" x14ac:dyDescent="0.2">
      <c r="A107">
        <v>106</v>
      </c>
      <c r="B107">
        <v>769</v>
      </c>
      <c r="C107">
        <v>150</v>
      </c>
      <c r="D107">
        <v>0.44342033296550898</v>
      </c>
      <c r="E107">
        <v>6.4939138224911304</v>
      </c>
      <c r="F107">
        <v>0.359399207942392</v>
      </c>
      <c r="G107">
        <v>-143.17654404134743</v>
      </c>
      <c r="H107">
        <v>-81.397238920832308</v>
      </c>
      <c r="I107">
        <v>59.284192617930501</v>
      </c>
      <c r="J107">
        <v>25.578651510747701</v>
      </c>
      <c r="K107">
        <v>18.0688039344038</v>
      </c>
      <c r="L107">
        <v>1.7707373804070822E-3</v>
      </c>
      <c r="M107">
        <v>5.6886884754770925E-4</v>
      </c>
      <c r="N107" s="1">
        <v>-1.01812915683171E-5</v>
      </c>
      <c r="O107" s="1">
        <v>1.71271040488396E-5</v>
      </c>
      <c r="P107" s="1">
        <v>-2.6599464444005299E-5</v>
      </c>
      <c r="AE107">
        <v>100</v>
      </c>
      <c r="AJ107">
        <v>1</v>
      </c>
    </row>
    <row r="108" spans="1:36" x14ac:dyDescent="0.2">
      <c r="A108">
        <v>107</v>
      </c>
      <c r="B108">
        <v>768</v>
      </c>
      <c r="C108">
        <v>150</v>
      </c>
      <c r="D108">
        <v>0.442818517984921</v>
      </c>
      <c r="E108">
        <v>6.6210381776583001</v>
      </c>
      <c r="F108">
        <v>0.36003683949936299</v>
      </c>
      <c r="G108">
        <v>-145.91892478889142</v>
      </c>
      <c r="H108">
        <v>-83.016758592661631</v>
      </c>
      <c r="I108">
        <v>60.419685118237801</v>
      </c>
      <c r="J108">
        <v>26.107863397476301</v>
      </c>
      <c r="K108">
        <v>18.389890842461899</v>
      </c>
      <c r="L108">
        <v>1.774438670789342E-3</v>
      </c>
      <c r="M108">
        <v>5.6840175416322618E-4</v>
      </c>
      <c r="N108" s="1">
        <v>-1.02052677799694E-5</v>
      </c>
      <c r="O108" s="1">
        <v>1.74310523775743E-5</v>
      </c>
      <c r="P108" s="1">
        <v>-2.7179968371888399E-5</v>
      </c>
      <c r="AE108">
        <v>100</v>
      </c>
      <c r="AJ108">
        <v>1</v>
      </c>
    </row>
    <row r="109" spans="1:36" x14ac:dyDescent="0.2">
      <c r="A109">
        <v>108</v>
      </c>
      <c r="B109">
        <v>767</v>
      </c>
      <c r="C109">
        <v>150</v>
      </c>
      <c r="D109">
        <v>0.44221554583473799</v>
      </c>
      <c r="E109">
        <v>6.7608628078437096</v>
      </c>
      <c r="F109">
        <v>0.36067693810235402</v>
      </c>
      <c r="G109">
        <v>-148.93879188267647</v>
      </c>
      <c r="H109">
        <v>-84.796599681981291</v>
      </c>
      <c r="I109">
        <v>61.670010269248003</v>
      </c>
      <c r="J109">
        <v>26.688395455406901</v>
      </c>
      <c r="K109">
        <v>18.744926812939401</v>
      </c>
      <c r="L109">
        <v>1.7781444734358755E-3</v>
      </c>
      <c r="M109">
        <v>5.6793005320932499E-4</v>
      </c>
      <c r="N109" s="1">
        <v>-1.0238677040865201E-5</v>
      </c>
      <c r="O109" s="1">
        <v>1.7767041378490001E-5</v>
      </c>
      <c r="P109" s="1">
        <v>-2.7815230588455299E-5</v>
      </c>
      <c r="AE109">
        <v>100</v>
      </c>
      <c r="AJ109">
        <v>1</v>
      </c>
    </row>
    <row r="110" spans="1:36" x14ac:dyDescent="0.2">
      <c r="A110">
        <v>109</v>
      </c>
      <c r="B110">
        <v>766</v>
      </c>
      <c r="C110">
        <v>150</v>
      </c>
      <c r="D110">
        <v>0.44161141317423203</v>
      </c>
      <c r="E110">
        <v>6.9269746006478696</v>
      </c>
      <c r="F110">
        <v>0.36131951448594002</v>
      </c>
      <c r="G110">
        <v>-152.5349885164313</v>
      </c>
      <c r="H110">
        <v>-86.90737855293068</v>
      </c>
      <c r="I110">
        <v>63.158902953117497</v>
      </c>
      <c r="J110">
        <v>27.3741100776233</v>
      </c>
      <c r="K110">
        <v>19.1713271022825</v>
      </c>
      <c r="L110">
        <v>1.7818546362032702E-3</v>
      </c>
      <c r="M110">
        <v>5.6745370252813743E-4</v>
      </c>
      <c r="N110" s="1">
        <v>-1.0300473445783E-5</v>
      </c>
      <c r="O110" s="1">
        <v>1.81705207034399E-5</v>
      </c>
      <c r="P110" s="1">
        <v>-2.8561628373430498E-5</v>
      </c>
      <c r="AE110">
        <v>100</v>
      </c>
      <c r="AJ110">
        <v>1</v>
      </c>
    </row>
    <row r="111" spans="1:36" x14ac:dyDescent="0.2">
      <c r="A111">
        <v>110</v>
      </c>
      <c r="B111">
        <v>765</v>
      </c>
      <c r="C111">
        <v>150</v>
      </c>
      <c r="D111">
        <v>0.44100611664981298</v>
      </c>
      <c r="E111">
        <v>7.5920756490458903</v>
      </c>
      <c r="F111">
        <v>0.36196457938427801</v>
      </c>
      <c r="G111">
        <v>-167.11159367216916</v>
      </c>
      <c r="H111">
        <v>-95.281904574835039</v>
      </c>
      <c r="I111">
        <v>69.194272262416106</v>
      </c>
      <c r="J111">
        <v>30.035438180592099</v>
      </c>
      <c r="K111">
        <v>20.974636971276102</v>
      </c>
      <c r="L111">
        <v>1.7855690037185882E-3</v>
      </c>
      <c r="M111">
        <v>5.669726597424163E-4</v>
      </c>
      <c r="N111" s="1">
        <v>-1.1077977196062899E-5</v>
      </c>
      <c r="O111" s="1">
        <v>1.9878808110171199E-5</v>
      </c>
      <c r="P111" s="1">
        <v>-3.1373271018247401E-5</v>
      </c>
      <c r="AE111">
        <v>100</v>
      </c>
      <c r="AJ111">
        <v>1</v>
      </c>
    </row>
    <row r="112" spans="1:36" x14ac:dyDescent="0.2">
      <c r="A112">
        <v>111</v>
      </c>
      <c r="B112">
        <v>764</v>
      </c>
      <c r="C112">
        <v>150</v>
      </c>
      <c r="D112">
        <v>0.44039965289495597</v>
      </c>
      <c r="E112">
        <v>8.9120447495341502</v>
      </c>
      <c r="F112">
        <v>0.36261214352975601</v>
      </c>
      <c r="G112">
        <v>-196.08464619522192</v>
      </c>
      <c r="H112">
        <v>-111.8830292442308</v>
      </c>
      <c r="I112">
        <v>81.190490257203905</v>
      </c>
      <c r="J112">
        <v>35.296267219027101</v>
      </c>
      <c r="K112">
        <v>24.577347748980699</v>
      </c>
      <c r="L112">
        <v>1.7892874173430714E-3</v>
      </c>
      <c r="M112">
        <v>5.6648688226013013E-4</v>
      </c>
      <c r="N112" s="1">
        <v>-1.2751551694919001E-5</v>
      </c>
      <c r="O112" s="1">
        <v>2.3292086625978299E-5</v>
      </c>
      <c r="P112" s="1">
        <v>-3.69094481056867E-5</v>
      </c>
      <c r="AE112">
        <v>100</v>
      </c>
      <c r="AJ112">
        <v>1</v>
      </c>
    </row>
    <row r="113" spans="1:36" x14ac:dyDescent="0.2">
      <c r="A113">
        <v>112</v>
      </c>
      <c r="B113">
        <v>763</v>
      </c>
      <c r="C113">
        <v>150</v>
      </c>
      <c r="D113">
        <v>0.43979201853014099</v>
      </c>
      <c r="E113">
        <v>9.7574660462970293</v>
      </c>
      <c r="F113">
        <v>0.36326221765161398</v>
      </c>
      <c r="G113">
        <v>-214.59690608548857</v>
      </c>
      <c r="H113">
        <v>-122.53522976210297</v>
      </c>
      <c r="I113">
        <v>88.855146595217207</v>
      </c>
      <c r="J113">
        <v>38.687206606768598</v>
      </c>
      <c r="K113">
        <v>26.860668608412499</v>
      </c>
      <c r="L113">
        <v>1.7930097151359567E-3</v>
      </c>
      <c r="M113">
        <v>5.6599632727922838E-4</v>
      </c>
      <c r="N113" s="1">
        <v>-1.36801714422034E-5</v>
      </c>
      <c r="O113" s="1">
        <v>2.5454491891992799E-5</v>
      </c>
      <c r="P113" s="1">
        <v>-4.0500380820216299E-5</v>
      </c>
      <c r="AE113">
        <v>100</v>
      </c>
      <c r="AJ113">
        <v>1</v>
      </c>
    </row>
    <row r="114" spans="1:36" x14ac:dyDescent="0.2">
      <c r="A114">
        <v>113</v>
      </c>
      <c r="B114">
        <v>762</v>
      </c>
      <c r="C114">
        <v>150</v>
      </c>
      <c r="D114">
        <v>0.439183210162781</v>
      </c>
      <c r="E114">
        <v>10.2310143634152</v>
      </c>
      <c r="F114">
        <v>0.363914812474528</v>
      </c>
      <c r="G114">
        <v>-224.91855272084391</v>
      </c>
      <c r="H114">
        <v>-128.52268384002721</v>
      </c>
      <c r="I114">
        <v>93.128265174604294</v>
      </c>
      <c r="J114">
        <v>40.609611669171201</v>
      </c>
      <c r="K114">
        <v>28.113761827519401</v>
      </c>
      <c r="L114">
        <v>1.7967357318186277E-3</v>
      </c>
      <c r="M114">
        <v>5.6550095179265546E-4</v>
      </c>
      <c r="N114" s="1">
        <v>-1.4044536248691E-5</v>
      </c>
      <c r="O114" s="1">
        <v>2.6640199956858501E-5</v>
      </c>
      <c r="P114" s="1">
        <v>-4.2560183982211403E-5</v>
      </c>
      <c r="AE114">
        <v>100</v>
      </c>
      <c r="AJ114">
        <v>1</v>
      </c>
    </row>
    <row r="115" spans="1:36" x14ac:dyDescent="0.2">
      <c r="A115">
        <v>114</v>
      </c>
      <c r="B115">
        <v>761</v>
      </c>
      <c r="C115">
        <v>150</v>
      </c>
      <c r="D115">
        <v>0.43857322438717999</v>
      </c>
      <c r="E115">
        <v>10.4325858706695</v>
      </c>
      <c r="F115">
        <v>0.36456993871718202</v>
      </c>
      <c r="G115">
        <v>-229.2549563522023</v>
      </c>
      <c r="H115">
        <v>-131.09627116112574</v>
      </c>
      <c r="I115">
        <v>94.923033754625393</v>
      </c>
      <c r="J115">
        <v>41.455563926475698</v>
      </c>
      <c r="K115">
        <v>28.6161440171912</v>
      </c>
      <c r="L115">
        <v>1.8004652987390155E-3</v>
      </c>
      <c r="M115">
        <v>5.650007125935926E-4</v>
      </c>
      <c r="N115" s="1">
        <v>-1.4010741099507899E-5</v>
      </c>
      <c r="O115" s="1">
        <v>2.7114221947662199E-5</v>
      </c>
      <c r="P115" s="1">
        <v>-4.3495099034284303E-5</v>
      </c>
      <c r="AE115">
        <v>100</v>
      </c>
      <c r="AJ115">
        <v>1</v>
      </c>
    </row>
    <row r="116" spans="1:36" x14ac:dyDescent="0.2">
      <c r="A116">
        <v>115</v>
      </c>
      <c r="B116">
        <v>788</v>
      </c>
      <c r="C116">
        <v>125</v>
      </c>
      <c r="D116">
        <v>0.48055458700466802</v>
      </c>
      <c r="E116">
        <v>6.6040977758884196</v>
      </c>
      <c r="F116">
        <v>0.29456293014801499</v>
      </c>
      <c r="G116">
        <v>-147.27029486083245</v>
      </c>
      <c r="H116">
        <v>-81.851613939522338</v>
      </c>
      <c r="I116">
        <v>61.652415013518798</v>
      </c>
      <c r="J116">
        <v>24.930765903107702</v>
      </c>
      <c r="K116">
        <v>22.4199894147233</v>
      </c>
      <c r="L116">
        <v>1.7755161207574585E-3</v>
      </c>
      <c r="M116">
        <v>7.6194404098586799E-4</v>
      </c>
      <c r="N116" s="1">
        <v>-3.0106953161669001E-5</v>
      </c>
      <c r="O116" s="1">
        <v>3.28351496099056E-5</v>
      </c>
      <c r="P116" s="1">
        <v>-3.4420990962088001E-5</v>
      </c>
      <c r="AE116">
        <v>100</v>
      </c>
      <c r="AJ116">
        <v>1</v>
      </c>
    </row>
    <row r="117" spans="1:36" x14ac:dyDescent="0.2">
      <c r="A117">
        <v>116</v>
      </c>
      <c r="B117">
        <v>787</v>
      </c>
      <c r="C117">
        <v>125</v>
      </c>
      <c r="D117">
        <v>0.479998585105882</v>
      </c>
      <c r="E117">
        <v>6.6177221094694101</v>
      </c>
      <c r="F117">
        <v>0.29508706006717</v>
      </c>
      <c r="G117">
        <v>-147.51234743509434</v>
      </c>
      <c r="H117">
        <v>-82.045471643804404</v>
      </c>
      <c r="I117">
        <v>61.756037219502502</v>
      </c>
      <c r="J117">
        <v>25.011497361961499</v>
      </c>
      <c r="K117">
        <v>22.4263378677567</v>
      </c>
      <c r="L117">
        <v>1.7800201848946905E-3</v>
      </c>
      <c r="M117">
        <v>7.6175999597960379E-4</v>
      </c>
      <c r="N117" s="1">
        <v>-3.0148621972906101E-5</v>
      </c>
      <c r="O117" s="1">
        <v>3.2863336478350703E-5</v>
      </c>
      <c r="P117" s="1">
        <v>-3.4572627521186097E-5</v>
      </c>
      <c r="AE117">
        <v>100</v>
      </c>
      <c r="AJ117">
        <v>1</v>
      </c>
    </row>
    <row r="118" spans="1:36" x14ac:dyDescent="0.2">
      <c r="A118">
        <v>117</v>
      </c>
      <c r="B118">
        <v>786</v>
      </c>
      <c r="C118">
        <v>125</v>
      </c>
      <c r="D118">
        <v>0.47944153330501299</v>
      </c>
      <c r="E118">
        <v>6.6396752344931</v>
      </c>
      <c r="F118">
        <v>0.295613456641098</v>
      </c>
      <c r="G118">
        <v>-147.93974455247513</v>
      </c>
      <c r="H118">
        <v>-82.34275224661738</v>
      </c>
      <c r="I118">
        <v>61.937206189632903</v>
      </c>
      <c r="J118">
        <v>25.124022163292199</v>
      </c>
      <c r="K118">
        <v>22.460666405163899</v>
      </c>
      <c r="L118">
        <v>1.7845417502645997E-3</v>
      </c>
      <c r="M118">
        <v>7.6157270578989557E-4</v>
      </c>
      <c r="N118" s="1">
        <v>-3.02260479445147E-5</v>
      </c>
      <c r="O118" s="1">
        <v>3.29325772534711E-5</v>
      </c>
      <c r="P118" s="1">
        <v>-3.4768800553808801E-5</v>
      </c>
      <c r="AE118">
        <v>100</v>
      </c>
      <c r="AJ118">
        <v>1</v>
      </c>
    </row>
    <row r="119" spans="1:36" x14ac:dyDescent="0.2">
      <c r="A119">
        <v>118</v>
      </c>
      <c r="B119">
        <v>785</v>
      </c>
      <c r="C119">
        <v>125</v>
      </c>
      <c r="D119">
        <v>0.47888342862543298</v>
      </c>
      <c r="E119">
        <v>6.66162374653379</v>
      </c>
      <c r="F119">
        <v>0.29614213385389898</v>
      </c>
      <c r="G119">
        <v>-148.36665307840482</v>
      </c>
      <c r="H119">
        <v>-82.640171394047925</v>
      </c>
      <c r="I119">
        <v>62.118124910962699</v>
      </c>
      <c r="J119">
        <v>25.236883390361601</v>
      </c>
      <c r="K119">
        <v>22.4946840891619</v>
      </c>
      <c r="L119">
        <v>1.7890808336215285E-3</v>
      </c>
      <c r="M119">
        <v>7.6138212501897782E-4</v>
      </c>
      <c r="N119" s="1">
        <v>-3.03011773757315E-5</v>
      </c>
      <c r="O119" s="1">
        <v>3.3001436547297102E-5</v>
      </c>
      <c r="P119" s="1">
        <v>-3.4966085982643603E-5</v>
      </c>
      <c r="AE119">
        <v>100</v>
      </c>
      <c r="AJ119">
        <v>1</v>
      </c>
    </row>
    <row r="120" spans="1:36" x14ac:dyDescent="0.2">
      <c r="A120">
        <v>119</v>
      </c>
      <c r="B120">
        <v>784</v>
      </c>
      <c r="C120">
        <v>125</v>
      </c>
      <c r="D120">
        <v>0.47832426807926898</v>
      </c>
      <c r="E120">
        <v>6.6835582929282804</v>
      </c>
      <c r="F120">
        <v>0.29667310577810901</v>
      </c>
      <c r="G120">
        <v>-148.79286521415057</v>
      </c>
      <c r="H120">
        <v>-82.937613427765257</v>
      </c>
      <c r="I120">
        <v>62.298705509017601</v>
      </c>
      <c r="J120">
        <v>25.3500476281319</v>
      </c>
      <c r="K120">
        <v>22.528359203301299</v>
      </c>
      <c r="L120">
        <v>1.7936374498817899E-3</v>
      </c>
      <c r="M120">
        <v>7.6118820764652659E-4</v>
      </c>
      <c r="N120" s="1">
        <v>-3.0373903375732E-5</v>
      </c>
      <c r="O120" s="1">
        <v>3.30698658013724E-5</v>
      </c>
      <c r="P120" s="1">
        <v>-3.5164444828215303E-5</v>
      </c>
      <c r="AE120">
        <v>100</v>
      </c>
      <c r="AJ120">
        <v>1</v>
      </c>
    </row>
    <row r="121" spans="1:36" x14ac:dyDescent="0.2">
      <c r="A121">
        <v>120</v>
      </c>
      <c r="B121">
        <v>783</v>
      </c>
      <c r="C121">
        <v>125</v>
      </c>
      <c r="D121">
        <v>0.47776404866733202</v>
      </c>
      <c r="E121">
        <v>6.7054697702043899</v>
      </c>
      <c r="F121">
        <v>0.297206386574835</v>
      </c>
      <c r="G121">
        <v>-149.21817905573957</v>
      </c>
      <c r="H121">
        <v>-83.234965643187763</v>
      </c>
      <c r="I121">
        <v>62.478862561300303</v>
      </c>
      <c r="J121">
        <v>25.463482237366801</v>
      </c>
      <c r="K121">
        <v>22.561661098477</v>
      </c>
      <c r="L121">
        <v>1.7982116120702138E-3</v>
      </c>
      <c r="M121">
        <v>7.609909070222092E-4</v>
      </c>
      <c r="N121" s="1">
        <v>-3.04441190767303E-5</v>
      </c>
      <c r="O121" s="1">
        <v>3.3137817868331001E-5</v>
      </c>
      <c r="P121" s="1">
        <v>-3.5363839008844503E-5</v>
      </c>
      <c r="AE121">
        <v>100</v>
      </c>
      <c r="AJ121">
        <v>1</v>
      </c>
    </row>
    <row r="122" spans="1:36" x14ac:dyDescent="0.2">
      <c r="A122">
        <v>121</v>
      </c>
      <c r="B122">
        <v>782</v>
      </c>
      <c r="C122">
        <v>125</v>
      </c>
      <c r="D122">
        <v>0.47720276737904699</v>
      </c>
      <c r="E122">
        <v>6.7273493507405497</v>
      </c>
      <c r="F122">
        <v>0.29774199049387401</v>
      </c>
      <c r="G122">
        <v>-149.64239917503195</v>
      </c>
      <c r="H122">
        <v>-83.53211862481615</v>
      </c>
      <c r="I122">
        <v>62.6585133418195</v>
      </c>
      <c r="J122">
        <v>25.577155458955001</v>
      </c>
      <c r="K122">
        <v>22.594560275430698</v>
      </c>
      <c r="L122">
        <v>1.8028033312655956E-3</v>
      </c>
      <c r="M122">
        <v>7.6079017585822513E-4</v>
      </c>
      <c r="N122" s="1">
        <v>-3.0511717761326099E-5</v>
      </c>
      <c r="O122" s="1">
        <v>3.3205247136336201E-5</v>
      </c>
      <c r="P122" s="1">
        <v>-3.5564231486860002E-5</v>
      </c>
      <c r="AE122">
        <v>100</v>
      </c>
      <c r="AJ122">
        <v>1</v>
      </c>
    </row>
    <row r="123" spans="1:36" x14ac:dyDescent="0.2">
      <c r="A123">
        <v>122</v>
      </c>
      <c r="B123">
        <v>781</v>
      </c>
      <c r="C123">
        <v>125</v>
      </c>
      <c r="D123">
        <v>0.476640421192431</v>
      </c>
      <c r="E123">
        <v>6.7491885053141196</v>
      </c>
      <c r="F123">
        <v>0.29827993187381102</v>
      </c>
      <c r="G123">
        <v>-150.06533710790706</v>
      </c>
      <c r="H123">
        <v>-83.828966531128899</v>
      </c>
      <c r="I123">
        <v>62.837578026740502</v>
      </c>
      <c r="J123">
        <v>25.691036503366899</v>
      </c>
      <c r="K123">
        <v>22.627028452485298</v>
      </c>
      <c r="L123">
        <v>1.8074126165450433E-3</v>
      </c>
      <c r="M123">
        <v>7.6058596622182622E-4</v>
      </c>
      <c r="N123" s="1">
        <v>-3.0576592970304701E-5</v>
      </c>
      <c r="O123" s="1">
        <v>3.3272109632245803E-5</v>
      </c>
      <c r="P123" s="1">
        <v>-3.5765586395171902E-5</v>
      </c>
      <c r="AE123">
        <v>100</v>
      </c>
      <c r="AJ123">
        <v>1</v>
      </c>
    </row>
    <row r="124" spans="1:36" x14ac:dyDescent="0.2">
      <c r="A124">
        <v>123</v>
      </c>
      <c r="B124">
        <v>780</v>
      </c>
      <c r="C124">
        <v>125</v>
      </c>
      <c r="D124">
        <v>0.47607700707401701</v>
      </c>
      <c r="E124">
        <v>6.8119824202474701</v>
      </c>
      <c r="F124">
        <v>0.29882022514210899</v>
      </c>
      <c r="G124">
        <v>-151.39812320464034</v>
      </c>
      <c r="H124">
        <v>-84.63485029238484</v>
      </c>
      <c r="I124">
        <v>63.397589276836101</v>
      </c>
      <c r="J124">
        <v>25.961364994942802</v>
      </c>
      <c r="K124">
        <v>22.7962562340213</v>
      </c>
      <c r="L124">
        <v>1.8120394749271233E-3</v>
      </c>
      <c r="M124">
        <v>7.6037822952778472E-4</v>
      </c>
      <c r="N124" s="1">
        <v>-3.0824178718773398E-5</v>
      </c>
      <c r="O124" s="1">
        <v>3.3540252105290902E-5</v>
      </c>
      <c r="P124" s="1">
        <v>-3.6185681793224701E-5</v>
      </c>
      <c r="AE124">
        <v>100</v>
      </c>
      <c r="AJ124">
        <v>1</v>
      </c>
    </row>
    <row r="125" spans="1:36" x14ac:dyDescent="0.2">
      <c r="A125">
        <v>124</v>
      </c>
      <c r="B125">
        <v>779</v>
      </c>
      <c r="C125">
        <v>125</v>
      </c>
      <c r="D125">
        <v>0.475512521978807</v>
      </c>
      <c r="E125">
        <v>6.9149490242892497</v>
      </c>
      <c r="F125">
        <v>0.29936288481516998</v>
      </c>
      <c r="G125">
        <v>-153.6222400422991</v>
      </c>
      <c r="H125">
        <v>-85.940519154107946</v>
      </c>
      <c r="I125">
        <v>64.330825496981703</v>
      </c>
      <c r="J125">
        <v>26.385726393203299</v>
      </c>
      <c r="K125">
        <v>23.0988855834904</v>
      </c>
      <c r="L125">
        <v>1.8166839113140034E-3</v>
      </c>
      <c r="M125">
        <v>7.601669165309006E-4</v>
      </c>
      <c r="N125" s="1">
        <v>-3.1250160047704203E-5</v>
      </c>
      <c r="O125" s="1">
        <v>3.4005077050860799E-5</v>
      </c>
      <c r="P125" s="1">
        <v>-3.6821950534243003E-5</v>
      </c>
      <c r="AE125">
        <v>100</v>
      </c>
      <c r="AJ125">
        <v>1</v>
      </c>
    </row>
    <row r="126" spans="1:36" x14ac:dyDescent="0.2">
      <c r="A126">
        <v>125</v>
      </c>
      <c r="B126">
        <v>778</v>
      </c>
      <c r="C126">
        <v>125</v>
      </c>
      <c r="D126">
        <v>0.47494696285021398</v>
      </c>
      <c r="E126">
        <v>7.0228085949265502</v>
      </c>
      <c r="F126">
        <v>0.29990792549838502</v>
      </c>
      <c r="G126">
        <v>-155.95312257559931</v>
      </c>
      <c r="H126">
        <v>-87.307835387837514</v>
      </c>
      <c r="I126">
        <v>65.308762850296901</v>
      </c>
      <c r="J126">
        <v>26.829902954800499</v>
      </c>
      <c r="K126">
        <v>23.416548873311999</v>
      </c>
      <c r="L126">
        <v>1.8213459284321183E-3</v>
      </c>
      <c r="M126">
        <v>7.5995197731837339E-4</v>
      </c>
      <c r="N126" s="1">
        <v>-3.1694459201625101E-5</v>
      </c>
      <c r="O126" s="1">
        <v>3.4492566696547803E-5</v>
      </c>
      <c r="P126" s="1">
        <v>-3.7487660011898198E-5</v>
      </c>
      <c r="AE126">
        <v>100</v>
      </c>
      <c r="AJ126">
        <v>1</v>
      </c>
    </row>
    <row r="127" spans="1:36" x14ac:dyDescent="0.2">
      <c r="A127">
        <v>126</v>
      </c>
      <c r="B127">
        <v>777</v>
      </c>
      <c r="C127">
        <v>125</v>
      </c>
      <c r="D127">
        <v>0.47438032662001101</v>
      </c>
      <c r="E127">
        <v>7.1381973443590399</v>
      </c>
      <c r="F127">
        <v>0.30045536188616701</v>
      </c>
      <c r="G127">
        <v>-158.44915245801013</v>
      </c>
      <c r="H127">
        <v>-88.769640283550117</v>
      </c>
      <c r="I127">
        <v>66.355851153945594</v>
      </c>
      <c r="J127">
        <v>27.304054922942601</v>
      </c>
      <c r="K127">
        <v>23.757929629039101</v>
      </c>
      <c r="L127">
        <v>1.8260255267720873E-3</v>
      </c>
      <c r="M127">
        <v>7.5973336130231159E-4</v>
      </c>
      <c r="N127" s="1">
        <v>-3.2168695690252599E-5</v>
      </c>
      <c r="O127" s="1">
        <v>3.5015556053173601E-5</v>
      </c>
      <c r="P127" s="1">
        <v>-3.8197143070614303E-5</v>
      </c>
      <c r="AE127">
        <v>100</v>
      </c>
      <c r="AJ127">
        <v>1</v>
      </c>
    </row>
    <row r="128" spans="1:36" x14ac:dyDescent="0.2">
      <c r="A128">
        <v>127</v>
      </c>
      <c r="B128">
        <v>776</v>
      </c>
      <c r="C128">
        <v>125</v>
      </c>
      <c r="D128">
        <v>0.47381261020826598</v>
      </c>
      <c r="E128">
        <v>7.2664346906912503</v>
      </c>
      <c r="F128">
        <v>0.30100520876195502</v>
      </c>
      <c r="G128">
        <v>-161.22814860463626</v>
      </c>
      <c r="H128">
        <v>-90.39219388788888</v>
      </c>
      <c r="I128">
        <v>67.5214345106873</v>
      </c>
      <c r="J128">
        <v>27.828668783695999</v>
      </c>
      <c r="K128">
        <v>24.140561289880399</v>
      </c>
      <c r="L128">
        <v>1.8307227045269469E-3</v>
      </c>
      <c r="M128">
        <v>7.5951101721206862E-4</v>
      </c>
      <c r="N128" s="1">
        <v>-3.26964747681472E-5</v>
      </c>
      <c r="O128" s="1">
        <v>3.5599960374598602E-5</v>
      </c>
      <c r="P128" s="1">
        <v>-3.8979268305623501E-5</v>
      </c>
      <c r="AE128">
        <v>100</v>
      </c>
      <c r="AJ128">
        <v>1</v>
      </c>
    </row>
    <row r="129" spans="1:36" x14ac:dyDescent="0.2">
      <c r="A129">
        <v>128</v>
      </c>
      <c r="B129">
        <v>775</v>
      </c>
      <c r="C129">
        <v>125</v>
      </c>
      <c r="D129">
        <v>0.473243810523307</v>
      </c>
      <c r="E129">
        <v>7.4209848031708301</v>
      </c>
      <c r="F129">
        <v>0.301557480998209</v>
      </c>
      <c r="G129">
        <v>-164.58837304674893</v>
      </c>
      <c r="H129">
        <v>-92.343187399285029</v>
      </c>
      <c r="I129">
        <v>68.930432085740506</v>
      </c>
      <c r="J129">
        <v>28.455563346092401</v>
      </c>
      <c r="K129">
        <v>24.608856588820199</v>
      </c>
      <c r="L129">
        <v>1.8354374575295625E-3</v>
      </c>
      <c r="M129">
        <v>7.5928489308669817E-4</v>
      </c>
      <c r="N129" s="1">
        <v>-3.3337814255941098E-5</v>
      </c>
      <c r="O129" s="1">
        <v>3.6311415780874897E-5</v>
      </c>
      <c r="P129" s="1">
        <v>-3.9906990948901502E-5</v>
      </c>
      <c r="AE129">
        <v>100</v>
      </c>
      <c r="AJ129">
        <v>1</v>
      </c>
    </row>
    <row r="130" spans="1:36" x14ac:dyDescent="0.2">
      <c r="A130">
        <v>129</v>
      </c>
      <c r="B130">
        <v>774</v>
      </c>
      <c r="C130">
        <v>125</v>
      </c>
      <c r="D130">
        <v>0.47267392446163797</v>
      </c>
      <c r="E130">
        <v>7.8288630406157003</v>
      </c>
      <c r="F130">
        <v>0.30211219355637597</v>
      </c>
      <c r="G130">
        <v>-173.56190913452755</v>
      </c>
      <c r="H130">
        <v>-97.448667312238484</v>
      </c>
      <c r="I130">
        <v>72.690370986456699</v>
      </c>
      <c r="J130">
        <v>30.056683507018398</v>
      </c>
      <c r="K130">
        <v>25.9137605419252</v>
      </c>
      <c r="L130">
        <v>1.8401697791886685E-3</v>
      </c>
      <c r="M130">
        <v>7.5905493626736138E-4</v>
      </c>
      <c r="N130" s="1">
        <v>-3.5109993252659799E-5</v>
      </c>
      <c r="O130" s="1">
        <v>3.8258826297393801E-5</v>
      </c>
      <c r="P130" s="1">
        <v>-4.2205245539648198E-5</v>
      </c>
      <c r="AE130">
        <v>100</v>
      </c>
      <c r="AJ130">
        <v>1</v>
      </c>
    </row>
    <row r="131" spans="1:36" x14ac:dyDescent="0.2">
      <c r="A131">
        <v>130</v>
      </c>
      <c r="B131">
        <v>773</v>
      </c>
      <c r="C131">
        <v>125</v>
      </c>
      <c r="D131">
        <v>0.472102948907902</v>
      </c>
      <c r="E131">
        <v>8.2865584295416301</v>
      </c>
      <c r="F131">
        <v>0.30266936148683299</v>
      </c>
      <c r="G131">
        <v>-183.63185812987203</v>
      </c>
      <c r="H131">
        <v>-103.1775996479064</v>
      </c>
      <c r="I131">
        <v>76.909621526121398</v>
      </c>
      <c r="J131">
        <v>31.8533713278986</v>
      </c>
      <c r="K131">
        <v>27.378253249138702</v>
      </c>
      <c r="L131">
        <v>1.8449196604234809E-3</v>
      </c>
      <c r="M131">
        <v>7.5882109338966256E-4</v>
      </c>
      <c r="N131" s="1">
        <v>-3.7095584005161298E-5</v>
      </c>
      <c r="O131" s="1">
        <v>4.04441979243492E-5</v>
      </c>
      <c r="P131" s="1">
        <v>-4.4784465820132003E-5</v>
      </c>
      <c r="AE131">
        <v>100</v>
      </c>
      <c r="AJ131">
        <v>1</v>
      </c>
    </row>
    <row r="132" spans="1:36" x14ac:dyDescent="0.2">
      <c r="A132">
        <v>131</v>
      </c>
      <c r="B132">
        <v>772</v>
      </c>
      <c r="C132">
        <v>125</v>
      </c>
      <c r="D132">
        <v>0.47153088073482102</v>
      </c>
      <c r="E132">
        <v>9.5248449145078702</v>
      </c>
      <c r="F132">
        <v>0.30322899992881802</v>
      </c>
      <c r="G132">
        <v>-210.98415920332019</v>
      </c>
      <c r="H132">
        <v>-118.63238894578596</v>
      </c>
      <c r="I132">
        <v>88.3674314296386</v>
      </c>
      <c r="J132">
        <v>36.6589558943135</v>
      </c>
      <c r="K132">
        <v>31.411391775667099</v>
      </c>
      <c r="L132">
        <v>1.84968708959735E-3</v>
      </c>
      <c r="M132">
        <v>7.5858331037610021E-4</v>
      </c>
      <c r="N132" s="1">
        <v>-4.2557921494488001E-5</v>
      </c>
      <c r="O132" s="1">
        <v>4.6428726413228197E-5</v>
      </c>
      <c r="P132" s="1">
        <v>-5.1606185237502299E-5</v>
      </c>
      <c r="AE132">
        <v>100</v>
      </c>
      <c r="AJ132">
        <v>1</v>
      </c>
    </row>
    <row r="133" spans="1:36" x14ac:dyDescent="0.2">
      <c r="A133">
        <v>132</v>
      </c>
      <c r="B133">
        <v>771</v>
      </c>
      <c r="C133">
        <v>125</v>
      </c>
      <c r="D133">
        <v>0.47095771680314102</v>
      </c>
      <c r="E133">
        <v>10.0535840037738</v>
      </c>
      <c r="F133">
        <v>0.30379112411033399</v>
      </c>
      <c r="G133">
        <v>-222.60296667272871</v>
      </c>
      <c r="H133">
        <v>-125.25657717519974</v>
      </c>
      <c r="I133">
        <v>93.235782958058394</v>
      </c>
      <c r="J133">
        <v>38.742370031137902</v>
      </c>
      <c r="K133">
        <v>33.093738446823203</v>
      </c>
      <c r="L133">
        <v>1.8544720524500769E-3</v>
      </c>
      <c r="M133">
        <v>7.583415324284898E-4</v>
      </c>
      <c r="N133" s="1">
        <v>-4.4830686804714699E-5</v>
      </c>
      <c r="O133" s="1">
        <v>4.8943419477183697E-5</v>
      </c>
      <c r="P133" s="1">
        <v>-5.46085417452157E-5</v>
      </c>
      <c r="AE133">
        <v>100</v>
      </c>
      <c r="AJ133">
        <v>1</v>
      </c>
    </row>
    <row r="134" spans="1:36" x14ac:dyDescent="0.2">
      <c r="A134">
        <v>133</v>
      </c>
      <c r="B134">
        <v>770</v>
      </c>
      <c r="C134">
        <v>125</v>
      </c>
      <c r="D134">
        <v>0.47038345396155901</v>
      </c>
      <c r="E134">
        <v>10.3471188509043</v>
      </c>
      <c r="F134">
        <v>0.30435574934801402</v>
      </c>
      <c r="G134">
        <v>-229.00637446680494</v>
      </c>
      <c r="H134">
        <v>-128.95359643699931</v>
      </c>
      <c r="I134">
        <v>95.919761574651702</v>
      </c>
      <c r="J134">
        <v>39.923621492407499</v>
      </c>
      <c r="K134">
        <v>33.996791166487803</v>
      </c>
      <c r="L134">
        <v>1.8592745320286446E-3</v>
      </c>
      <c r="M134">
        <v>7.5809570402031587E-4</v>
      </c>
      <c r="N134" s="1">
        <v>-4.6042867987922501E-5</v>
      </c>
      <c r="O134" s="1">
        <v>5.03077685692437E-5</v>
      </c>
      <c r="P134" s="1">
        <v>-5.6345614193299901E-5</v>
      </c>
      <c r="AE134">
        <v>100</v>
      </c>
      <c r="AJ134">
        <v>1</v>
      </c>
    </row>
    <row r="135" spans="1:36" x14ac:dyDescent="0.2">
      <c r="A135">
        <v>134</v>
      </c>
      <c r="B135">
        <v>769</v>
      </c>
      <c r="C135">
        <v>125</v>
      </c>
      <c r="D135">
        <v>0.46980808904668597</v>
      </c>
      <c r="E135">
        <v>10.4867060926082</v>
      </c>
      <c r="F135">
        <v>0.304922891046987</v>
      </c>
      <c r="G135">
        <v>-231.99857810005005</v>
      </c>
      <c r="H135">
        <v>-130.73372558667228</v>
      </c>
      <c r="I135">
        <v>97.174930336862701</v>
      </c>
      <c r="J135">
        <v>40.5132353576873</v>
      </c>
      <c r="K135">
        <v>34.391337615227599</v>
      </c>
      <c r="L135">
        <v>1.8640945086170371E-3</v>
      </c>
      <c r="M135">
        <v>7.5784576888920777E-4</v>
      </c>
      <c r="N135" s="1">
        <v>-4.6561382346338797E-5</v>
      </c>
      <c r="O135" s="1">
        <v>5.09207250196004E-5</v>
      </c>
      <c r="P135" s="1">
        <v>-5.7251382447828599E-5</v>
      </c>
      <c r="AE135">
        <v>100</v>
      </c>
      <c r="AJ13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EBF64-C42B-4ED1-8DF8-2461234151FB}">
  <sheetPr codeName="Sheet14"/>
  <dimension ref="A1:AU135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763</v>
      </c>
      <c r="C2">
        <v>275</v>
      </c>
      <c r="D2">
        <v>0.30708922453313198</v>
      </c>
      <c r="E2">
        <v>202.05095138445617</v>
      </c>
      <c r="F2">
        <v>64.174284698875539</v>
      </c>
      <c r="G2">
        <v>72.308426512649959</v>
      </c>
      <c r="H2">
        <v>67.72328790412864</v>
      </c>
      <c r="J2">
        <v>76.251568957244103</v>
      </c>
      <c r="L2">
        <v>7.7866501761047804</v>
      </c>
      <c r="M2">
        <v>14.318540895253955</v>
      </c>
      <c r="N2">
        <v>2.5720307064242882</v>
      </c>
      <c r="O2">
        <v>31.988879174293622</v>
      </c>
      <c r="P2">
        <v>12.743143116372071</v>
      </c>
      <c r="Q2">
        <v>1.50537740229164</v>
      </c>
      <c r="R2">
        <v>17.838623680886482</v>
      </c>
      <c r="S2">
        <v>51.429030637823068</v>
      </c>
      <c r="U2">
        <v>2.2601571206134601</v>
      </c>
      <c r="V2">
        <v>49.727551829290086</v>
      </c>
      <c r="W2">
        <v>23.299555117981569</v>
      </c>
      <c r="X2">
        <v>49.578038003436795</v>
      </c>
      <c r="Y2">
        <v>9.5797016115399583</v>
      </c>
      <c r="Z2">
        <v>32.015469008016112</v>
      </c>
      <c r="AA2">
        <v>6.8572177272647679</v>
      </c>
      <c r="AB2">
        <v>37.630487190636877</v>
      </c>
      <c r="AC2">
        <v>6.9329401963847629E-3</v>
      </c>
      <c r="AD2">
        <v>8.5295923320218971</v>
      </c>
      <c r="AE2">
        <v>12.921543379754418</v>
      </c>
      <c r="AF2">
        <v>14.005850878406006</v>
      </c>
      <c r="AG2">
        <v>23.192800815403768</v>
      </c>
      <c r="AH2">
        <v>8.7394578400474572</v>
      </c>
      <c r="AI2">
        <v>2.5217022246280907</v>
      </c>
      <c r="AK2">
        <v>62.004249510117916</v>
      </c>
    </row>
    <row r="3" spans="1:47" x14ac:dyDescent="0.2">
      <c r="A3">
        <v>2</v>
      </c>
      <c r="B3">
        <v>762</v>
      </c>
      <c r="C3">
        <v>275</v>
      </c>
      <c r="D3">
        <v>0.306352219485102</v>
      </c>
      <c r="E3">
        <v>201.94282422681178</v>
      </c>
      <c r="F3">
        <v>63.841137345734673</v>
      </c>
      <c r="G3">
        <v>72.252571224731128</v>
      </c>
      <c r="H3">
        <v>67.664960532759522</v>
      </c>
      <c r="J3">
        <v>76.177506993115387</v>
      </c>
      <c r="L3">
        <v>7.7078143619981452</v>
      </c>
      <c r="M3">
        <v>14.264482147707206</v>
      </c>
      <c r="N3">
        <v>2.5667862841132036</v>
      </c>
      <c r="O3">
        <v>31.617221534416569</v>
      </c>
      <c r="P3">
        <v>12.647631104571424</v>
      </c>
      <c r="Q3">
        <v>1.4535654527661255</v>
      </c>
      <c r="R3">
        <v>17.647945592334697</v>
      </c>
      <c r="S3">
        <v>51.048133324562038</v>
      </c>
      <c r="U3">
        <v>2.1927248320656112</v>
      </c>
      <c r="V3">
        <v>49.639415869665832</v>
      </c>
      <c r="W3">
        <v>23.121888354544009</v>
      </c>
      <c r="X3">
        <v>49.413635592452735</v>
      </c>
      <c r="Y3">
        <v>9.4980620677418912</v>
      </c>
      <c r="Z3">
        <v>31.832974758545646</v>
      </c>
      <c r="AA3">
        <v>6.775803835507868</v>
      </c>
      <c r="AB3">
        <v>37.502247858696691</v>
      </c>
      <c r="AD3">
        <v>8.4273170689048005</v>
      </c>
      <c r="AE3">
        <v>12.83850325179252</v>
      </c>
      <c r="AF3">
        <v>13.943454271742297</v>
      </c>
      <c r="AG3">
        <v>23.042336927900397</v>
      </c>
      <c r="AH3">
        <v>8.6243823823165258</v>
      </c>
      <c r="AI3">
        <v>2.5161756444388477</v>
      </c>
      <c r="AK3">
        <v>61.992279496601903</v>
      </c>
    </row>
    <row r="4" spans="1:47" x14ac:dyDescent="0.2">
      <c r="A4">
        <v>3</v>
      </c>
      <c r="B4">
        <v>761</v>
      </c>
      <c r="C4">
        <v>275</v>
      </c>
      <c r="D4">
        <v>0.30561378910216402</v>
      </c>
      <c r="E4">
        <v>201.81772162126776</v>
      </c>
      <c r="F4">
        <v>63.448948724314718</v>
      </c>
      <c r="G4">
        <v>72.188226037931727</v>
      </c>
      <c r="H4">
        <v>67.5981561693457</v>
      </c>
      <c r="J4">
        <v>76.071683361588157</v>
      </c>
      <c r="L4">
        <v>7.6200022861643122</v>
      </c>
      <c r="M4">
        <v>14.186774488476637</v>
      </c>
      <c r="N4">
        <v>2.5687605042174813</v>
      </c>
      <c r="O4">
        <v>31.221962208428042</v>
      </c>
      <c r="P4">
        <v>12.542365550737987</v>
      </c>
      <c r="Q4">
        <v>1.383660718533495</v>
      </c>
      <c r="R4">
        <v>17.41987865930961</v>
      </c>
      <c r="S4">
        <v>50.549552140614409</v>
      </c>
      <c r="U4">
        <v>2.1048476804023029</v>
      </c>
      <c r="V4">
        <v>49.513819429702025</v>
      </c>
      <c r="W4">
        <v>22.899244170396827</v>
      </c>
      <c r="X4">
        <v>49.17994559022042</v>
      </c>
      <c r="Y4">
        <v>9.4040682870325849</v>
      </c>
      <c r="Z4">
        <v>31.615247925283565</v>
      </c>
      <c r="AA4">
        <v>6.6853266143997683</v>
      </c>
      <c r="AB4">
        <v>37.331016755380972</v>
      </c>
      <c r="AD4">
        <v>8.3026136716495067</v>
      </c>
      <c r="AE4">
        <v>12.741398500828662</v>
      </c>
      <c r="AF4">
        <v>13.864627659135651</v>
      </c>
      <c r="AG4">
        <v>22.856102397583498</v>
      </c>
      <c r="AH4">
        <v>8.4820419501737696</v>
      </c>
      <c r="AI4">
        <v>2.5178668867895735</v>
      </c>
      <c r="AK4">
        <v>61.968741538412054</v>
      </c>
    </row>
    <row r="5" spans="1:47" x14ac:dyDescent="0.2">
      <c r="A5">
        <v>4</v>
      </c>
      <c r="B5">
        <v>760</v>
      </c>
      <c r="C5">
        <v>275</v>
      </c>
      <c r="D5">
        <v>0.30487392924551299</v>
      </c>
      <c r="E5">
        <v>201.69278112264806</v>
      </c>
      <c r="F5">
        <v>63.057471031221709</v>
      </c>
      <c r="G5">
        <v>72.123966258821525</v>
      </c>
      <c r="H5">
        <v>67.531450141053625</v>
      </c>
      <c r="J5">
        <v>75.966474978672693</v>
      </c>
      <c r="L5">
        <v>7.5323606741082116</v>
      </c>
      <c r="M5">
        <v>14.109217111419021</v>
      </c>
      <c r="N5">
        <v>2.5707345924953766</v>
      </c>
      <c r="O5">
        <v>30.827328464390984</v>
      </c>
      <c r="P5">
        <v>12.437278316109147</v>
      </c>
      <c r="Q5">
        <v>1.3138885443576152</v>
      </c>
      <c r="R5">
        <v>17.192185931262653</v>
      </c>
      <c r="S5">
        <v>50.051922602606368</v>
      </c>
      <c r="U5">
        <v>2.0170485139552023</v>
      </c>
      <c r="V5">
        <v>49.388422302511955</v>
      </c>
      <c r="W5">
        <v>22.676886600777276</v>
      </c>
      <c r="X5">
        <v>48.946705367643069</v>
      </c>
      <c r="Y5">
        <v>9.3102353975706844</v>
      </c>
      <c r="Z5">
        <v>31.397812836802295</v>
      </c>
      <c r="AA5">
        <v>6.5950223591293105</v>
      </c>
      <c r="AB5">
        <v>37.160062530394484</v>
      </c>
      <c r="AD5">
        <v>8.1780215226317257</v>
      </c>
      <c r="AE5">
        <v>12.644417811907836</v>
      </c>
      <c r="AF5">
        <v>13.785951465735597</v>
      </c>
      <c r="AG5">
        <v>22.670147105737431</v>
      </c>
      <c r="AH5">
        <v>8.3399289260557143</v>
      </c>
      <c r="AI5">
        <v>2.5195571756004425</v>
      </c>
      <c r="AK5">
        <v>61.945526590442398</v>
      </c>
    </row>
    <row r="6" spans="1:47" x14ac:dyDescent="0.2">
      <c r="A6">
        <v>5</v>
      </c>
      <c r="B6">
        <v>759</v>
      </c>
      <c r="C6">
        <v>275</v>
      </c>
      <c r="D6">
        <v>0.30413263576031102</v>
      </c>
      <c r="E6">
        <v>201.56800229340561</v>
      </c>
      <c r="F6">
        <v>62.666702358909099</v>
      </c>
      <c r="G6">
        <v>72.05979171214031</v>
      </c>
      <c r="H6">
        <v>67.464842293262137</v>
      </c>
      <c r="J6">
        <v>75.861881342006939</v>
      </c>
      <c r="L6">
        <v>7.4448891136883502</v>
      </c>
      <c r="M6">
        <v>14.031809504479234</v>
      </c>
      <c r="N6">
        <v>2.5727085494867077</v>
      </c>
      <c r="O6">
        <v>30.433318846966014</v>
      </c>
      <c r="P6">
        <v>12.332369073106159</v>
      </c>
      <c r="Q6">
        <v>1.2442482402064869</v>
      </c>
      <c r="R6">
        <v>16.964866199729027</v>
      </c>
      <c r="S6">
        <v>49.55524173324585</v>
      </c>
      <c r="U6">
        <v>1.9293269351082143</v>
      </c>
      <c r="V6">
        <v>49.263223760477473</v>
      </c>
      <c r="W6">
        <v>22.454814597937048</v>
      </c>
      <c r="X6">
        <v>48.713913358996003</v>
      </c>
      <c r="Y6">
        <v>9.2165629895943013</v>
      </c>
      <c r="Z6">
        <v>31.180668376192266</v>
      </c>
      <c r="AA6">
        <v>6.5048906487400453</v>
      </c>
      <c r="AB6">
        <v>36.989384140282475</v>
      </c>
      <c r="AD6">
        <v>8.0535404570994125</v>
      </c>
      <c r="AE6">
        <v>12.547560646471924</v>
      </c>
      <c r="AF6">
        <v>13.707425185575998</v>
      </c>
      <c r="AG6">
        <v>22.484470015285847</v>
      </c>
      <c r="AH6">
        <v>8.1980428979764142</v>
      </c>
      <c r="AI6">
        <v>2.5212465095745884</v>
      </c>
      <c r="AK6">
        <v>61.922634557982093</v>
      </c>
    </row>
    <row r="7" spans="1:47" x14ac:dyDescent="0.2">
      <c r="A7">
        <v>6</v>
      </c>
      <c r="B7">
        <v>758</v>
      </c>
      <c r="C7">
        <v>275</v>
      </c>
      <c r="D7">
        <v>0.303389904475587</v>
      </c>
      <c r="E7">
        <v>201.44338470117751</v>
      </c>
      <c r="F7">
        <v>62.276640821942969</v>
      </c>
      <c r="G7">
        <v>71.995702225242511</v>
      </c>
      <c r="H7">
        <v>67.398332474001919</v>
      </c>
      <c r="J7">
        <v>75.757901960098508</v>
      </c>
      <c r="L7">
        <v>7.3575872047837692</v>
      </c>
      <c r="M7">
        <v>13.954551160051549</v>
      </c>
      <c r="N7">
        <v>2.5746823757752977</v>
      </c>
      <c r="O7">
        <v>30.039931918378706</v>
      </c>
      <c r="P7">
        <v>12.227637499481869</v>
      </c>
      <c r="Q7">
        <v>1.1746762797158712</v>
      </c>
      <c r="R7">
        <v>16.737918268885018</v>
      </c>
      <c r="S7">
        <v>49.059506583053981</v>
      </c>
      <c r="U7">
        <v>1.8416825512518797</v>
      </c>
      <c r="V7">
        <v>49.13822307705221</v>
      </c>
      <c r="W7">
        <v>22.233027122909441</v>
      </c>
      <c r="X7">
        <v>48.48156801126634</v>
      </c>
      <c r="Y7">
        <v>9.1230506589564477</v>
      </c>
      <c r="Z7">
        <v>30.963813435199633</v>
      </c>
      <c r="AA7">
        <v>6.4149310674545266</v>
      </c>
      <c r="AB7">
        <v>36.818980549720187</v>
      </c>
      <c r="AD7">
        <v>7.9291703125459829</v>
      </c>
      <c r="AE7">
        <v>12.450826469679138</v>
      </c>
      <c r="AF7">
        <v>13.629048317194131</v>
      </c>
      <c r="AG7">
        <v>22.299070097343606</v>
      </c>
      <c r="AH7">
        <v>8.056383460847071</v>
      </c>
      <c r="AI7">
        <v>2.5229348874582178</v>
      </c>
      <c r="AK7">
        <v>61.900065351965956</v>
      </c>
    </row>
    <row r="8" spans="1:47" x14ac:dyDescent="0.2">
      <c r="A8">
        <v>7</v>
      </c>
      <c r="B8">
        <v>757</v>
      </c>
      <c r="C8">
        <v>275</v>
      </c>
      <c r="D8">
        <v>0.30264573120419402</v>
      </c>
      <c r="E8">
        <v>201.31892791916607</v>
      </c>
      <c r="F8">
        <v>61.887284558141516</v>
      </c>
      <c r="G8">
        <v>71.931697628252223</v>
      </c>
      <c r="H8">
        <v>67.331920534114829</v>
      </c>
      <c r="J8">
        <v>75.654536353014649</v>
      </c>
      <c r="L8">
        <v>7.2704545608622393</v>
      </c>
      <c r="M8">
        <v>13.877441575373119</v>
      </c>
      <c r="N8">
        <v>2.5766560718903704</v>
      </c>
      <c r="O8">
        <v>29.647166258839786</v>
      </c>
      <c r="P8">
        <v>12.123083278539569</v>
      </c>
      <c r="Q8">
        <v>1.1052936798790134</v>
      </c>
      <c r="R8">
        <v>16.511340956260632</v>
      </c>
      <c r="S8">
        <v>48.564714232328541</v>
      </c>
      <c r="U8">
        <v>1.7541149751129876</v>
      </c>
      <c r="V8">
        <v>49.013419527342158</v>
      </c>
      <c r="W8">
        <v>22.011523146126482</v>
      </c>
      <c r="X8">
        <v>48.249667788673428</v>
      </c>
      <c r="Y8">
        <v>9.0296980073709907</v>
      </c>
      <c r="Z8">
        <v>30.74724691460337</v>
      </c>
      <c r="AA8">
        <v>6.3251432048988647</v>
      </c>
      <c r="AB8">
        <v>36.648850732073029</v>
      </c>
      <c r="AD8">
        <v>7.8049109290426655</v>
      </c>
      <c r="AE8">
        <v>12.354214750500637</v>
      </c>
      <c r="AF8">
        <v>13.550820363930573</v>
      </c>
      <c r="AG8">
        <v>22.113946331682229</v>
      </c>
      <c r="AH8">
        <v>7.914950216950106</v>
      </c>
      <c r="AI8">
        <v>2.5246223079423573</v>
      </c>
      <c r="AK8">
        <v>61.877818889313502</v>
      </c>
    </row>
    <row r="9" spans="1:47" x14ac:dyDescent="0.2">
      <c r="A9">
        <v>8</v>
      </c>
      <c r="B9">
        <v>756</v>
      </c>
      <c r="C9">
        <v>275</v>
      </c>
      <c r="D9">
        <v>0.30190011174270298</v>
      </c>
      <c r="E9">
        <v>201.19463152578592</v>
      </c>
      <c r="F9">
        <v>61.498631727383149</v>
      </c>
      <c r="G9">
        <v>71.867777753912392</v>
      </c>
      <c r="H9">
        <v>67.265606327102063</v>
      </c>
      <c r="J9">
        <v>75.551784051751071</v>
      </c>
      <c r="L9">
        <v>7.1834322607408865</v>
      </c>
      <c r="M9">
        <v>13.800480252163545</v>
      </c>
      <c r="N9">
        <v>2.5786296383763996</v>
      </c>
      <c r="O9">
        <v>29.255020465978102</v>
      </c>
      <c r="P9">
        <v>12.018706098897374</v>
      </c>
      <c r="Q9">
        <v>1.0360406343846553</v>
      </c>
      <c r="R9">
        <v>16.285133092041168</v>
      </c>
      <c r="S9">
        <v>48.07086178927581</v>
      </c>
      <c r="U9">
        <v>1.6666238244494247</v>
      </c>
      <c r="V9">
        <v>48.888812387287601</v>
      </c>
      <c r="W9">
        <v>21.790301646793033</v>
      </c>
      <c r="X9">
        <v>48.018211169253341</v>
      </c>
      <c r="Y9">
        <v>8.9365046421644774</v>
      </c>
      <c r="Z9">
        <v>30.530967723743274</v>
      </c>
      <c r="AA9">
        <v>6.2355266559119116</v>
      </c>
      <c r="AB9">
        <v>36.478993668813104</v>
      </c>
      <c r="AD9">
        <v>7.6807621489711515</v>
      </c>
      <c r="AE9">
        <v>12.257724961552546</v>
      </c>
      <c r="AF9">
        <v>13.472740833634887</v>
      </c>
      <c r="AG9">
        <v>21.929097706212275</v>
      </c>
      <c r="AH9">
        <v>7.7737427754916535</v>
      </c>
      <c r="AI9">
        <v>2.52630876973305</v>
      </c>
      <c r="AK9">
        <v>61.855895092620635</v>
      </c>
    </row>
    <row r="10" spans="1:47" x14ac:dyDescent="0.2">
      <c r="A10">
        <v>9</v>
      </c>
      <c r="B10">
        <v>755</v>
      </c>
      <c r="C10">
        <v>275</v>
      </c>
      <c r="D10">
        <v>0.30115304187132302</v>
      </c>
      <c r="E10">
        <v>201.07049510465461</v>
      </c>
      <c r="F10">
        <v>61.110680511539009</v>
      </c>
      <c r="G10">
        <v>71.80394243758407</v>
      </c>
      <c r="H10">
        <v>67.199389709122514</v>
      </c>
      <c r="J10">
        <v>75.449644598210796</v>
      </c>
      <c r="L10">
        <v>7.096634033397077</v>
      </c>
      <c r="M10">
        <v>13.723666696597414</v>
      </c>
      <c r="N10">
        <v>2.5806030757834488</v>
      </c>
      <c r="O10">
        <v>28.863493154755002</v>
      </c>
      <c r="P10">
        <v>11.914505654476121</v>
      </c>
      <c r="Q10">
        <v>0.96691645457894082</v>
      </c>
      <c r="R10">
        <v>16.059293519011458</v>
      </c>
      <c r="S10">
        <v>47.577946389890499</v>
      </c>
      <c r="U10">
        <v>1.5792087220352318</v>
      </c>
      <c r="V10">
        <v>48.76440093351647</v>
      </c>
      <c r="W10">
        <v>21.569361612848301</v>
      </c>
      <c r="X10">
        <v>47.787196645277007</v>
      </c>
      <c r="Y10">
        <v>8.8434701762676227</v>
      </c>
      <c r="Z10">
        <v>30.31497478045609</v>
      </c>
      <c r="AA10">
        <v>6.1460810205547896</v>
      </c>
      <c r="AB10">
        <v>36.309408349473806</v>
      </c>
      <c r="AD10">
        <v>7.5567238170444817</v>
      </c>
      <c r="AE10">
        <v>12.161356579056369</v>
      </c>
      <c r="AF10">
        <v>13.39480923862979</v>
      </c>
      <c r="AG10">
        <v>21.744523216929835</v>
      </c>
      <c r="AH10">
        <v>7.6327607525976582</v>
      </c>
      <c r="AI10">
        <v>2.5279942715415782</v>
      </c>
      <c r="AK10">
        <v>61.834293890142938</v>
      </c>
    </row>
    <row r="11" spans="1:47" x14ac:dyDescent="0.2">
      <c r="A11">
        <v>10</v>
      </c>
      <c r="B11">
        <v>754</v>
      </c>
      <c r="C11">
        <v>275</v>
      </c>
      <c r="D11">
        <v>0.30040451735384299</v>
      </c>
      <c r="E11">
        <v>200.9465182447145</v>
      </c>
      <c r="F11">
        <v>60.723429114645718</v>
      </c>
      <c r="G11">
        <v>71.740191517261124</v>
      </c>
      <c r="H11">
        <v>67.133270539008805</v>
      </c>
      <c r="J11">
        <v>75.348117545386202</v>
      </c>
      <c r="L11">
        <v>7.0100036672501487</v>
      </c>
      <c r="M11">
        <v>13.647000419313144</v>
      </c>
      <c r="N11">
        <v>2.5825763846998804</v>
      </c>
      <c r="O11">
        <v>28.472582957492374</v>
      </c>
      <c r="P11">
        <v>11.810481644565023</v>
      </c>
      <c r="Q11">
        <v>0.89792045691269773</v>
      </c>
      <c r="R11">
        <v>15.83382109267477</v>
      </c>
      <c r="S11">
        <v>47.085965198000764</v>
      </c>
      <c r="U11">
        <v>1.4918692956574948</v>
      </c>
      <c r="V11">
        <v>48.640184443257255</v>
      </c>
      <c r="W11">
        <v>21.348702040817475</v>
      </c>
      <c r="X11">
        <v>47.556622723852712</v>
      </c>
      <c r="Y11">
        <v>8.7505942282603986</v>
      </c>
      <c r="Z11">
        <v>30.099267010830761</v>
      </c>
      <c r="AA11">
        <v>6.0568059041945306</v>
      </c>
      <c r="AB11">
        <v>36.140093771463341</v>
      </c>
      <c r="AD11">
        <v>7.4327957802429303</v>
      </c>
      <c r="AE11">
        <v>12.065109082684396</v>
      </c>
      <c r="AF11">
        <v>13.317025095753511</v>
      </c>
      <c r="AG11">
        <v>21.560221867765151</v>
      </c>
      <c r="AH11">
        <v>7.4920037713269965</v>
      </c>
      <c r="AI11">
        <v>2.5296788121181075</v>
      </c>
      <c r="AK11">
        <v>61.813015215980016</v>
      </c>
    </row>
    <row r="12" spans="1:47" x14ac:dyDescent="0.2">
      <c r="A12">
        <v>11</v>
      </c>
      <c r="B12">
        <v>753</v>
      </c>
      <c r="C12">
        <v>275</v>
      </c>
      <c r="D12">
        <v>0.29965453393753799</v>
      </c>
      <c r="E12">
        <v>200.8227005401225</v>
      </c>
      <c r="F12">
        <v>60.336875762737726</v>
      </c>
      <c r="G12">
        <v>71.67652483358296</v>
      </c>
      <c r="H12">
        <v>67.067248678278787</v>
      </c>
      <c r="J12">
        <v>75.247202457231225</v>
      </c>
      <c r="L12">
        <v>6.9235407977674042</v>
      </c>
      <c r="M12">
        <v>13.570480935530094</v>
      </c>
      <c r="N12">
        <v>2.5845495656304709</v>
      </c>
      <c r="O12">
        <v>28.082288523670208</v>
      </c>
      <c r="P12">
        <v>11.706633773722947</v>
      </c>
      <c r="Q12">
        <v>0.82905196333319053</v>
      </c>
      <c r="R12">
        <v>15.608714681201718</v>
      </c>
      <c r="S12">
        <v>46.594915405760588</v>
      </c>
      <c r="U12">
        <v>1.4046051782294282</v>
      </c>
      <c r="V12">
        <v>48.516162194221138</v>
      </c>
      <c r="W12">
        <v>21.128321936233963</v>
      </c>
      <c r="X12">
        <v>47.326487926555558</v>
      </c>
      <c r="Y12">
        <v>8.6578764223348852</v>
      </c>
      <c r="Z12">
        <v>29.883843349639658</v>
      </c>
      <c r="AA12">
        <v>5.9677009174540583</v>
      </c>
      <c r="AB12">
        <v>35.97104894051639</v>
      </c>
      <c r="AD12">
        <v>7.3089778880865071</v>
      </c>
      <c r="AE12">
        <v>11.96898195578741</v>
      </c>
      <c r="AF12">
        <v>13.239387926352814</v>
      </c>
      <c r="AG12">
        <v>21.376192670907443</v>
      </c>
      <c r="AH12">
        <v>7.3514714617824923</v>
      </c>
      <c r="AI12">
        <v>2.5313623901275868</v>
      </c>
      <c r="AK12">
        <v>61.792059009840841</v>
      </c>
    </row>
    <row r="13" spans="1:47" x14ac:dyDescent="0.2">
      <c r="A13">
        <v>12</v>
      </c>
      <c r="B13">
        <v>752</v>
      </c>
      <c r="C13">
        <v>275</v>
      </c>
      <c r="D13">
        <v>0.29890308735307097</v>
      </c>
      <c r="E13">
        <v>200.69904158998597</v>
      </c>
      <c r="F13">
        <v>59.951018702698079</v>
      </c>
      <c r="G13">
        <v>71.612942229656426</v>
      </c>
      <c r="H13">
        <v>67.001323990960529</v>
      </c>
      <c r="J13">
        <v>75.146898908117805</v>
      </c>
      <c r="L13">
        <v>6.837245076885563</v>
      </c>
      <c r="M13">
        <v>13.494107764518176</v>
      </c>
      <c r="N13">
        <v>2.5865226191950166</v>
      </c>
      <c r="O13">
        <v>27.692608519480832</v>
      </c>
      <c r="P13">
        <v>11.602961751624518</v>
      </c>
      <c r="Q13">
        <v>0.7603103014083008</v>
      </c>
      <c r="R13">
        <v>15.383973164696798</v>
      </c>
      <c r="S13">
        <v>46.104794231015262</v>
      </c>
      <c r="U13">
        <v>1.3174160073296255</v>
      </c>
      <c r="V13">
        <v>48.392333463669345</v>
      </c>
      <c r="W13">
        <v>20.908220312487977</v>
      </c>
      <c r="X13">
        <v>47.096790788016044</v>
      </c>
      <c r="Y13">
        <v>8.5653163880638026</v>
      </c>
      <c r="Z13">
        <v>29.668702739299398</v>
      </c>
      <c r="AA13">
        <v>5.8787656760985119</v>
      </c>
      <c r="AB13">
        <v>35.80227286953231</v>
      </c>
      <c r="AD13">
        <v>7.1852699920639536</v>
      </c>
      <c r="AE13">
        <v>11.872974684926806</v>
      </c>
      <c r="AF13">
        <v>13.161897255955168</v>
      </c>
      <c r="AG13">
        <v>21.192434645847271</v>
      </c>
      <c r="AH13">
        <v>7.2111634605062855</v>
      </c>
      <c r="AI13">
        <v>2.5330450043511479</v>
      </c>
      <c r="AK13">
        <v>61.77142521696458</v>
      </c>
    </row>
    <row r="14" spans="1:47" x14ac:dyDescent="0.2">
      <c r="A14">
        <v>13</v>
      </c>
      <c r="B14">
        <v>751</v>
      </c>
      <c r="C14">
        <v>275</v>
      </c>
      <c r="D14">
        <v>0.29815017331445698</v>
      </c>
      <c r="E14">
        <v>200.57554099884527</v>
      </c>
      <c r="F14">
        <v>59.56585620390824</v>
      </c>
      <c r="G14">
        <v>71.549443551309565</v>
      </c>
      <c r="H14">
        <v>66.935496343841933</v>
      </c>
      <c r="J14">
        <v>75.047206483753612</v>
      </c>
      <c r="L14">
        <v>6.7511161759552634</v>
      </c>
      <c r="M14">
        <v>13.41788043029239</v>
      </c>
      <c r="N14">
        <v>2.588495545888398</v>
      </c>
      <c r="O14">
        <v>27.303541628360872</v>
      </c>
      <c r="P14">
        <v>11.499465293321814</v>
      </c>
      <c r="Q14">
        <v>0.69169480538353678</v>
      </c>
      <c r="R14">
        <v>15.159595436256421</v>
      </c>
      <c r="S14">
        <v>45.615598920763368</v>
      </c>
      <c r="U14">
        <v>1.2303014258022569</v>
      </c>
      <c r="V14">
        <v>48.268697529335221</v>
      </c>
      <c r="W14">
        <v>20.688396192138203</v>
      </c>
      <c r="X14">
        <v>46.867529858824049</v>
      </c>
      <c r="Y14">
        <v>8.4729137607499556</v>
      </c>
      <c r="Z14">
        <v>29.453844130901235</v>
      </c>
      <c r="AA14">
        <v>5.7899998013082659</v>
      </c>
      <c r="AB14">
        <v>35.633764579867794</v>
      </c>
      <c r="AD14">
        <v>7.0616719463379312</v>
      </c>
      <c r="AE14">
        <v>11.777086760276937</v>
      </c>
      <c r="AF14">
        <v>13.084552614718577</v>
      </c>
      <c r="AG14">
        <v>21.008946820422629</v>
      </c>
      <c r="AH14">
        <v>7.0710794112984452</v>
      </c>
      <c r="AI14">
        <v>2.534726653443844</v>
      </c>
      <c r="AK14">
        <v>61.7511137884186</v>
      </c>
    </row>
    <row r="15" spans="1:47" x14ac:dyDescent="0.2">
      <c r="A15">
        <v>14</v>
      </c>
      <c r="B15">
        <v>750</v>
      </c>
      <c r="C15">
        <v>275</v>
      </c>
      <c r="D15">
        <v>0.29739578751893703</v>
      </c>
      <c r="E15">
        <v>200.4521983761243</v>
      </c>
      <c r="F15">
        <v>59.18138655629604</v>
      </c>
      <c r="G15">
        <v>71.486028646814816</v>
      </c>
      <c r="H15">
        <v>66.869765606196765</v>
      </c>
      <c r="J15">
        <v>74.948124780148717</v>
      </c>
      <c r="L15">
        <v>6.6651537889071548</v>
      </c>
      <c r="M15">
        <v>13.341798460866142</v>
      </c>
      <c r="N15">
        <v>2.5904683463008409</v>
      </c>
      <c r="O15">
        <v>26.915086550205992</v>
      </c>
      <c r="P15">
        <v>11.396144118915613</v>
      </c>
      <c r="Q15">
        <v>0.62314296953998205</v>
      </c>
      <c r="R15">
        <v>14.935580400752546</v>
      </c>
      <c r="S15">
        <v>45.12732674735318</v>
      </c>
      <c r="U15">
        <v>1.1432610811220421</v>
      </c>
      <c r="V15">
        <v>48.145253668014696</v>
      </c>
      <c r="W15">
        <v>20.468848605521142</v>
      </c>
      <c r="X15">
        <v>46.638703701900099</v>
      </c>
      <c r="Y15">
        <v>8.3806681810241166</v>
      </c>
      <c r="Z15">
        <v>29.239266483057204</v>
      </c>
      <c r="AA15">
        <v>5.7014029194184692</v>
      </c>
      <c r="AB15">
        <v>35.465523099944079</v>
      </c>
      <c r="AD15">
        <v>6.9381836070552678</v>
      </c>
      <c r="AE15">
        <v>11.681317675158041</v>
      </c>
      <c r="AF15">
        <v>13.007353536907484</v>
      </c>
      <c r="AG15">
        <v>20.825728229654345</v>
      </c>
      <c r="AH15">
        <v>6.9312189643392621</v>
      </c>
      <c r="AI15">
        <v>2.5364073361560737</v>
      </c>
      <c r="AK15">
        <v>61.731124680726921</v>
      </c>
    </row>
    <row r="16" spans="1:47" x14ac:dyDescent="0.2">
      <c r="A16">
        <v>15</v>
      </c>
      <c r="B16">
        <v>749</v>
      </c>
      <c r="C16">
        <v>275</v>
      </c>
      <c r="D16">
        <v>0.29663992564692099</v>
      </c>
      <c r="E16">
        <v>200.32901333640751</v>
      </c>
      <c r="F16">
        <v>58.797608071284962</v>
      </c>
      <c r="G16">
        <v>71.422697367043412</v>
      </c>
      <c r="H16">
        <v>66.804131649939521</v>
      </c>
      <c r="J16">
        <v>74.849653404169203</v>
      </c>
      <c r="L16">
        <v>6.5793576368201139</v>
      </c>
      <c r="M16">
        <v>13.265861388699669</v>
      </c>
      <c r="N16">
        <v>2.5924410209457376</v>
      </c>
      <c r="O16">
        <v>26.527242001613125</v>
      </c>
      <c r="P16">
        <v>11.292997953694861</v>
      </c>
      <c r="Q16">
        <v>0.55477361049093266</v>
      </c>
      <c r="R16">
        <v>14.711926975465087</v>
      </c>
      <c r="S16">
        <v>44.639975010860319</v>
      </c>
      <c r="U16">
        <v>1.0562946257744084</v>
      </c>
      <c r="V16">
        <v>48.022001156076094</v>
      </c>
      <c r="W16">
        <v>20.249576591602647</v>
      </c>
      <c r="X16">
        <v>46.410310895038627</v>
      </c>
      <c r="Y16">
        <v>8.288579295043915</v>
      </c>
      <c r="Z16">
        <v>29.024968762579448</v>
      </c>
      <c r="AA16">
        <v>5.6129746620811787</v>
      </c>
      <c r="AB16">
        <v>35.297547466107723</v>
      </c>
      <c r="AD16">
        <v>6.814804832822885</v>
      </c>
      <c r="AE16">
        <v>11.58566692630936</v>
      </c>
      <c r="AF16">
        <v>12.930299561171923</v>
      </c>
      <c r="AG16">
        <v>20.642777916428958</v>
      </c>
      <c r="AH16">
        <v>6.7915817767045308</v>
      </c>
      <c r="AI16">
        <v>2.5380870511618658</v>
      </c>
      <c r="AK16">
        <v>61.711457856021951</v>
      </c>
    </row>
    <row r="17" spans="1:37" x14ac:dyDescent="0.2">
      <c r="A17">
        <v>16</v>
      </c>
      <c r="B17">
        <v>748</v>
      </c>
      <c r="C17">
        <v>275</v>
      </c>
      <c r="D17">
        <v>0.29588258336189799</v>
      </c>
      <c r="E17">
        <v>200.20598549922164</v>
      </c>
      <c r="F17">
        <v>58.414519080846233</v>
      </c>
      <c r="G17">
        <v>71.359449565316979</v>
      </c>
      <c r="H17">
        <v>66.738594349476003</v>
      </c>
      <c r="J17">
        <v>74.751791973073082</v>
      </c>
      <c r="L17">
        <v>6.4937274736000949</v>
      </c>
      <c r="M17">
        <v>13.190068750234136</v>
      </c>
      <c r="N17">
        <v>2.5944135704385749</v>
      </c>
      <c r="O17">
        <v>26.140006715552673</v>
      </c>
      <c r="P17">
        <v>11.190026528010472</v>
      </c>
      <c r="Q17">
        <v>0.48652812799258666</v>
      </c>
      <c r="R17">
        <v>14.488634089468356</v>
      </c>
      <c r="S17">
        <v>44.153541036535017</v>
      </c>
      <c r="U17">
        <v>0.96940171686557208</v>
      </c>
      <c r="V17">
        <v>47.898939268573052</v>
      </c>
      <c r="W17">
        <v>20.030579196981918</v>
      </c>
      <c r="X17">
        <v>46.182350029112534</v>
      </c>
      <c r="Y17">
        <v>8.1966467543097394</v>
      </c>
      <c r="Z17">
        <v>28.810949943579853</v>
      </c>
      <c r="AA17">
        <v>5.5247146662009978</v>
      </c>
      <c r="AB17">
        <v>35.129836721616414</v>
      </c>
      <c r="AD17">
        <v>6.6915354842113013</v>
      </c>
      <c r="AE17">
        <v>11.490134013476325</v>
      </c>
      <c r="AF17">
        <v>12.853390230254632</v>
      </c>
      <c r="AG17">
        <v>20.460094930667289</v>
      </c>
      <c r="AH17">
        <v>6.6521675118544081</v>
      </c>
      <c r="AI17">
        <v>2.5397657972360661</v>
      </c>
      <c r="AK17">
        <v>61.692113281972844</v>
      </c>
    </row>
    <row r="18" spans="1:37" x14ac:dyDescent="0.2">
      <c r="A18">
        <v>17</v>
      </c>
      <c r="B18">
        <v>747</v>
      </c>
      <c r="C18">
        <v>275</v>
      </c>
      <c r="D18">
        <v>0.29512375631034898</v>
      </c>
      <c r="E18">
        <v>200.08311448918485</v>
      </c>
      <c r="F18">
        <v>58.032117938139606</v>
      </c>
      <c r="G18">
        <v>71.296285097534138</v>
      </c>
      <c r="H18">
        <v>66.673153581829112</v>
      </c>
      <c r="J18">
        <v>74.654540114849993</v>
      </c>
      <c r="L18">
        <v>6.4082055214087523</v>
      </c>
      <c r="M18">
        <v>13.114420086307499</v>
      </c>
      <c r="N18">
        <v>2.5963859952947241</v>
      </c>
      <c r="O18">
        <v>25.753379441440494</v>
      </c>
      <c r="P18">
        <v>11.087229577335869</v>
      </c>
      <c r="Q18">
        <v>0.41840585569360067</v>
      </c>
      <c r="R18">
        <v>14.265700684078988</v>
      </c>
      <c r="S18">
        <v>43.668022176977395</v>
      </c>
      <c r="U18">
        <v>0.88258201647617718</v>
      </c>
      <c r="V18">
        <v>47.776067279589974</v>
      </c>
      <c r="W18">
        <v>19.811855476809324</v>
      </c>
      <c r="X18">
        <v>45.954819708901134</v>
      </c>
      <c r="Y18">
        <v>8.1048702157954349</v>
      </c>
      <c r="Z18">
        <v>28.597209008251333</v>
      </c>
      <c r="AA18">
        <v>5.436699586664778</v>
      </c>
      <c r="AB18">
        <v>34.962389917558838</v>
      </c>
      <c r="AD18">
        <v>6.5683754242635128</v>
      </c>
      <c r="AE18">
        <v>11.394718439763539</v>
      </c>
      <c r="AF18">
        <v>12.776625091208272</v>
      </c>
      <c r="AG18">
        <v>20.277678330038537</v>
      </c>
      <c r="AH18">
        <v>6.5129758400861313</v>
      </c>
      <c r="AI18">
        <v>2.5414435730543339</v>
      </c>
      <c r="AK18">
        <v>61.673090931779846</v>
      </c>
    </row>
    <row r="19" spans="1:37" x14ac:dyDescent="0.2">
      <c r="A19">
        <v>18</v>
      </c>
      <c r="B19">
        <v>746</v>
      </c>
      <c r="C19">
        <v>275</v>
      </c>
      <c r="D19">
        <v>0.29436344012167098</v>
      </c>
      <c r="E19">
        <v>199.96039993570656</v>
      </c>
      <c r="F19">
        <v>57.650403016344775</v>
      </c>
      <c r="G19">
        <v>71.233203821994223</v>
      </c>
      <c r="H19">
        <v>66.607809226465264</v>
      </c>
      <c r="J19">
        <v>74.557897467649269</v>
      </c>
      <c r="L19">
        <v>6.3229018185039205</v>
      </c>
      <c r="M19">
        <v>13.038914941663203</v>
      </c>
      <c r="N19">
        <v>2.5983582960994047</v>
      </c>
      <c r="O19">
        <v>25.367358944693478</v>
      </c>
      <c r="P19">
        <v>10.984606842079319</v>
      </c>
      <c r="Q19">
        <v>0.35040613368253709</v>
      </c>
      <c r="R19">
        <v>14.043125712138808</v>
      </c>
      <c r="S19">
        <v>43.18341580962263</v>
      </c>
      <c r="U19">
        <v>0.7958351912464019</v>
      </c>
      <c r="V19">
        <v>47.653384461267095</v>
      </c>
      <c r="W19">
        <v>19.593404493779069</v>
      </c>
      <c r="X19">
        <v>45.727718552414409</v>
      </c>
      <c r="Y19">
        <v>8.0132493417106776</v>
      </c>
      <c r="Z19">
        <v>28.383744946001084</v>
      </c>
      <c r="AA19">
        <v>5.3487745446824633</v>
      </c>
      <c r="AB19">
        <v>34.795206111857283</v>
      </c>
      <c r="AD19">
        <v>6.445324518002618</v>
      </c>
      <c r="AE19">
        <v>11.299419711258389</v>
      </c>
      <c r="AF19">
        <v>12.700003695077854</v>
      </c>
      <c r="AG19">
        <v>20.095527179134873</v>
      </c>
      <c r="AH19">
        <v>6.3740064379666244</v>
      </c>
      <c r="AI19">
        <v>2.5431203773614786</v>
      </c>
      <c r="AK19">
        <v>61.654390784019739</v>
      </c>
    </row>
    <row r="20" spans="1:37" x14ac:dyDescent="0.2">
      <c r="A20">
        <v>19</v>
      </c>
      <c r="B20">
        <v>745</v>
      </c>
      <c r="C20">
        <v>275</v>
      </c>
      <c r="D20">
        <v>0.29360163040809401</v>
      </c>
      <c r="E20">
        <v>199.83784147350016</v>
      </c>
      <c r="F20">
        <v>57.269372710214363</v>
      </c>
      <c r="G20">
        <v>71.170205599618228</v>
      </c>
      <c r="H20">
        <v>66.542561165513092</v>
      </c>
      <c r="J20">
        <v>74.461863680692687</v>
      </c>
      <c r="L20">
        <v>6.2377628510710093</v>
      </c>
      <c r="M20">
        <v>12.963552865469874</v>
      </c>
      <c r="N20">
        <v>2.6003304733746235</v>
      </c>
      <c r="O20">
        <v>24.981944007292807</v>
      </c>
      <c r="P20">
        <v>10.882158067891506</v>
      </c>
      <c r="Q20">
        <v>0.28252830977941995</v>
      </c>
      <c r="R20">
        <v>13.820908138955842</v>
      </c>
      <c r="S20">
        <v>42.699719339425585</v>
      </c>
      <c r="U20">
        <v>0.70916091281625637</v>
      </c>
      <c r="V20">
        <v>47.530890084518433</v>
      </c>
      <c r="W20">
        <v>19.375225318970514</v>
      </c>
      <c r="X20">
        <v>45.501045192083239</v>
      </c>
      <c r="Y20">
        <v>7.9217837998399618</v>
      </c>
      <c r="Z20">
        <v>28.170556753964963</v>
      </c>
      <c r="AA20">
        <v>5.2610166971168368</v>
      </c>
      <c r="AB20">
        <v>34.6282843700264</v>
      </c>
      <c r="AD20">
        <v>6.3223826328502781</v>
      </c>
      <c r="AE20">
        <v>11.204237337167386</v>
      </c>
      <c r="AF20">
        <v>12.623525597276522</v>
      </c>
      <c r="AG20">
        <v>19.913640550098481</v>
      </c>
      <c r="AH20">
        <v>6.2352589889805152</v>
      </c>
      <c r="AI20">
        <v>2.5447962088392133</v>
      </c>
      <c r="AK20">
        <v>61.636012823086368</v>
      </c>
    </row>
    <row r="21" spans="1:37" x14ac:dyDescent="0.2">
      <c r="A21">
        <v>20</v>
      </c>
      <c r="B21">
        <v>744</v>
      </c>
      <c r="C21">
        <v>275</v>
      </c>
      <c r="D21">
        <v>0.29283832276459099</v>
      </c>
      <c r="E21">
        <v>199.71543874172929</v>
      </c>
      <c r="F21">
        <v>56.889025433405429</v>
      </c>
      <c r="G21">
        <v>71.107290293604692</v>
      </c>
      <c r="H21">
        <v>66.477409283421551</v>
      </c>
      <c r="J21">
        <v>74.366438412763671</v>
      </c>
      <c r="L21">
        <v>6.1527884334151786</v>
      </c>
      <c r="M21">
        <v>12.888333410517822</v>
      </c>
      <c r="N21">
        <v>2.6023025277209668</v>
      </c>
      <c r="O21">
        <v>24.597133426604703</v>
      </c>
      <c r="P21">
        <v>10.779883005126292</v>
      </c>
      <c r="Q21">
        <v>0.21477173977265648</v>
      </c>
      <c r="R21">
        <v>13.599046940712549</v>
      </c>
      <c r="S21">
        <v>42.216930194702968</v>
      </c>
      <c r="U21">
        <v>0.62255885715849146</v>
      </c>
      <c r="V21">
        <v>47.408583417274087</v>
      </c>
      <c r="W21">
        <v>19.157317030605228</v>
      </c>
      <c r="X21">
        <v>45.274798272204492</v>
      </c>
      <c r="Y21">
        <v>7.8304732629782645</v>
      </c>
      <c r="Z21">
        <v>27.957643436221321</v>
      </c>
      <c r="AA21">
        <v>5.1734257023519534</v>
      </c>
      <c r="AB21">
        <v>34.461623764056796</v>
      </c>
      <c r="AD21">
        <v>6.1995496380832202</v>
      </c>
      <c r="AE21">
        <v>11.109170829603226</v>
      </c>
      <c r="AF21">
        <v>12.547190356933633</v>
      </c>
      <c r="AG21">
        <v>19.732017521643876</v>
      </c>
      <c r="AH21">
        <v>6.0967331825407944</v>
      </c>
      <c r="AI21">
        <v>2.5464710662474821</v>
      </c>
      <c r="AK21">
        <v>61.617957038396177</v>
      </c>
    </row>
    <row r="22" spans="1:37" x14ac:dyDescent="0.2">
      <c r="A22">
        <v>21</v>
      </c>
      <c r="B22">
        <v>743</v>
      </c>
      <c r="C22">
        <v>275</v>
      </c>
      <c r="D22">
        <v>0.29207351276878402</v>
      </c>
      <c r="E22">
        <v>199.59319138470633</v>
      </c>
      <c r="F22">
        <v>56.509359620560318</v>
      </c>
      <c r="G22">
        <v>71.044457769707535</v>
      </c>
      <c r="H22">
        <v>66.412353467236031</v>
      </c>
      <c r="J22">
        <v>74.27162133345648</v>
      </c>
      <c r="L22">
        <v>6.0679784368747827</v>
      </c>
      <c r="M22">
        <v>12.813256133876084</v>
      </c>
      <c r="N22">
        <v>2.6042744596859362</v>
      </c>
      <c r="O22">
        <v>24.212926016212421</v>
      </c>
      <c r="P22">
        <v>10.677781409256552</v>
      </c>
      <c r="Q22">
        <v>0.14713578920292911</v>
      </c>
      <c r="R22">
        <v>13.377541105739084</v>
      </c>
      <c r="S22">
        <v>41.735045830475023</v>
      </c>
      <c r="U22">
        <v>0.53602870512450296</v>
      </c>
      <c r="V22">
        <v>47.286463725447611</v>
      </c>
      <c r="W22">
        <v>18.939678715016701</v>
      </c>
      <c r="X22">
        <v>45.048976451038499</v>
      </c>
      <c r="Y22">
        <v>7.739317409377211</v>
      </c>
      <c r="Z22">
        <v>27.745004004310037</v>
      </c>
      <c r="AA22">
        <v>5.086001224346532</v>
      </c>
      <c r="AB22">
        <v>34.295223373260662</v>
      </c>
      <c r="AD22">
        <v>6.0768254052827295</v>
      </c>
      <c r="AE22">
        <v>11.014219703685386</v>
      </c>
      <c r="AF22">
        <v>12.470997537420716</v>
      </c>
      <c r="AG22">
        <v>19.550657179777144</v>
      </c>
      <c r="AH22">
        <v>5.9584287147885409</v>
      </c>
      <c r="AI22">
        <v>2.5481449482939591</v>
      </c>
      <c r="AK22">
        <v>61.600223425050409</v>
      </c>
    </row>
    <row r="23" spans="1:37" x14ac:dyDescent="0.2">
      <c r="A23">
        <v>22</v>
      </c>
      <c r="B23">
        <v>742</v>
      </c>
      <c r="C23">
        <v>275</v>
      </c>
      <c r="D23">
        <v>0.291307195980888</v>
      </c>
      <c r="E23">
        <v>199.47109905164132</v>
      </c>
      <c r="F23">
        <v>56.130373726472612</v>
      </c>
      <c r="G23">
        <v>70.981707896136541</v>
      </c>
      <c r="H23">
        <v>66.347393606499168</v>
      </c>
      <c r="J23">
        <v>74.177412122735049</v>
      </c>
      <c r="L23">
        <v>5.9833328064376987</v>
      </c>
      <c r="M23">
        <v>12.738320596656106</v>
      </c>
      <c r="N23">
        <v>2.6062462697890925</v>
      </c>
      <c r="O23">
        <v>23.82932060549545</v>
      </c>
      <c r="P23">
        <v>10.575853040707701</v>
      </c>
      <c r="Q23">
        <v>7.9556514604930267E-2</v>
      </c>
      <c r="R23">
        <v>13.156389634018316</v>
      </c>
      <c r="S23">
        <v>41.254063727259691</v>
      </c>
      <c r="U23">
        <v>0.44957014225170816</v>
      </c>
      <c r="V23">
        <v>47.16453027225598</v>
      </c>
      <c r="W23">
        <v>18.722309466288724</v>
      </c>
      <c r="X23">
        <v>44.82357840053065</v>
      </c>
      <c r="Y23">
        <v>7.6483159225788873</v>
      </c>
      <c r="Z23">
        <v>27.532637477004734</v>
      </c>
      <c r="AA23">
        <v>4.9987429325608828</v>
      </c>
      <c r="AB23">
        <v>34.129082283957473</v>
      </c>
      <c r="AD23">
        <v>5.9542098082064907</v>
      </c>
      <c r="AE23">
        <v>10.919383477471547</v>
      </c>
      <c r="AF23">
        <v>12.394946706130986</v>
      </c>
      <c r="AG23">
        <v>19.369558617498129</v>
      </c>
      <c r="AH23">
        <v>5.820345288317692</v>
      </c>
      <c r="AI23">
        <v>2.5498178536569802</v>
      </c>
      <c r="AK23">
        <v>61.582811983592023</v>
      </c>
    </row>
    <row r="24" spans="1:37" x14ac:dyDescent="0.2">
      <c r="A24">
        <v>23</v>
      </c>
      <c r="B24">
        <v>741</v>
      </c>
      <c r="C24">
        <v>275</v>
      </c>
      <c r="D24">
        <v>0.29053936794360102</v>
      </c>
      <c r="E24">
        <v>199.34916139646541</v>
      </c>
      <c r="F24">
        <v>55.752066225337224</v>
      </c>
      <c r="G24">
        <v>70.919040543442591</v>
      </c>
      <c r="H24">
        <v>66.282529593138023</v>
      </c>
      <c r="J24">
        <v>74.083810470568224</v>
      </c>
      <c r="L24">
        <v>5.8987948471207092</v>
      </c>
      <c r="M24">
        <v>12.663526363656663</v>
      </c>
      <c r="N24">
        <v>2.6082179586573324</v>
      </c>
      <c r="O24">
        <v>23.446316039348392</v>
      </c>
      <c r="P24">
        <v>10.474097664757117</v>
      </c>
      <c r="Q24">
        <v>1.2155126880068565E-2</v>
      </c>
      <c r="R24">
        <v>12.935591536710369</v>
      </c>
      <c r="S24">
        <v>40.77398138935785</v>
      </c>
      <c r="U24">
        <v>0.36318285849860971</v>
      </c>
      <c r="V24">
        <v>47.042782317422038</v>
      </c>
      <c r="W24">
        <v>18.505208385506418</v>
      </c>
      <c r="X24">
        <v>44.598602804565616</v>
      </c>
      <c r="Y24">
        <v>7.5574684912664605</v>
      </c>
      <c r="Z24">
        <v>27.320542879599511</v>
      </c>
      <c r="AA24">
        <v>4.9116505018850001</v>
      </c>
      <c r="AB24">
        <v>33.963199588688866</v>
      </c>
      <c r="AD24">
        <v>5.8317027223991795</v>
      </c>
      <c r="AE24">
        <v>10.824661671633262</v>
      </c>
      <c r="AF24">
        <v>12.319037434268393</v>
      </c>
      <c r="AG24">
        <v>19.18872093415969</v>
      </c>
      <c r="AH24">
        <v>5.6824826117767051</v>
      </c>
      <c r="AI24">
        <v>2.5514897811232653</v>
      </c>
      <c r="AK24">
        <v>61.565722719945157</v>
      </c>
    </row>
    <row r="25" spans="1:37" x14ac:dyDescent="0.2">
      <c r="A25">
        <v>24</v>
      </c>
      <c r="B25">
        <v>740</v>
      </c>
      <c r="C25">
        <v>275</v>
      </c>
      <c r="D25">
        <v>0.28977002418201098</v>
      </c>
      <c r="E25">
        <v>198.62017625118958</v>
      </c>
      <c r="F25">
        <v>50.899526370556913</v>
      </c>
      <c r="G25">
        <v>70.228413944578165</v>
      </c>
      <c r="H25">
        <v>65.589719681522709</v>
      </c>
      <c r="J25">
        <v>72.028994322052455</v>
      </c>
      <c r="L25">
        <v>4.6100009195723324</v>
      </c>
      <c r="M25">
        <v>12.535799265130926</v>
      </c>
      <c r="N25">
        <v>2.6101560709012208</v>
      </c>
      <c r="O25">
        <v>18.612680471261761</v>
      </c>
      <c r="P25">
        <v>9.1163983155407475</v>
      </c>
      <c r="R25">
        <v>10.977734688602412</v>
      </c>
      <c r="S25">
        <v>37.838121750753963</v>
      </c>
      <c r="U25">
        <v>0.27172311749271072</v>
      </c>
      <c r="V25">
        <v>46.775002317620803</v>
      </c>
      <c r="W25">
        <v>18.336339197146074</v>
      </c>
      <c r="X25">
        <v>44.359183371091639</v>
      </c>
      <c r="Y25">
        <v>6.1993629057887887</v>
      </c>
      <c r="Z25">
        <v>23.905128005770802</v>
      </c>
      <c r="AA25">
        <v>3.5969449681448022</v>
      </c>
      <c r="AB25">
        <v>32.492148067075604</v>
      </c>
      <c r="AD25">
        <v>3.8705356162472921</v>
      </c>
      <c r="AE25">
        <v>9.353740054586682</v>
      </c>
      <c r="AF25">
        <v>12.190162102486122</v>
      </c>
      <c r="AG25">
        <v>17.702683460197047</v>
      </c>
      <c r="AH25">
        <v>3.568427022515765</v>
      </c>
      <c r="AI25">
        <v>2.5531272734627364</v>
      </c>
      <c r="AK25">
        <v>60.217456482138637</v>
      </c>
    </row>
    <row r="26" spans="1:37" x14ac:dyDescent="0.2">
      <c r="A26">
        <v>25</v>
      </c>
      <c r="B26">
        <v>739</v>
      </c>
      <c r="C26">
        <v>275</v>
      </c>
      <c r="D26">
        <v>0.28899916020352701</v>
      </c>
      <c r="E26">
        <v>197.62744856546368</v>
      </c>
      <c r="F26">
        <v>44.092517262037504</v>
      </c>
      <c r="G26">
        <v>69.24524681814836</v>
      </c>
      <c r="H26">
        <v>64.604382611717384</v>
      </c>
      <c r="J26">
        <v>69.216326964432383</v>
      </c>
      <c r="L26">
        <v>2.7664195050243432</v>
      </c>
      <c r="M26">
        <v>12.454616981466803</v>
      </c>
      <c r="N26">
        <v>2.6120741032265546</v>
      </c>
      <c r="O26">
        <v>11.75150952617798</v>
      </c>
      <c r="P26">
        <v>7.173605950653152</v>
      </c>
      <c r="R26">
        <v>8.3049079646155963</v>
      </c>
      <c r="S26">
        <v>34.232679275489915</v>
      </c>
      <c r="U26">
        <v>0.23182689012940766</v>
      </c>
      <c r="V26">
        <v>46.599599415352451</v>
      </c>
      <c r="W26">
        <v>18.191523625611161</v>
      </c>
      <c r="X26">
        <v>44.278710915921778</v>
      </c>
      <c r="Y26">
        <v>4.2548528968795694</v>
      </c>
      <c r="Z26">
        <v>19.136258561941656</v>
      </c>
      <c r="AA26">
        <v>1.7218838086898176</v>
      </c>
      <c r="AB26">
        <v>30.668183451913379</v>
      </c>
      <c r="AD26">
        <v>1.1061906760543851</v>
      </c>
      <c r="AE26">
        <v>7.3334886447304308</v>
      </c>
      <c r="AF26">
        <v>12.107811893682573</v>
      </c>
      <c r="AG26">
        <v>15.86371543133502</v>
      </c>
      <c r="AH26">
        <v>0.52181638219763304</v>
      </c>
      <c r="AI26">
        <v>2.5547438255404309</v>
      </c>
      <c r="AK26">
        <v>58.29845579450221</v>
      </c>
    </row>
    <row r="27" spans="1:37" x14ac:dyDescent="0.2">
      <c r="A27">
        <v>26</v>
      </c>
      <c r="B27">
        <v>738</v>
      </c>
      <c r="C27">
        <v>275</v>
      </c>
      <c r="D27">
        <v>0.28822677149780002</v>
      </c>
      <c r="E27">
        <v>197.96488792945553</v>
      </c>
      <c r="F27">
        <v>44.709572879078458</v>
      </c>
      <c r="G27">
        <v>69.480287712380346</v>
      </c>
      <c r="H27">
        <v>64.837266953452072</v>
      </c>
      <c r="J27">
        <v>54.970099929830468</v>
      </c>
      <c r="L27">
        <v>1.6713100809747956</v>
      </c>
      <c r="M27">
        <v>12.0609521025997</v>
      </c>
      <c r="N27">
        <v>2.6140843042758197</v>
      </c>
      <c r="O27">
        <v>5.148909344133247</v>
      </c>
      <c r="P27">
        <v>7.6673299389428591</v>
      </c>
      <c r="R27">
        <v>7.2179093510575738</v>
      </c>
      <c r="S27">
        <v>32.218531650440568</v>
      </c>
      <c r="U27">
        <v>0.14801656711486619</v>
      </c>
      <c r="V27">
        <v>47.307081911931746</v>
      </c>
      <c r="W27">
        <v>17.759320997195033</v>
      </c>
      <c r="X27">
        <v>44.071651981815997</v>
      </c>
      <c r="Y27">
        <v>3.5600203308167635</v>
      </c>
      <c r="Z27">
        <v>17.762286457241299</v>
      </c>
      <c r="AB27">
        <v>30.593724395752965</v>
      </c>
      <c r="AE27">
        <v>6.4221520659662934</v>
      </c>
      <c r="AF27">
        <v>11.713071652254197</v>
      </c>
      <c r="AG27">
        <v>15.774347755009641</v>
      </c>
      <c r="AI27">
        <v>2.5564516841590077</v>
      </c>
      <c r="AK27">
        <v>48.543486322417102</v>
      </c>
    </row>
    <row r="28" spans="1:37" x14ac:dyDescent="0.2">
      <c r="A28">
        <v>27</v>
      </c>
      <c r="B28">
        <v>737</v>
      </c>
      <c r="C28">
        <v>275</v>
      </c>
      <c r="D28">
        <v>0.28745285353660599</v>
      </c>
      <c r="E28">
        <v>198.12676010059428</v>
      </c>
      <c r="F28">
        <v>45.21788292657736</v>
      </c>
      <c r="G28">
        <v>69.455878948544211</v>
      </c>
      <c r="H28">
        <v>64.810715049542083</v>
      </c>
      <c r="J28">
        <v>47.58761627116494</v>
      </c>
      <c r="L28">
        <v>1.6883253068221749</v>
      </c>
      <c r="M28">
        <v>11.602269181237586</v>
      </c>
      <c r="N28">
        <v>2.6160717340929054</v>
      </c>
      <c r="O28">
        <v>5.1509335654507034</v>
      </c>
      <c r="P28">
        <v>7.6421400068109637</v>
      </c>
      <c r="R28">
        <v>6.8706881156418698</v>
      </c>
      <c r="S28">
        <v>32.831084652192033</v>
      </c>
      <c r="U28">
        <v>0.11505696815985215</v>
      </c>
      <c r="V28">
        <v>47.966853051046535</v>
      </c>
      <c r="W28">
        <v>17.232716534734884</v>
      </c>
      <c r="X28">
        <v>44.011215697850993</v>
      </c>
      <c r="Y28">
        <v>3.3160910362328511</v>
      </c>
      <c r="Z28">
        <v>17.965068122203856</v>
      </c>
      <c r="AB28">
        <v>31.234146135663227</v>
      </c>
      <c r="AE28">
        <v>6.5315913912019612</v>
      </c>
      <c r="AF28">
        <v>11.253290996779791</v>
      </c>
      <c r="AG28">
        <v>16.399840734596694</v>
      </c>
      <c r="AI28">
        <v>2.5581359075214802</v>
      </c>
      <c r="AK28">
        <v>43.466283762690807</v>
      </c>
    </row>
    <row r="29" spans="1:37" x14ac:dyDescent="0.2">
      <c r="A29">
        <v>28</v>
      </c>
      <c r="B29">
        <v>736</v>
      </c>
      <c r="C29">
        <v>275</v>
      </c>
      <c r="D29">
        <v>0.28667740177377199</v>
      </c>
      <c r="E29">
        <v>198.27538579347268</v>
      </c>
      <c r="F29">
        <v>45.683284234697823</v>
      </c>
      <c r="G29">
        <v>69.433552102278284</v>
      </c>
      <c r="H29">
        <v>64.786258497212856</v>
      </c>
      <c r="J29">
        <v>43.496263177419344</v>
      </c>
      <c r="L29">
        <v>1.7029201619301784</v>
      </c>
      <c r="M29">
        <v>11.18976222115781</v>
      </c>
      <c r="N29">
        <v>2.6180575598462057</v>
      </c>
      <c r="O29">
        <v>5.149171209370726</v>
      </c>
      <c r="P29">
        <v>7.6211204965827877</v>
      </c>
      <c r="R29">
        <v>6.5462541898700106</v>
      </c>
      <c r="S29">
        <v>33.286311537337582</v>
      </c>
      <c r="U29">
        <v>8.9719935105894988E-2</v>
      </c>
      <c r="V29">
        <v>48.521510121556084</v>
      </c>
      <c r="W29">
        <v>16.747759632673414</v>
      </c>
      <c r="X29">
        <v>43.972918631914212</v>
      </c>
      <c r="Y29">
        <v>3.1068608772512554</v>
      </c>
      <c r="Z29">
        <v>18.128762657989427</v>
      </c>
      <c r="AB29">
        <v>31.747079066747879</v>
      </c>
      <c r="AE29">
        <v>6.6183649268469464</v>
      </c>
      <c r="AF29">
        <v>10.839685104048213</v>
      </c>
      <c r="AG29">
        <v>16.89784593865425</v>
      </c>
      <c r="AI29">
        <v>2.5598176609557157</v>
      </c>
      <c r="AK29">
        <v>40.618075225562059</v>
      </c>
    </row>
    <row r="30" spans="1:37" x14ac:dyDescent="0.2">
      <c r="A30">
        <v>29</v>
      </c>
      <c r="B30">
        <v>763</v>
      </c>
      <c r="C30">
        <v>250</v>
      </c>
      <c r="D30">
        <v>0.33362978333253301</v>
      </c>
      <c r="E30">
        <v>187.46722101174601</v>
      </c>
      <c r="F30">
        <v>63.685142566520639</v>
      </c>
      <c r="G30">
        <v>72.313365121311577</v>
      </c>
      <c r="H30">
        <v>67.727120594392133</v>
      </c>
      <c r="J30">
        <v>75.785541578214051</v>
      </c>
      <c r="L30">
        <v>7.6879670166342802</v>
      </c>
      <c r="M30">
        <v>14.298576167577718</v>
      </c>
      <c r="N30">
        <v>2.4800904431593844</v>
      </c>
      <c r="O30">
        <v>32.100168353325792</v>
      </c>
      <c r="P30">
        <v>12.519956644581969</v>
      </c>
      <c r="Q30">
        <v>1.2495719811739263</v>
      </c>
      <c r="R30">
        <v>17.885088138219203</v>
      </c>
      <c r="S30">
        <v>50.978757463110007</v>
      </c>
      <c r="U30">
        <v>2.1295083012864846</v>
      </c>
      <c r="V30">
        <v>49.206417377206499</v>
      </c>
      <c r="W30">
        <v>23.852756003325979</v>
      </c>
      <c r="X30">
        <v>48.095008435981391</v>
      </c>
      <c r="Y30">
        <v>9.3799711266819088</v>
      </c>
      <c r="Z30">
        <v>32.001497154174722</v>
      </c>
      <c r="AA30">
        <v>6.78641624843124</v>
      </c>
      <c r="AB30">
        <v>37.661485090871651</v>
      </c>
      <c r="AC30">
        <v>6.5768404971351582E-3</v>
      </c>
      <c r="AD30">
        <v>8.5087228079014583</v>
      </c>
      <c r="AE30">
        <v>13.102789808387291</v>
      </c>
      <c r="AF30">
        <v>13.97104293328144</v>
      </c>
      <c r="AG30">
        <v>23.239700732568345</v>
      </c>
      <c r="AH30">
        <v>8.2615114425314982</v>
      </c>
      <c r="AI30">
        <v>2.4265467826339191</v>
      </c>
      <c r="AK30">
        <v>61.636258218895755</v>
      </c>
    </row>
    <row r="31" spans="1:37" x14ac:dyDescent="0.2">
      <c r="A31">
        <v>30</v>
      </c>
      <c r="B31">
        <v>762</v>
      </c>
      <c r="C31">
        <v>250</v>
      </c>
      <c r="D31">
        <v>0.33291841762063901</v>
      </c>
      <c r="E31">
        <v>187.35875150230962</v>
      </c>
      <c r="F31">
        <v>63.351089263019304</v>
      </c>
      <c r="G31">
        <v>72.257239890104231</v>
      </c>
      <c r="H31">
        <v>67.668513099993646</v>
      </c>
      <c r="J31">
        <v>75.709987292259825</v>
      </c>
      <c r="L31">
        <v>7.6091035303578831</v>
      </c>
      <c r="M31">
        <v>14.244012398002042</v>
      </c>
      <c r="N31">
        <v>2.4752173192175526</v>
      </c>
      <c r="O31">
        <v>31.727839363951396</v>
      </c>
      <c r="P31">
        <v>12.424266260588659</v>
      </c>
      <c r="Q31">
        <v>1.197742650774529</v>
      </c>
      <c r="R31">
        <v>17.693815335275133</v>
      </c>
      <c r="S31">
        <v>50.594402430678002</v>
      </c>
      <c r="U31">
        <v>2.0612460665190766</v>
      </c>
      <c r="V31">
        <v>49.117523427240464</v>
      </c>
      <c r="W31">
        <v>23.673568465637278</v>
      </c>
      <c r="X31">
        <v>47.929441339344862</v>
      </c>
      <c r="Y31">
        <v>9.2979942910254998</v>
      </c>
      <c r="Z31">
        <v>31.818855179610747</v>
      </c>
      <c r="AA31">
        <v>6.7050086336743338</v>
      </c>
      <c r="AB31">
        <v>37.532340540445482</v>
      </c>
      <c r="AD31">
        <v>8.4063697412433438</v>
      </c>
      <c r="AE31">
        <v>13.019682621507215</v>
      </c>
      <c r="AF31">
        <v>13.908509059612333</v>
      </c>
      <c r="AG31">
        <v>23.088735807955565</v>
      </c>
      <c r="AH31">
        <v>8.1455815823131914</v>
      </c>
      <c r="AI31">
        <v>2.4213926285647744</v>
      </c>
      <c r="AK31">
        <v>61.623916091798911</v>
      </c>
    </row>
    <row r="32" spans="1:37" x14ac:dyDescent="0.2">
      <c r="A32">
        <v>31</v>
      </c>
      <c r="B32">
        <v>761</v>
      </c>
      <c r="C32">
        <v>250</v>
      </c>
      <c r="D32">
        <v>0.33220567615916602</v>
      </c>
      <c r="E32">
        <v>187.23403287399051</v>
      </c>
      <c r="F32">
        <v>62.961199611728468</v>
      </c>
      <c r="G32">
        <v>72.19306156590136</v>
      </c>
      <c r="H32">
        <v>67.601865421802941</v>
      </c>
      <c r="J32">
        <v>75.603948286031454</v>
      </c>
      <c r="L32">
        <v>7.5217394118325176</v>
      </c>
      <c r="M32">
        <v>14.167058822440518</v>
      </c>
      <c r="N32">
        <v>2.4771939030087462</v>
      </c>
      <c r="O32">
        <v>31.333531381582532</v>
      </c>
      <c r="P32">
        <v>12.319327008540174</v>
      </c>
      <c r="Q32">
        <v>1.1290579854098841</v>
      </c>
      <c r="R32">
        <v>17.467154709975475</v>
      </c>
      <c r="S32">
        <v>50.098645246150383</v>
      </c>
      <c r="U32">
        <v>1.9734629507150323</v>
      </c>
      <c r="V32">
        <v>48.992928451033791</v>
      </c>
      <c r="W32">
        <v>23.451909721997222</v>
      </c>
      <c r="X32">
        <v>47.697786014557181</v>
      </c>
      <c r="Y32">
        <v>9.2043484533135125</v>
      </c>
      <c r="Z32">
        <v>31.603658243134415</v>
      </c>
      <c r="AA32">
        <v>6.6150871694778468</v>
      </c>
      <c r="AB32">
        <v>37.362911826780369</v>
      </c>
      <c r="AD32">
        <v>8.283153653006222</v>
      </c>
      <c r="AE32">
        <v>12.923690517239978</v>
      </c>
      <c r="AF32">
        <v>13.830435357049964</v>
      </c>
      <c r="AG32">
        <v>22.904338913984201</v>
      </c>
      <c r="AH32">
        <v>8.0039202066995063</v>
      </c>
      <c r="AI32">
        <v>2.4230873623530287</v>
      </c>
      <c r="AK32">
        <v>61.600347769856562</v>
      </c>
    </row>
    <row r="33" spans="1:37" x14ac:dyDescent="0.2">
      <c r="A33">
        <v>32</v>
      </c>
      <c r="B33">
        <v>760</v>
      </c>
      <c r="C33">
        <v>250</v>
      </c>
      <c r="D33">
        <v>0.33149155495329902</v>
      </c>
      <c r="E33">
        <v>187.10946903353548</v>
      </c>
      <c r="F33">
        <v>62.571997659947399</v>
      </c>
      <c r="G33">
        <v>72.128965682761716</v>
      </c>
      <c r="H33">
        <v>67.535313114476367</v>
      </c>
      <c r="J33">
        <v>75.498508181773133</v>
      </c>
      <c r="L33">
        <v>7.434596444546365</v>
      </c>
      <c r="M33">
        <v>14.090250722259585</v>
      </c>
      <c r="N33">
        <v>2.4791703561874199</v>
      </c>
      <c r="O33">
        <v>30.939831350304594</v>
      </c>
      <c r="P33">
        <v>12.214560140550979</v>
      </c>
      <c r="Q33">
        <v>1.0605094558201935</v>
      </c>
      <c r="R33">
        <v>17.240854743568775</v>
      </c>
      <c r="S33">
        <v>49.603807059053374</v>
      </c>
      <c r="U33">
        <v>1.8857497572005388</v>
      </c>
      <c r="V33">
        <v>48.868523897243371</v>
      </c>
      <c r="W33">
        <v>23.230530589901786</v>
      </c>
      <c r="X33">
        <v>47.466560460767376</v>
      </c>
      <c r="Y33">
        <v>9.1108573450320325</v>
      </c>
      <c r="Z33">
        <v>31.388750941852191</v>
      </c>
      <c r="AA33">
        <v>6.5254104704244238</v>
      </c>
      <c r="AB33">
        <v>37.193755391905157</v>
      </c>
      <c r="AD33">
        <v>8.1600449437573754</v>
      </c>
      <c r="AE33">
        <v>12.827822773213855</v>
      </c>
      <c r="AF33">
        <v>13.752507274150073</v>
      </c>
      <c r="AG33">
        <v>22.720216660157618</v>
      </c>
      <c r="AH33">
        <v>7.8624787327462373</v>
      </c>
      <c r="AI33">
        <v>2.4247811438154052</v>
      </c>
      <c r="AK33">
        <v>61.577092981060147</v>
      </c>
    </row>
    <row r="34" spans="1:37" x14ac:dyDescent="0.2">
      <c r="A34">
        <v>33</v>
      </c>
      <c r="B34">
        <v>759</v>
      </c>
      <c r="C34">
        <v>250</v>
      </c>
      <c r="D34">
        <v>0.33077604999273502</v>
      </c>
      <c r="E34">
        <v>186.98505954931727</v>
      </c>
      <c r="F34">
        <v>62.183481611675262</v>
      </c>
      <c r="G34">
        <v>72.064952072446331</v>
      </c>
      <c r="H34">
        <v>67.46885603041305</v>
      </c>
      <c r="J34">
        <v>75.393666465801772</v>
      </c>
      <c r="L34">
        <v>7.3476175781406567</v>
      </c>
      <c r="M34">
        <v>14.013587616727987</v>
      </c>
      <c r="N34">
        <v>2.4811466793188863</v>
      </c>
      <c r="O34">
        <v>30.546737908989364</v>
      </c>
      <c r="P34">
        <v>12.109965343115077</v>
      </c>
      <c r="Q34">
        <v>0.99217053728950255</v>
      </c>
      <c r="R34">
        <v>17.014914288660997</v>
      </c>
      <c r="S34">
        <v>49.109885040406041</v>
      </c>
      <c r="U34">
        <v>1.7981061091199912</v>
      </c>
      <c r="V34">
        <v>48.744309059374814</v>
      </c>
      <c r="W34">
        <v>23.009430113678103</v>
      </c>
      <c r="X34">
        <v>47.235763157215722</v>
      </c>
      <c r="Y34">
        <v>9.0175205728065482</v>
      </c>
      <c r="Z34">
        <v>31.174132306971412</v>
      </c>
      <c r="AA34">
        <v>6.4358232309524031</v>
      </c>
      <c r="AB34">
        <v>37.024870300608526</v>
      </c>
      <c r="AD34">
        <v>8.0370435437834047</v>
      </c>
      <c r="AE34">
        <v>12.732078929464572</v>
      </c>
      <c r="AF34">
        <v>13.674724336296009</v>
      </c>
      <c r="AG34">
        <v>22.53636811766874</v>
      </c>
      <c r="AH34">
        <v>7.7212567832089816</v>
      </c>
      <c r="AI34">
        <v>2.4264739716805326</v>
      </c>
      <c r="AK34">
        <v>61.554151611378536</v>
      </c>
    </row>
    <row r="35" spans="1:37" x14ac:dyDescent="0.2">
      <c r="A35">
        <v>34</v>
      </c>
      <c r="B35">
        <v>758</v>
      </c>
      <c r="C35">
        <v>250</v>
      </c>
      <c r="D35">
        <v>0.330059157251614</v>
      </c>
      <c r="E35">
        <v>186.86080399442631</v>
      </c>
      <c r="F35">
        <v>61.795649691681291</v>
      </c>
      <c r="G35">
        <v>72.001020569122844</v>
      </c>
      <c r="H35">
        <v>67.402494024457397</v>
      </c>
      <c r="J35">
        <v>75.289422633993112</v>
      </c>
      <c r="L35">
        <v>7.2608024149500743</v>
      </c>
      <c r="M35">
        <v>13.937069029413696</v>
      </c>
      <c r="N35">
        <v>2.4831228729714856</v>
      </c>
      <c r="O35">
        <v>30.154249712775023</v>
      </c>
      <c r="P35">
        <v>12.005542307597754</v>
      </c>
      <c r="Q35">
        <v>0.94722920455819282</v>
      </c>
      <c r="R35">
        <v>16.789332209754274</v>
      </c>
      <c r="S35">
        <v>48.616876387372784</v>
      </c>
      <c r="U35">
        <v>1.7105316342210166</v>
      </c>
      <c r="V35">
        <v>48.620283231830818</v>
      </c>
      <c r="W35">
        <v>22.788607346326874</v>
      </c>
      <c r="X35">
        <v>47.005392596307694</v>
      </c>
      <c r="Y35">
        <v>8.9243377484518334</v>
      </c>
      <c r="Z35">
        <v>30.959801378821044</v>
      </c>
      <c r="AA35">
        <v>6.3464027168428876</v>
      </c>
      <c r="AB35">
        <v>36.856255625963051</v>
      </c>
      <c r="AD35">
        <v>7.9141493853945715</v>
      </c>
      <c r="AE35">
        <v>12.636458530036391</v>
      </c>
      <c r="AF35">
        <v>13.597086073183608</v>
      </c>
      <c r="AG35">
        <v>22.352792366014867</v>
      </c>
      <c r="AH35">
        <v>7.5802539873488932</v>
      </c>
      <c r="AI35">
        <v>2.4281658446789005</v>
      </c>
      <c r="AK35">
        <v>61.531523551629974</v>
      </c>
    </row>
    <row r="36" spans="1:37" x14ac:dyDescent="0.2">
      <c r="A36">
        <v>35</v>
      </c>
      <c r="B36">
        <v>757</v>
      </c>
      <c r="C36">
        <v>250</v>
      </c>
      <c r="D36">
        <v>0.32934087268844398</v>
      </c>
      <c r="E36">
        <v>186.73670194650666</v>
      </c>
      <c r="F36">
        <v>61.408500145000318</v>
      </c>
      <c r="G36">
        <v>71.937171009317154</v>
      </c>
      <c r="H36">
        <v>67.336226953853497</v>
      </c>
      <c r="J36">
        <v>75.185776191512844</v>
      </c>
      <c r="L36">
        <v>7.1741505671255839</v>
      </c>
      <c r="M36">
        <v>13.860694488090527</v>
      </c>
      <c r="N36">
        <v>2.4850989376978418</v>
      </c>
      <c r="O36">
        <v>29.762365432778861</v>
      </c>
      <c r="P36">
        <v>11.901290730132672</v>
      </c>
      <c r="Q36">
        <v>0.87890375389855313</v>
      </c>
      <c r="R36">
        <v>16.564107382970928</v>
      </c>
      <c r="S36">
        <v>48.124778322702802</v>
      </c>
      <c r="U36">
        <v>1.6230259647731651</v>
      </c>
      <c r="V36">
        <v>48.496445709549079</v>
      </c>
      <c r="W36">
        <v>22.568061349406435</v>
      </c>
      <c r="X36">
        <v>46.775447283490642</v>
      </c>
      <c r="Y36">
        <v>8.8313084888679914</v>
      </c>
      <c r="Z36">
        <v>30.745757206808985</v>
      </c>
      <c r="AA36">
        <v>6.2571485417252042</v>
      </c>
      <c r="AB36">
        <v>36.687910449243226</v>
      </c>
      <c r="AD36">
        <v>7.7913624029456612</v>
      </c>
      <c r="AE36">
        <v>12.540961122985122</v>
      </c>
      <c r="AF36">
        <v>13.519592018712229</v>
      </c>
      <c r="AG36">
        <v>22.169488492899418</v>
      </c>
      <c r="AH36">
        <v>7.4394699808071127</v>
      </c>
      <c r="AI36">
        <v>2.4298567615250528</v>
      </c>
      <c r="AK36">
        <v>61.509208697295861</v>
      </c>
    </row>
    <row r="37" spans="1:37" x14ac:dyDescent="0.2">
      <c r="A37">
        <v>36</v>
      </c>
      <c r="B37">
        <v>756</v>
      </c>
      <c r="C37">
        <v>250</v>
      </c>
      <c r="D37">
        <v>0.32862119224602798</v>
      </c>
      <c r="E37">
        <v>186.61275298787365</v>
      </c>
      <c r="F37">
        <v>61.022031237146727</v>
      </c>
      <c r="G37">
        <v>71.873403231925096</v>
      </c>
      <c r="H37">
        <v>67.270054678254525</v>
      </c>
      <c r="J37">
        <v>75.082726652979559</v>
      </c>
      <c r="L37">
        <v>7.0876616577160494</v>
      </c>
      <c r="M37">
        <v>13.784463524747936</v>
      </c>
      <c r="N37">
        <v>2.4870748740682731</v>
      </c>
      <c r="O37">
        <v>29.371083756166431</v>
      </c>
      <c r="P37">
        <v>11.797210311674709</v>
      </c>
      <c r="Q37">
        <v>0.81069600417030774</v>
      </c>
      <c r="R37">
        <v>16.339238696184253</v>
      </c>
      <c r="S37">
        <v>47.633588094814023</v>
      </c>
      <c r="U37">
        <v>1.5355887375625996</v>
      </c>
      <c r="V37">
        <v>48.372795787960634</v>
      </c>
      <c r="W37">
        <v>22.34779119291704</v>
      </c>
      <c r="X37">
        <v>46.545925737278907</v>
      </c>
      <c r="Y37">
        <v>8.7384324160896174</v>
      </c>
      <c r="Z37">
        <v>30.531998849221075</v>
      </c>
      <c r="AA37">
        <v>6.16806032417922</v>
      </c>
      <c r="AB37">
        <v>36.519833859779013</v>
      </c>
      <c r="AD37">
        <v>7.6686825328121664</v>
      </c>
      <c r="AE37">
        <v>12.44558626024577</v>
      </c>
      <c r="AF37">
        <v>13.442241711028302</v>
      </c>
      <c r="AG37">
        <v>21.986455594117132</v>
      </c>
      <c r="AH37">
        <v>7.2989044056289183</v>
      </c>
      <c r="AI37">
        <v>2.4315467209508759</v>
      </c>
      <c r="AK37">
        <v>61.487206948680921</v>
      </c>
    </row>
    <row r="38" spans="1:37" x14ac:dyDescent="0.2">
      <c r="A38">
        <v>37</v>
      </c>
      <c r="B38">
        <v>755</v>
      </c>
      <c r="C38">
        <v>250</v>
      </c>
      <c r="D38">
        <v>0.32790011185138401</v>
      </c>
      <c r="E38">
        <v>186.4889567052146</v>
      </c>
      <c r="F38">
        <v>60.636241253285114</v>
      </c>
      <c r="G38">
        <v>71.809717078138164</v>
      </c>
      <c r="H38">
        <v>67.203977059650256</v>
      </c>
      <c r="J38">
        <v>74.980273541991366</v>
      </c>
      <c r="L38">
        <v>7.0013353217335936</v>
      </c>
      <c r="M38">
        <v>13.708375675447346</v>
      </c>
      <c r="N38">
        <v>2.489050682626555</v>
      </c>
      <c r="O38">
        <v>28.980403385694597</v>
      </c>
      <c r="P38">
        <v>11.693300757801369</v>
      </c>
      <c r="Q38">
        <v>0.74260504577068442</v>
      </c>
      <c r="R38">
        <v>16.114725048538087</v>
      </c>
      <c r="S38">
        <v>47.143302976970446</v>
      </c>
      <c r="U38">
        <v>1.4482195937937523</v>
      </c>
      <c r="V38">
        <v>48.249332762474374</v>
      </c>
      <c r="W38">
        <v>22.127795955232873</v>
      </c>
      <c r="X38">
        <v>46.316826488339572</v>
      </c>
      <c r="Y38">
        <v>8.6457091571101667</v>
      </c>
      <c r="Z38">
        <v>30.31852537328432</v>
      </c>
      <c r="AA38">
        <v>6.079137687571027</v>
      </c>
      <c r="AB38">
        <v>36.352024954937704</v>
      </c>
      <c r="AD38">
        <v>7.5461097134410116</v>
      </c>
      <c r="AE38">
        <v>12.350333497718916</v>
      </c>
      <c r="AF38">
        <v>13.36503469233439</v>
      </c>
      <c r="AG38">
        <v>21.80369277349169</v>
      </c>
      <c r="AH38">
        <v>7.1585569100736715</v>
      </c>
      <c r="AI38">
        <v>2.4332357216614833</v>
      </c>
      <c r="AK38">
        <v>61.465518210557406</v>
      </c>
    </row>
    <row r="39" spans="1:37" x14ac:dyDescent="0.2">
      <c r="A39">
        <v>38</v>
      </c>
      <c r="B39">
        <v>754</v>
      </c>
      <c r="C39">
        <v>250</v>
      </c>
      <c r="D39">
        <v>0.32717762741566497</v>
      </c>
      <c r="E39">
        <v>186.36531268987738</v>
      </c>
      <c r="F39">
        <v>60.2511284988787</v>
      </c>
      <c r="G39">
        <v>71.74611239150191</v>
      </c>
      <c r="H39">
        <v>67.137993962425057</v>
      </c>
      <c r="J39">
        <v>74.878416391535481</v>
      </c>
      <c r="L39">
        <v>6.9151712079045646</v>
      </c>
      <c r="M39">
        <v>13.632430480403652</v>
      </c>
      <c r="N39">
        <v>2.4910263639421917</v>
      </c>
      <c r="O39">
        <v>28.590323039974304</v>
      </c>
      <c r="P39">
        <v>11.589561778888328</v>
      </c>
      <c r="Q39">
        <v>0.65210636419082679</v>
      </c>
      <c r="R39">
        <v>15.890565350826432</v>
      </c>
      <c r="S39">
        <v>46.653920267763894</v>
      </c>
      <c r="U39">
        <v>1.360918179129371</v>
      </c>
      <c r="V39">
        <v>48.126055928611962</v>
      </c>
      <c r="W39">
        <v>21.90807472300035</v>
      </c>
      <c r="X39">
        <v>46.08814808052454</v>
      </c>
      <c r="Y39">
        <v>8.5531383440270403</v>
      </c>
      <c r="Z39">
        <v>30.105335854907469</v>
      </c>
      <c r="AA39">
        <v>5.9903802602524445</v>
      </c>
      <c r="AB39">
        <v>36.184482839963238</v>
      </c>
      <c r="AD39">
        <v>7.4236438853190476</v>
      </c>
      <c r="AE39">
        <v>12.255202395073727</v>
      </c>
      <c r="AF39">
        <v>13.287970509027275</v>
      </c>
      <c r="AG39">
        <v>21.621199142769758</v>
      </c>
      <c r="AH39">
        <v>7.0184271487481524</v>
      </c>
      <c r="AI39">
        <v>2.4349237623879469</v>
      </c>
      <c r="AK39">
        <v>61.444142392523709</v>
      </c>
    </row>
    <row r="40" spans="1:37" x14ac:dyDescent="0.2">
      <c r="A40">
        <v>39</v>
      </c>
      <c r="B40">
        <v>753</v>
      </c>
      <c r="C40">
        <v>250</v>
      </c>
      <c r="D40">
        <v>0.32645373483409301</v>
      </c>
      <c r="E40">
        <v>186.24182053746543</v>
      </c>
      <c r="F40">
        <v>59.866691298560376</v>
      </c>
      <c r="G40">
        <v>71.682589017797639</v>
      </c>
      <c r="H40">
        <v>67.072105253239073</v>
      </c>
      <c r="J40">
        <v>74.777154743360853</v>
      </c>
      <c r="L40">
        <v>6.829168980360282</v>
      </c>
      <c r="M40">
        <v>13.556627483793593</v>
      </c>
      <c r="N40">
        <v>2.4930019185708336</v>
      </c>
      <c r="O40">
        <v>28.200841452875615</v>
      </c>
      <c r="P40">
        <v>11.485993089835395</v>
      </c>
      <c r="Q40">
        <v>0.58442497081738887</v>
      </c>
      <c r="R40">
        <v>15.666758524873256</v>
      </c>
      <c r="S40">
        <v>46.165437289975827</v>
      </c>
      <c r="U40">
        <v>1.2736841435431494</v>
      </c>
      <c r="V40">
        <v>48.00296458132302</v>
      </c>
      <c r="W40">
        <v>21.688626591004084</v>
      </c>
      <c r="X40">
        <v>45.859889069625474</v>
      </c>
      <c r="Y40">
        <v>8.4607196137996219</v>
      </c>
      <c r="Z40">
        <v>29.892429378708147</v>
      </c>
      <c r="AA40">
        <v>5.9017876753391469</v>
      </c>
      <c r="AB40">
        <v>36.017206627900556</v>
      </c>
      <c r="AD40">
        <v>7.3012849909829152</v>
      </c>
      <c r="AE40">
        <v>12.160192515838901</v>
      </c>
      <c r="AF40">
        <v>13.211048711460458</v>
      </c>
      <c r="AG40">
        <v>21.438973821501794</v>
      </c>
      <c r="AH40">
        <v>6.8785147823125277</v>
      </c>
      <c r="AI40">
        <v>2.4366108418462069</v>
      </c>
      <c r="AK40">
        <v>61.42307940854424</v>
      </c>
    </row>
    <row r="41" spans="1:37" x14ac:dyDescent="0.2">
      <c r="A41">
        <v>40</v>
      </c>
      <c r="B41">
        <v>752</v>
      </c>
      <c r="C41">
        <v>250</v>
      </c>
      <c r="D41">
        <v>0.32572842998585799</v>
      </c>
      <c r="E41">
        <v>186.11847984815671</v>
      </c>
      <c r="F41">
        <v>59.482927996922655</v>
      </c>
      <c r="G41">
        <v>71.619146805129503</v>
      </c>
      <c r="H41">
        <v>67.006310801116783</v>
      </c>
      <c r="J41">
        <v>74.676488148454325</v>
      </c>
      <c r="L41">
        <v>6.743328321279205</v>
      </c>
      <c r="M41">
        <v>13.480966233869374</v>
      </c>
      <c r="N41">
        <v>2.4949773470811696</v>
      </c>
      <c r="O41">
        <v>27.811957373888564</v>
      </c>
      <c r="P41">
        <v>11.382594410262085</v>
      </c>
      <c r="Q41">
        <v>0.51695765007026917</v>
      </c>
      <c r="R41">
        <v>15.443303503948647</v>
      </c>
      <c r="S41">
        <v>45.677851391299164</v>
      </c>
      <c r="U41">
        <v>1.1865171414091822</v>
      </c>
      <c r="V41">
        <v>47.880058015208895</v>
      </c>
      <c r="W41">
        <v>21.469450662178982</v>
      </c>
      <c r="X41">
        <v>45.632048024073789</v>
      </c>
      <c r="Y41">
        <v>8.3684526084257165</v>
      </c>
      <c r="Z41">
        <v>29.679805037871564</v>
      </c>
      <c r="AA41">
        <v>5.8133595709228318</v>
      </c>
      <c r="AB41">
        <v>35.850195439554831</v>
      </c>
      <c r="AD41">
        <v>7.17903297505244</v>
      </c>
      <c r="AE41">
        <v>12.065303427255255</v>
      </c>
      <c r="AF41">
        <v>13.134268854093644</v>
      </c>
      <c r="AG41">
        <v>21.257015937032961</v>
      </c>
      <c r="AH41">
        <v>6.7388194776966959</v>
      </c>
      <c r="AI41">
        <v>2.4382969587662875</v>
      </c>
      <c r="AK41">
        <v>61.402329177313611</v>
      </c>
    </row>
    <row r="42" spans="1:37" x14ac:dyDescent="0.2">
      <c r="A42">
        <v>41</v>
      </c>
      <c r="B42">
        <v>751</v>
      </c>
      <c r="C42">
        <v>250</v>
      </c>
      <c r="D42">
        <v>0.32500170873407402</v>
      </c>
      <c r="E42">
        <v>185.99529022636</v>
      </c>
      <c r="F42">
        <v>59.099836957473215</v>
      </c>
      <c r="G42">
        <v>71.555785603803031</v>
      </c>
      <c r="H42">
        <v>66.94061047732356</v>
      </c>
      <c r="J42">
        <v>74.57641616646184</v>
      </c>
      <c r="L42">
        <v>6.6576489337658353</v>
      </c>
      <c r="M42">
        <v>13.40544628271536</v>
      </c>
      <c r="N42">
        <v>2.4969526500715742</v>
      </c>
      <c r="O42">
        <v>27.423669567569064</v>
      </c>
      <c r="P42">
        <v>11.279365464282249</v>
      </c>
      <c r="Q42">
        <v>0.47129383454161417</v>
      </c>
      <c r="R42">
        <v>15.220199232200567</v>
      </c>
      <c r="S42">
        <v>45.191159942978089</v>
      </c>
      <c r="U42">
        <v>1.0994168312941941</v>
      </c>
      <c r="V42">
        <v>47.757335523800094</v>
      </c>
      <c r="W42">
        <v>21.25054604726029</v>
      </c>
      <c r="X42">
        <v>45.404623524244677</v>
      </c>
      <c r="Y42">
        <v>8.2763369747213673</v>
      </c>
      <c r="Z42">
        <v>29.467461933956564</v>
      </c>
      <c r="AA42">
        <v>5.7250955899003673</v>
      </c>
      <c r="AB42">
        <v>35.683448403199286</v>
      </c>
      <c r="AD42">
        <v>7.0568877841272348</v>
      </c>
      <c r="AE42">
        <v>11.970534700245489</v>
      </c>
      <c r="AF42">
        <v>13.05763049525758</v>
      </c>
      <c r="AG42">
        <v>21.075324624222553</v>
      </c>
      <c r="AH42">
        <v>6.5993409077631897</v>
      </c>
      <c r="AI42">
        <v>2.439982111906736</v>
      </c>
      <c r="AK42">
        <v>61.381891621903641</v>
      </c>
    </row>
    <row r="43" spans="1:37" x14ac:dyDescent="0.2">
      <c r="A43">
        <v>42</v>
      </c>
      <c r="B43">
        <v>750</v>
      </c>
      <c r="C43">
        <v>250</v>
      </c>
      <c r="D43">
        <v>0.324273566925672</v>
      </c>
      <c r="E43">
        <v>185.87225128104146</v>
      </c>
      <c r="F43">
        <v>58.717416563671918</v>
      </c>
      <c r="G43">
        <v>71.492505266477977</v>
      </c>
      <c r="H43">
        <v>66.875004155521907</v>
      </c>
      <c r="J43">
        <v>74.476938366280706</v>
      </c>
      <c r="L43">
        <v>6.5720729517268444</v>
      </c>
      <c r="M43">
        <v>13.33006718666857</v>
      </c>
      <c r="N43">
        <v>2.498927828033553</v>
      </c>
      <c r="O43">
        <v>27.035976813892034</v>
      </c>
      <c r="P43">
        <v>11.176305980677524</v>
      </c>
      <c r="Q43">
        <v>0.40380414054202513</v>
      </c>
      <c r="R43">
        <v>14.997444665296698</v>
      </c>
      <c r="S43">
        <v>44.705360341897887</v>
      </c>
      <c r="U43">
        <v>1.0123828763227993</v>
      </c>
      <c r="V43">
        <v>47.634796400067145</v>
      </c>
      <c r="W43">
        <v>21.031911865573147</v>
      </c>
      <c r="X43">
        <v>45.177614163426028</v>
      </c>
      <c r="Y43">
        <v>8.184372364538099</v>
      </c>
      <c r="Z43">
        <v>29.255399177443728</v>
      </c>
      <c r="AA43">
        <v>5.6369953801568844</v>
      </c>
      <c r="AB43">
        <v>35.516964655292767</v>
      </c>
      <c r="AD43">
        <v>6.9348493671991394</v>
      </c>
      <c r="AE43">
        <v>11.875885909613347</v>
      </c>
      <c r="AF43">
        <v>12.981133197442299</v>
      </c>
      <c r="AG43">
        <v>20.893899026028201</v>
      </c>
      <c r="AH43">
        <v>6.4600787517937182</v>
      </c>
      <c r="AI43">
        <v>2.4416662999193468</v>
      </c>
      <c r="AK43">
        <v>61.361766670007384</v>
      </c>
    </row>
    <row r="44" spans="1:37" x14ac:dyDescent="0.2">
      <c r="A44">
        <v>43</v>
      </c>
      <c r="B44">
        <v>749</v>
      </c>
      <c r="C44">
        <v>250</v>
      </c>
      <c r="D44">
        <v>0.32354400039133302</v>
      </c>
      <c r="E44">
        <v>185.7493626252058</v>
      </c>
      <c r="F44">
        <v>58.33566521711731</v>
      </c>
      <c r="G44">
        <v>71.429305647908876</v>
      </c>
      <c r="H44">
        <v>66.809491711508642</v>
      </c>
      <c r="J44">
        <v>74.378054325092691</v>
      </c>
      <c r="L44">
        <v>6.4867114116542073</v>
      </c>
      <c r="M44">
        <v>13.254828505592473</v>
      </c>
      <c r="N44">
        <v>2.5009028815713013</v>
      </c>
      <c r="O44">
        <v>26.648877907512794</v>
      </c>
      <c r="P44">
        <v>11.073415692595354</v>
      </c>
      <c r="Q44">
        <v>0.33642026904782213</v>
      </c>
      <c r="R44">
        <v>14.775038769292708</v>
      </c>
      <c r="S44">
        <v>44.220450006958245</v>
      </c>
      <c r="U44">
        <v>0.92541494354605836</v>
      </c>
      <c r="V44">
        <v>47.51243993506786</v>
      </c>
      <c r="W44">
        <v>20.813547243621962</v>
      </c>
      <c r="X44">
        <v>44.951018545798291</v>
      </c>
      <c r="Y44">
        <v>8.0925584343902202</v>
      </c>
      <c r="Z44">
        <v>29.043615886648869</v>
      </c>
      <c r="AA44">
        <v>5.5490585943390398</v>
      </c>
      <c r="AB44">
        <v>35.350743339152856</v>
      </c>
      <c r="AD44">
        <v>6.8129176750198219</v>
      </c>
      <c r="AE44">
        <v>11.781356633600206</v>
      </c>
      <c r="AF44">
        <v>12.904776526789782</v>
      </c>
      <c r="AG44">
        <v>20.712738292399415</v>
      </c>
      <c r="AH44">
        <v>6.3210326946692774</v>
      </c>
      <c r="AI44">
        <v>2.4433495215686039</v>
      </c>
      <c r="AK44">
        <v>61.34195425357683</v>
      </c>
    </row>
    <row r="45" spans="1:37" x14ac:dyDescent="0.2">
      <c r="A45">
        <v>44</v>
      </c>
      <c r="B45">
        <v>748</v>
      </c>
      <c r="C45">
        <v>250</v>
      </c>
      <c r="D45">
        <v>0.32281300494540499</v>
      </c>
      <c r="E45">
        <v>185.6266238764604</v>
      </c>
      <c r="F45">
        <v>57.954581339285376</v>
      </c>
      <c r="G45">
        <v>71.366186605188005</v>
      </c>
      <c r="H45">
        <v>66.74407302345935</v>
      </c>
      <c r="J45">
        <v>74.27976362935047</v>
      </c>
      <c r="L45">
        <v>6.4015098851375045</v>
      </c>
      <c r="M45">
        <v>13.179729803525429</v>
      </c>
      <c r="N45">
        <v>2.5028778112289447</v>
      </c>
      <c r="O45">
        <v>26.262371658420225</v>
      </c>
      <c r="P45">
        <v>10.970694337859584</v>
      </c>
      <c r="Q45">
        <v>0.26914097802609033</v>
      </c>
      <c r="R45">
        <v>14.552980521737066</v>
      </c>
      <c r="S45">
        <v>43.736426382306426</v>
      </c>
      <c r="U45">
        <v>0.83851270449079529</v>
      </c>
      <c r="V45">
        <v>47.390265418859343</v>
      </c>
      <c r="W45">
        <v>20.595451316200609</v>
      </c>
      <c r="X45">
        <v>44.724835288619495</v>
      </c>
      <c r="Y45">
        <v>8.0008948458244582</v>
      </c>
      <c r="Z45">
        <v>28.832111188468421</v>
      </c>
      <c r="AA45">
        <v>5.4612848901747642</v>
      </c>
      <c r="AB45">
        <v>35.184783605972854</v>
      </c>
      <c r="AD45">
        <v>6.6910926606602414</v>
      </c>
      <c r="AE45">
        <v>11.686946454131519</v>
      </c>
      <c r="AF45">
        <v>12.828560053570561</v>
      </c>
      <c r="AG45">
        <v>20.531841581121409</v>
      </c>
      <c r="AH45">
        <v>6.1822024276184635</v>
      </c>
      <c r="AI45">
        <v>2.4450317755584554</v>
      </c>
      <c r="AK45">
        <v>61.322454309269915</v>
      </c>
    </row>
    <row r="46" spans="1:37" x14ac:dyDescent="0.2">
      <c r="A46">
        <v>45</v>
      </c>
      <c r="B46">
        <v>747</v>
      </c>
      <c r="C46">
        <v>250</v>
      </c>
      <c r="D46">
        <v>0.32208057638582899</v>
      </c>
      <c r="E46">
        <v>185.50403465615366</v>
      </c>
      <c r="F46">
        <v>57.574163368894851</v>
      </c>
      <c r="G46">
        <v>71.303147997408232</v>
      </c>
      <c r="H46">
        <v>66.678747971592998</v>
      </c>
      <c r="J46">
        <v>74.182065873279811</v>
      </c>
      <c r="L46">
        <v>6.3164681104810843</v>
      </c>
      <c r="M46">
        <v>13.104770647846212</v>
      </c>
      <c r="N46">
        <v>2.5048526176418777</v>
      </c>
      <c r="O46">
        <v>25.876456890750006</v>
      </c>
      <c r="P46">
        <v>10.86814165845824</v>
      </c>
      <c r="Q46">
        <v>0.20196501013476928</v>
      </c>
      <c r="R46">
        <v>14.331268910049008</v>
      </c>
      <c r="S46">
        <v>43.253286933088773</v>
      </c>
      <c r="U46">
        <v>0.75167583446844199</v>
      </c>
      <c r="V46">
        <v>47.268272138731128</v>
      </c>
      <c r="W46">
        <v>20.377623225092776</v>
      </c>
      <c r="X46">
        <v>44.499063019140728</v>
      </c>
      <c r="Y46">
        <v>7.9093812648616293</v>
      </c>
      <c r="Z46">
        <v>28.620884217549179</v>
      </c>
      <c r="AA46">
        <v>5.3736739300203773</v>
      </c>
      <c r="AB46">
        <v>35.019084613644829</v>
      </c>
      <c r="AD46">
        <v>6.5693742789595522</v>
      </c>
      <c r="AE46">
        <v>11.592654956579102</v>
      </c>
      <c r="AF46">
        <v>12.752483351497343</v>
      </c>
      <c r="AG46">
        <v>20.351208056786422</v>
      </c>
      <c r="AH46">
        <v>6.0435876472286356</v>
      </c>
      <c r="AI46">
        <v>2.4467130606842362</v>
      </c>
      <c r="AK46">
        <v>61.303266777672938</v>
      </c>
    </row>
    <row r="47" spans="1:37" x14ac:dyDescent="0.2">
      <c r="A47">
        <v>46</v>
      </c>
      <c r="B47">
        <v>746</v>
      </c>
      <c r="C47">
        <v>250</v>
      </c>
      <c r="D47">
        <v>0.32134671049404001</v>
      </c>
      <c r="E47">
        <v>185.38159459042518</v>
      </c>
      <c r="F47">
        <v>57.194409765062986</v>
      </c>
      <c r="G47">
        <v>71.240189686083767</v>
      </c>
      <c r="H47">
        <v>66.6135164385895</v>
      </c>
      <c r="J47">
        <v>74.084960660731724</v>
      </c>
      <c r="L47">
        <v>6.2315858581795798</v>
      </c>
      <c r="M47">
        <v>13.029950610343416</v>
      </c>
      <c r="N47">
        <v>2.5068273012992779</v>
      </c>
      <c r="O47">
        <v>25.491132444055481</v>
      </c>
      <c r="P47">
        <v>10.765757401134213</v>
      </c>
      <c r="Q47">
        <v>0.13489109329202212</v>
      </c>
      <c r="R47">
        <v>14.109902933497139</v>
      </c>
      <c r="S47">
        <v>42.77102915081349</v>
      </c>
      <c r="U47">
        <v>0.66490401345879147</v>
      </c>
      <c r="V47">
        <v>47.146459380941501</v>
      </c>
      <c r="W47">
        <v>20.160062120755498</v>
      </c>
      <c r="X47">
        <v>44.273700378488741</v>
      </c>
      <c r="Y47">
        <v>7.818017362668531</v>
      </c>
      <c r="Z47">
        <v>28.40993411735046</v>
      </c>
      <c r="AA47">
        <v>5.2862253814604703</v>
      </c>
      <c r="AB47">
        <v>34.853645528300277</v>
      </c>
      <c r="AD47">
        <v>6.4477624873409383</v>
      </c>
      <c r="AE47">
        <v>11.498481730060313</v>
      </c>
      <c r="AF47">
        <v>12.676545998564119</v>
      </c>
      <c r="AG47">
        <v>20.17083689209991</v>
      </c>
      <c r="AH47">
        <v>5.9051880567065593</v>
      </c>
      <c r="AI47">
        <v>2.4483933755948293</v>
      </c>
      <c r="AK47">
        <v>61.284391604227146</v>
      </c>
    </row>
    <row r="48" spans="1:37" x14ac:dyDescent="0.2">
      <c r="A48">
        <v>47</v>
      </c>
      <c r="B48">
        <v>745</v>
      </c>
      <c r="C48">
        <v>250</v>
      </c>
      <c r="D48">
        <v>0.32061140303491598</v>
      </c>
      <c r="E48">
        <v>185.25930330918999</v>
      </c>
      <c r="F48">
        <v>56.815319004083186</v>
      </c>
      <c r="G48">
        <v>71.177311534721014</v>
      </c>
      <c r="H48">
        <v>66.548378309163809</v>
      </c>
      <c r="J48">
        <v>73.988447603343886</v>
      </c>
      <c r="L48">
        <v>6.1468629380599342</v>
      </c>
      <c r="M48">
        <v>12.955269266102512</v>
      </c>
      <c r="N48">
        <v>2.5088018628066204</v>
      </c>
      <c r="O48">
        <v>25.106397171953208</v>
      </c>
      <c r="P48">
        <v>10.663541316796898</v>
      </c>
      <c r="Q48">
        <v>6.791793933113513E-2</v>
      </c>
      <c r="R48">
        <v>13.888881601193017</v>
      </c>
      <c r="S48">
        <v>42.28965054774374</v>
      </c>
      <c r="U48">
        <v>0.57819692518031873</v>
      </c>
      <c r="V48">
        <v>47.024826428510913</v>
      </c>
      <c r="W48">
        <v>19.942767160452441</v>
      </c>
      <c r="X48">
        <v>44.04874601820768</v>
      </c>
      <c r="Y48">
        <v>7.726802814882773</v>
      </c>
      <c r="Z48">
        <v>28.199260038839885</v>
      </c>
      <c r="AA48">
        <v>5.1989389167866902</v>
      </c>
      <c r="AB48">
        <v>34.688465522555013</v>
      </c>
      <c r="AD48">
        <v>6.3262572449661745</v>
      </c>
      <c r="AE48">
        <v>11.404426366995331</v>
      </c>
      <c r="AF48">
        <v>12.600747576185629</v>
      </c>
      <c r="AG48">
        <v>19.990727266388575</v>
      </c>
      <c r="AH48">
        <v>5.7670033645746956</v>
      </c>
      <c r="AI48">
        <v>2.4500727190555338</v>
      </c>
      <c r="AK48">
        <v>61.265828738363588</v>
      </c>
    </row>
    <row r="49" spans="1:37" x14ac:dyDescent="0.2">
      <c r="A49">
        <v>48</v>
      </c>
      <c r="B49">
        <v>744</v>
      </c>
      <c r="C49">
        <v>250</v>
      </c>
      <c r="D49">
        <v>0.31987464975667701</v>
      </c>
      <c r="E49">
        <v>185.13716044668146</v>
      </c>
      <c r="F49">
        <v>56.436889581085779</v>
      </c>
      <c r="G49">
        <v>71.114513409047476</v>
      </c>
      <c r="H49">
        <v>66.483333470292948</v>
      </c>
      <c r="J49">
        <v>73.892526321515604</v>
      </c>
      <c r="L49">
        <v>6.0622992097528661</v>
      </c>
      <c r="M49">
        <v>12.880726194115637</v>
      </c>
      <c r="N49">
        <v>2.510776302719441</v>
      </c>
      <c r="O49">
        <v>24.722249942720268</v>
      </c>
      <c r="P49">
        <v>10.561493160814864</v>
      </c>
      <c r="Q49">
        <v>1.0442440996707774E-3</v>
      </c>
      <c r="R49">
        <v>13.668203933154022</v>
      </c>
      <c r="S49">
        <v>41.809148659953458</v>
      </c>
      <c r="U49">
        <v>0.4915542575999462</v>
      </c>
      <c r="V49">
        <v>46.903372562060284</v>
      </c>
      <c r="W49">
        <v>19.725737509282368</v>
      </c>
      <c r="X49">
        <v>43.824198601771812</v>
      </c>
      <c r="Y49">
        <v>7.6357373019654045</v>
      </c>
      <c r="Z49">
        <v>27.988861141188107</v>
      </c>
      <c r="AA49">
        <v>5.111814213312682</v>
      </c>
      <c r="AB49">
        <v>34.523543776478697</v>
      </c>
      <c r="AD49">
        <v>6.2048585132610423</v>
      </c>
      <c r="AE49">
        <v>11.310488463333236</v>
      </c>
      <c r="AF49">
        <v>12.525087669646492</v>
      </c>
      <c r="AG49">
        <v>19.810878366401745</v>
      </c>
      <c r="AH49">
        <v>5.6290332853871483</v>
      </c>
      <c r="AI49">
        <v>2.4517510897808927</v>
      </c>
      <c r="AK49">
        <v>61.247578133942696</v>
      </c>
    </row>
    <row r="50" spans="1:37" x14ac:dyDescent="0.2">
      <c r="A50">
        <v>49</v>
      </c>
      <c r="B50">
        <v>743</v>
      </c>
      <c r="C50">
        <v>250</v>
      </c>
      <c r="D50">
        <v>0.31913644639078897</v>
      </c>
      <c r="E50">
        <v>183.4360590548724</v>
      </c>
      <c r="F50">
        <v>44.471106748821342</v>
      </c>
      <c r="G50">
        <v>69.363306865812874</v>
      </c>
      <c r="H50">
        <v>64.729893500018548</v>
      </c>
      <c r="J50">
        <v>68.938187928547435</v>
      </c>
      <c r="L50">
        <v>2.7765071355737674</v>
      </c>
      <c r="M50">
        <v>12.889319781494605</v>
      </c>
      <c r="N50">
        <v>2.5126563321494668</v>
      </c>
      <c r="O50">
        <v>12.542101530553808</v>
      </c>
      <c r="P50">
        <v>7.0825417812229068</v>
      </c>
      <c r="R50">
        <v>9.0661154507275352</v>
      </c>
      <c r="S50">
        <v>35.757736174255399</v>
      </c>
      <c r="U50">
        <v>0.55506183490761629</v>
      </c>
      <c r="V50">
        <v>46.700614883354376</v>
      </c>
      <c r="W50">
        <v>19.615626130217517</v>
      </c>
      <c r="X50">
        <v>44.05967514570991</v>
      </c>
      <c r="Y50">
        <v>4.1536692676247116</v>
      </c>
      <c r="Z50">
        <v>19.764929759602889</v>
      </c>
      <c r="AA50">
        <v>1.7719413015612226</v>
      </c>
      <c r="AB50">
        <v>31.464942876600276</v>
      </c>
      <c r="AD50">
        <v>1.423846077097382</v>
      </c>
      <c r="AE50">
        <v>7.852521042859312</v>
      </c>
      <c r="AF50">
        <v>12.532470382925947</v>
      </c>
      <c r="AG50">
        <v>16.737258495925321</v>
      </c>
      <c r="AH50">
        <v>0.24169844016355166</v>
      </c>
      <c r="AI50">
        <v>2.4533341970431555</v>
      </c>
      <c r="AK50">
        <v>57.833595510261276</v>
      </c>
    </row>
    <row r="51" spans="1:37" x14ac:dyDescent="0.2">
      <c r="A51">
        <v>50</v>
      </c>
      <c r="B51">
        <v>742</v>
      </c>
      <c r="C51">
        <v>250</v>
      </c>
      <c r="D51">
        <v>0.318396788651924</v>
      </c>
      <c r="E51">
        <v>183.95314226081797</v>
      </c>
      <c r="F51">
        <v>45.372825111450759</v>
      </c>
      <c r="G51">
        <v>69.744954620575086</v>
      </c>
      <c r="H51">
        <v>65.109321135231312</v>
      </c>
      <c r="J51">
        <v>54.480242931809251</v>
      </c>
      <c r="L51">
        <v>1.6438633539315051</v>
      </c>
      <c r="M51">
        <v>12.50534112909394</v>
      </c>
      <c r="N51">
        <v>2.5146760261965104</v>
      </c>
      <c r="O51">
        <v>5.4264416392639152</v>
      </c>
      <c r="P51">
        <v>7.8694467077227124</v>
      </c>
      <c r="R51">
        <v>8.0049543649800299</v>
      </c>
      <c r="S51">
        <v>32.988681196782196</v>
      </c>
      <c r="U51">
        <v>0.50861383650020475</v>
      </c>
      <c r="V51">
        <v>47.215682443231145</v>
      </c>
      <c r="W51">
        <v>19.170482253850036</v>
      </c>
      <c r="X51">
        <v>43.960982694829248</v>
      </c>
      <c r="Y51">
        <v>3.525078683304455</v>
      </c>
      <c r="Z51">
        <v>17.641546713467452</v>
      </c>
      <c r="AB51">
        <v>30.590585086895466</v>
      </c>
      <c r="AE51">
        <v>6.42683612611577</v>
      </c>
      <c r="AF51">
        <v>12.147420897739595</v>
      </c>
      <c r="AG51">
        <v>15.848024000195878</v>
      </c>
      <c r="AI51">
        <v>2.45505611410091</v>
      </c>
      <c r="AK51">
        <v>48.033139834311037</v>
      </c>
    </row>
    <row r="52" spans="1:37" x14ac:dyDescent="0.2">
      <c r="A52">
        <v>51</v>
      </c>
      <c r="B52">
        <v>741</v>
      </c>
      <c r="C52">
        <v>250</v>
      </c>
      <c r="D52">
        <v>0.31765567223783697</v>
      </c>
      <c r="E52">
        <v>184.12359199887354</v>
      </c>
      <c r="F52">
        <v>45.903174767975827</v>
      </c>
      <c r="G52">
        <v>69.720480827137493</v>
      </c>
      <c r="H52">
        <v>65.082640551111325</v>
      </c>
      <c r="J52">
        <v>47.227610053198759</v>
      </c>
      <c r="L52">
        <v>1.6599377696979063</v>
      </c>
      <c r="M52">
        <v>12.044626101687125</v>
      </c>
      <c r="N52">
        <v>2.516664968103806</v>
      </c>
      <c r="O52">
        <v>5.4249902023785532</v>
      </c>
      <c r="P52">
        <v>7.8440858547191521</v>
      </c>
      <c r="R52">
        <v>7.6436087519259468</v>
      </c>
      <c r="S52">
        <v>33.489326541635698</v>
      </c>
      <c r="U52">
        <v>0.48299632281245891</v>
      </c>
      <c r="V52">
        <v>47.839653461952949</v>
      </c>
      <c r="W52">
        <v>18.636198414772231</v>
      </c>
      <c r="X52">
        <v>43.922552892228488</v>
      </c>
      <c r="Y52">
        <v>3.2705009980806974</v>
      </c>
      <c r="Z52">
        <v>17.853608287169049</v>
      </c>
      <c r="AB52">
        <v>31.178010048414194</v>
      </c>
      <c r="AE52">
        <v>6.5414682827341748</v>
      </c>
      <c r="AF52">
        <v>11.685604667884181</v>
      </c>
      <c r="AG52">
        <v>16.420544109690791</v>
      </c>
      <c r="AI52">
        <v>2.4567464223569795</v>
      </c>
      <c r="AK52">
        <v>43.062378770616085</v>
      </c>
    </row>
    <row r="53" spans="1:37" x14ac:dyDescent="0.2">
      <c r="A53">
        <v>52</v>
      </c>
      <c r="B53">
        <v>740</v>
      </c>
      <c r="C53">
        <v>250</v>
      </c>
      <c r="D53">
        <v>0.31691309282929903</v>
      </c>
      <c r="E53">
        <v>184.27521560507586</v>
      </c>
      <c r="F53">
        <v>46.376975583238192</v>
      </c>
      <c r="G53">
        <v>69.697802161582544</v>
      </c>
      <c r="H53">
        <v>65.057768445157237</v>
      </c>
      <c r="J53">
        <v>43.19528014362205</v>
      </c>
      <c r="L53">
        <v>1.6740811179582451</v>
      </c>
      <c r="M53">
        <v>11.63021585119496</v>
      </c>
      <c r="N53">
        <v>2.5186526347097731</v>
      </c>
      <c r="O53">
        <v>5.4172723337271744</v>
      </c>
      <c r="P53">
        <v>7.8223220748361229</v>
      </c>
      <c r="R53">
        <v>7.3127986707687285</v>
      </c>
      <c r="S53">
        <v>33.905127895996472</v>
      </c>
      <c r="U53">
        <v>0.45981339993418968</v>
      </c>
      <c r="V53">
        <v>48.385264778186098</v>
      </c>
      <c r="W53">
        <v>18.146705564133423</v>
      </c>
      <c r="X53">
        <v>43.891333077647964</v>
      </c>
      <c r="Y53">
        <v>3.0526833805179114</v>
      </c>
      <c r="Z53">
        <v>18.023287773595957</v>
      </c>
      <c r="AB53">
        <v>31.675875431123035</v>
      </c>
      <c r="AE53">
        <v>6.6318136906778822</v>
      </c>
      <c r="AF53">
        <v>11.270092327907095</v>
      </c>
      <c r="AG53">
        <v>16.903505977420693</v>
      </c>
      <c r="AI53">
        <v>2.458434596809258</v>
      </c>
      <c r="AK53">
        <v>40.260209298175958</v>
      </c>
    </row>
    <row r="54" spans="1:37" x14ac:dyDescent="0.2">
      <c r="A54">
        <v>53</v>
      </c>
      <c r="B54">
        <v>763</v>
      </c>
      <c r="C54">
        <v>225</v>
      </c>
      <c r="D54">
        <v>0.360170342131933</v>
      </c>
      <c r="E54">
        <v>172.87461988577971</v>
      </c>
      <c r="F54">
        <v>63.169449270721209</v>
      </c>
      <c r="G54">
        <v>72.316854259387412</v>
      </c>
      <c r="H54">
        <v>67.729514358948748</v>
      </c>
      <c r="J54">
        <v>75.329930583055813</v>
      </c>
      <c r="L54">
        <v>7.5808672802480066</v>
      </c>
      <c r="M54">
        <v>14.275560856314916</v>
      </c>
      <c r="N54">
        <v>2.385695422542121</v>
      </c>
      <c r="O54">
        <v>32.231149300171651</v>
      </c>
      <c r="P54">
        <v>12.291414481881153</v>
      </c>
      <c r="Q54">
        <v>0.85449007597596771</v>
      </c>
      <c r="R54">
        <v>17.916504997120498</v>
      </c>
      <c r="S54">
        <v>50.543415940202578</v>
      </c>
      <c r="U54">
        <v>2.0274817501040818</v>
      </c>
      <c r="V54">
        <v>48.67182667038611</v>
      </c>
      <c r="W54">
        <v>24.445202669356775</v>
      </c>
      <c r="X54">
        <v>46.584352200019232</v>
      </c>
      <c r="Y54">
        <v>9.1744343975587466</v>
      </c>
      <c r="Z54">
        <v>31.978678203960097</v>
      </c>
      <c r="AA54">
        <v>6.7076884854902019</v>
      </c>
      <c r="AB54">
        <v>37.689528124387216</v>
      </c>
      <c r="AC54">
        <v>3.7660967084371909E-3</v>
      </c>
      <c r="AD54">
        <v>8.482829394730123</v>
      </c>
      <c r="AE54">
        <v>13.283957681888138</v>
      </c>
      <c r="AF54">
        <v>13.930739354351003</v>
      </c>
      <c r="AG54">
        <v>23.281168783627979</v>
      </c>
      <c r="AH54">
        <v>7.7762273029481213</v>
      </c>
      <c r="AI54">
        <v>2.3289961576937488</v>
      </c>
      <c r="AK54">
        <v>61.259410828794458</v>
      </c>
    </row>
    <row r="55" spans="1:37" x14ac:dyDescent="0.2">
      <c r="A55">
        <v>54</v>
      </c>
      <c r="B55">
        <v>762</v>
      </c>
      <c r="C55">
        <v>225</v>
      </c>
      <c r="D55">
        <v>0.35948461575617302</v>
      </c>
      <c r="E55">
        <v>172.76009065075513</v>
      </c>
      <c r="F55">
        <v>62.814932485423668</v>
      </c>
      <c r="G55">
        <v>72.257615311674613</v>
      </c>
      <c r="H55">
        <v>67.66778296830303</v>
      </c>
      <c r="J55">
        <v>75.241953607089854</v>
      </c>
      <c r="L55">
        <v>7.4990584035180579</v>
      </c>
      <c r="M55">
        <v>14.212581600763677</v>
      </c>
      <c r="N55">
        <v>2.3836491309188514</v>
      </c>
      <c r="O55">
        <v>31.850493345973884</v>
      </c>
      <c r="P55">
        <v>12.192313765350354</v>
      </c>
      <c r="Q55">
        <v>0.79135309577606694</v>
      </c>
      <c r="R55">
        <v>17.712223651211975</v>
      </c>
      <c r="S55">
        <v>50.116199181222527</v>
      </c>
      <c r="U55">
        <v>1.9514732048321102</v>
      </c>
      <c r="V55">
        <v>48.569565275516602</v>
      </c>
      <c r="W55">
        <v>24.249370695061515</v>
      </c>
      <c r="X55">
        <v>46.394306349839063</v>
      </c>
      <c r="Y55">
        <v>9.0880421012079058</v>
      </c>
      <c r="Z55">
        <v>31.784519066334518</v>
      </c>
      <c r="AA55">
        <v>6.623342584485072</v>
      </c>
      <c r="AB55">
        <v>37.545262528908744</v>
      </c>
      <c r="AD55">
        <v>8.3731389432138652</v>
      </c>
      <c r="AE55">
        <v>13.196280904002377</v>
      </c>
      <c r="AF55">
        <v>13.862613283679286</v>
      </c>
      <c r="AG55">
        <v>23.117942529289117</v>
      </c>
      <c r="AH55">
        <v>7.6503845140416544</v>
      </c>
      <c r="AI55">
        <v>2.3266699636938957</v>
      </c>
      <c r="AK55">
        <v>61.242698659071799</v>
      </c>
    </row>
    <row r="56" spans="1:37" x14ac:dyDescent="0.2">
      <c r="A56">
        <v>55</v>
      </c>
      <c r="B56">
        <v>761</v>
      </c>
      <c r="C56">
        <v>225</v>
      </c>
      <c r="D56">
        <v>0.35879756321617101</v>
      </c>
      <c r="E56">
        <v>172.63599697969869</v>
      </c>
      <c r="F56">
        <v>62.427994428910004</v>
      </c>
      <c r="G56">
        <v>72.193679678377066</v>
      </c>
      <c r="H56">
        <v>67.601367803644692</v>
      </c>
      <c r="J56">
        <v>75.136105546369294</v>
      </c>
      <c r="L56">
        <v>7.4123974566320285</v>
      </c>
      <c r="M56">
        <v>14.13653359735485</v>
      </c>
      <c r="N56">
        <v>2.3856280882588514</v>
      </c>
      <c r="O56">
        <v>31.457406770216696</v>
      </c>
      <c r="P56">
        <v>12.087852533684915</v>
      </c>
      <c r="Q56">
        <v>0.71889573598286738</v>
      </c>
      <c r="R56">
        <v>17.487345483427006</v>
      </c>
      <c r="S56">
        <v>49.624046840386072</v>
      </c>
      <c r="U56">
        <v>1.8639550209955844</v>
      </c>
      <c r="V56">
        <v>48.446316612726946</v>
      </c>
      <c r="W56">
        <v>24.028813868298254</v>
      </c>
      <c r="X56">
        <v>46.165408562469125</v>
      </c>
      <c r="Y56">
        <v>8.994886336335437</v>
      </c>
      <c r="Z56">
        <v>31.571843852986991</v>
      </c>
      <c r="AA56">
        <v>6.5341111203201141</v>
      </c>
      <c r="AB56">
        <v>37.377725204802424</v>
      </c>
      <c r="AD56">
        <v>8.2514709557322448</v>
      </c>
      <c r="AE56">
        <v>13.101344606352511</v>
      </c>
      <c r="AF56">
        <v>13.785443989507318</v>
      </c>
      <c r="AG56">
        <v>22.935472281433242</v>
      </c>
      <c r="AH56">
        <v>7.5095887070313605</v>
      </c>
      <c r="AI56">
        <v>2.3283681987818023</v>
      </c>
      <c r="AK56">
        <v>61.219373327612978</v>
      </c>
    </row>
    <row r="57" spans="1:37" x14ac:dyDescent="0.2">
      <c r="A57">
        <v>56</v>
      </c>
      <c r="B57">
        <v>760</v>
      </c>
      <c r="C57">
        <v>225</v>
      </c>
      <c r="D57">
        <v>0.35810918066108399</v>
      </c>
      <c r="E57">
        <v>172.51205109641913</v>
      </c>
      <c r="F57">
        <v>62.041719863162996</v>
      </c>
      <c r="G57">
        <v>72.129823564394684</v>
      </c>
      <c r="H57">
        <v>67.535045090470305</v>
      </c>
      <c r="J57">
        <v>75.030841374362041</v>
      </c>
      <c r="L57">
        <v>7.325895042224027</v>
      </c>
      <c r="M57">
        <v>14.060625850952068</v>
      </c>
      <c r="N57">
        <v>2.3876069161329059</v>
      </c>
      <c r="O57">
        <v>31.064909335133468</v>
      </c>
      <c r="P57">
        <v>11.983557840602357</v>
      </c>
      <c r="Q57">
        <v>0.6465754923061019</v>
      </c>
      <c r="R57">
        <v>17.262813972099028</v>
      </c>
      <c r="S57">
        <v>49.132779299678297</v>
      </c>
      <c r="U57">
        <v>1.7764984248882962</v>
      </c>
      <c r="V57">
        <v>48.323249495043299</v>
      </c>
      <c r="W57">
        <v>23.808528188121738</v>
      </c>
      <c r="X57">
        <v>45.936920720777735</v>
      </c>
      <c r="Y57">
        <v>8.9018791221070259</v>
      </c>
      <c r="Z57">
        <v>31.359453067396739</v>
      </c>
      <c r="AA57">
        <v>6.4450414632976756</v>
      </c>
      <c r="AB57">
        <v>37.21045344075312</v>
      </c>
      <c r="AD57">
        <v>8.1299044814536536</v>
      </c>
      <c r="AE57">
        <v>13.006531214770401</v>
      </c>
      <c r="AF57">
        <v>13.708415103804015</v>
      </c>
      <c r="AG57">
        <v>22.753269956134794</v>
      </c>
      <c r="AH57">
        <v>7.3690048617778645</v>
      </c>
      <c r="AI57">
        <v>2.3300654826902893</v>
      </c>
      <c r="AK57">
        <v>61.196353057128483</v>
      </c>
    </row>
    <row r="58" spans="1:37" x14ac:dyDescent="0.2">
      <c r="A58">
        <v>57</v>
      </c>
      <c r="B58">
        <v>759</v>
      </c>
      <c r="C58">
        <v>225</v>
      </c>
      <c r="D58">
        <v>0.35741946422516302</v>
      </c>
      <c r="E58">
        <v>172.38825258643789</v>
      </c>
      <c r="F58">
        <v>61.656107125785823</v>
      </c>
      <c r="G58">
        <v>72.066046812785416</v>
      </c>
      <c r="H58">
        <v>67.468814692475448</v>
      </c>
      <c r="J58">
        <v>74.926160597628282</v>
      </c>
      <c r="L58">
        <v>7.2395507865532602</v>
      </c>
      <c r="M58">
        <v>13.984857914820617</v>
      </c>
      <c r="N58">
        <v>2.3895856150944543</v>
      </c>
      <c r="O58">
        <v>30.672999789548797</v>
      </c>
      <c r="P58">
        <v>11.879429395177299</v>
      </c>
      <c r="Q58">
        <v>0.57433468039052904</v>
      </c>
      <c r="R58">
        <v>17.038628044492704</v>
      </c>
      <c r="S58">
        <v>48.642393909239182</v>
      </c>
      <c r="U58">
        <v>1.6891030705912828</v>
      </c>
      <c r="V58">
        <v>48.200363247025322</v>
      </c>
      <c r="W58">
        <v>23.588512790330277</v>
      </c>
      <c r="X58">
        <v>45.708841373661123</v>
      </c>
      <c r="Y58">
        <v>8.809020089556137</v>
      </c>
      <c r="Z58">
        <v>31.14734586535878</v>
      </c>
      <c r="AA58">
        <v>6.3561332473543803</v>
      </c>
      <c r="AB58">
        <v>37.043446399873893</v>
      </c>
      <c r="AD58">
        <v>8.0084395429026092</v>
      </c>
      <c r="AE58">
        <v>12.911840334739077</v>
      </c>
      <c r="AF58">
        <v>13.631526185937616</v>
      </c>
      <c r="AG58">
        <v>22.571334722901298</v>
      </c>
      <c r="AH58">
        <v>7.2286326431420491</v>
      </c>
      <c r="AI58">
        <v>2.3317618141361103</v>
      </c>
      <c r="AK58">
        <v>61.173637733616047</v>
      </c>
    </row>
    <row r="59" spans="1:37" x14ac:dyDescent="0.2">
      <c r="A59">
        <v>58</v>
      </c>
      <c r="B59">
        <v>758</v>
      </c>
      <c r="C59">
        <v>225</v>
      </c>
      <c r="D59">
        <v>0.356728410027642</v>
      </c>
      <c r="E59">
        <v>172.26460103928312</v>
      </c>
      <c r="F59">
        <v>61.271154572785747</v>
      </c>
      <c r="G59">
        <v>72.002349268699149</v>
      </c>
      <c r="H59">
        <v>67.402676475487269</v>
      </c>
      <c r="J59">
        <v>74.822062730686326</v>
      </c>
      <c r="L59">
        <v>7.1533643253347723</v>
      </c>
      <c r="M59">
        <v>13.909229345969692</v>
      </c>
      <c r="N59">
        <v>2.391564185741172</v>
      </c>
      <c r="O59">
        <v>30.281676896854208</v>
      </c>
      <c r="P59">
        <v>11.775466910775661</v>
      </c>
      <c r="Q59">
        <v>0.50211297194173055</v>
      </c>
      <c r="R59">
        <v>16.814786638383847</v>
      </c>
      <c r="S59">
        <v>48.152888041885113</v>
      </c>
      <c r="U59">
        <v>1.6017686161379892</v>
      </c>
      <c r="V59">
        <v>48.077657193357439</v>
      </c>
      <c r="W59">
        <v>23.368766818501115</v>
      </c>
      <c r="X59">
        <v>45.481169081333512</v>
      </c>
      <c r="Y59">
        <v>8.7163088743142616</v>
      </c>
      <c r="Z59">
        <v>30.935521411377469</v>
      </c>
      <c r="AA59">
        <v>6.2673861109105129</v>
      </c>
      <c r="AB59">
        <v>36.876703252878578</v>
      </c>
      <c r="AD59">
        <v>7.8870761636946858</v>
      </c>
      <c r="AE59">
        <v>12.817271575650906</v>
      </c>
      <c r="AF59">
        <v>13.554776799073599</v>
      </c>
      <c r="AG59">
        <v>22.389665758899017</v>
      </c>
      <c r="AH59">
        <v>7.0884717216797313</v>
      </c>
      <c r="AI59">
        <v>2.3334571918794427</v>
      </c>
      <c r="AK59">
        <v>61.151227247046414</v>
      </c>
    </row>
    <row r="60" spans="1:37" x14ac:dyDescent="0.2">
      <c r="A60">
        <v>59</v>
      </c>
      <c r="B60">
        <v>757</v>
      </c>
      <c r="C60">
        <v>225</v>
      </c>
      <c r="D60">
        <v>0.35603601417269398</v>
      </c>
      <c r="E60">
        <v>172.14109604858297</v>
      </c>
      <c r="F60">
        <v>60.886860578880089</v>
      </c>
      <c r="G60">
        <v>71.93873077944211</v>
      </c>
      <c r="H60">
        <v>67.336630307530157</v>
      </c>
      <c r="J60">
        <v>74.718547296244878</v>
      </c>
      <c r="L60">
        <v>7.0673353047621275</v>
      </c>
      <c r="M60">
        <v>13.83373970539898</v>
      </c>
      <c r="N60">
        <v>2.3935426286093846</v>
      </c>
      <c r="O60">
        <v>29.890939435020876</v>
      </c>
      <c r="P60">
        <v>11.671670105079345</v>
      </c>
      <c r="Q60">
        <v>0.43002360954863078</v>
      </c>
      <c r="R60">
        <v>16.591288702328335</v>
      </c>
      <c r="S60">
        <v>47.664259094180551</v>
      </c>
      <c r="U60">
        <v>1.5144947237241662</v>
      </c>
      <c r="V60">
        <v>47.955130659030161</v>
      </c>
      <c r="W60">
        <v>23.149289424476155</v>
      </c>
      <c r="X60">
        <v>45.253902416041072</v>
      </c>
      <c r="Y60">
        <v>8.6237451166737404</v>
      </c>
      <c r="Z60">
        <v>30.723978879036917</v>
      </c>
      <c r="AA60">
        <v>6.1787996969230443</v>
      </c>
      <c r="AB60">
        <v>36.710223178540431</v>
      </c>
      <c r="AD60">
        <v>7.7658143688507577</v>
      </c>
      <c r="AE60">
        <v>12.722824550969067</v>
      </c>
      <c r="AF60">
        <v>13.478166510322518</v>
      </c>
      <c r="AG60">
        <v>22.208262249314533</v>
      </c>
      <c r="AH60">
        <v>6.948521773866382</v>
      </c>
      <c r="AI60">
        <v>2.3351516146181805</v>
      </c>
      <c r="AK60">
        <v>61.129121491391324</v>
      </c>
    </row>
    <row r="61" spans="1:37" x14ac:dyDescent="0.2">
      <c r="A61">
        <v>60</v>
      </c>
      <c r="B61">
        <v>756</v>
      </c>
      <c r="C61">
        <v>225</v>
      </c>
      <c r="D61">
        <v>0.35534227274935698</v>
      </c>
      <c r="E61">
        <v>172.01773721182116</v>
      </c>
      <c r="F61">
        <v>60.50322353663659</v>
      </c>
      <c r="G61">
        <v>71.875191194351629</v>
      </c>
      <c r="H61">
        <v>67.270676058698783</v>
      </c>
      <c r="J61">
        <v>74.615613824698229</v>
      </c>
      <c r="L61">
        <v>6.9814633826011088</v>
      </c>
      <c r="M61">
        <v>13.75838855772635</v>
      </c>
      <c r="N61">
        <v>2.3955209442867571</v>
      </c>
      <c r="O61">
        <v>29.500786196242341</v>
      </c>
      <c r="P61">
        <v>11.568038699943742</v>
      </c>
      <c r="Q61">
        <v>0.35801618220048981</v>
      </c>
      <c r="R61">
        <v>16.368133195096544</v>
      </c>
      <c r="S61">
        <v>47.176504484632957</v>
      </c>
      <c r="U61">
        <v>1.4272810593818013</v>
      </c>
      <c r="V61">
        <v>47.832782968631989</v>
      </c>
      <c r="W61">
        <v>22.93007976765011</v>
      </c>
      <c r="X61">
        <v>45.027039960638596</v>
      </c>
      <c r="Y61">
        <v>8.5313284614120697</v>
      </c>
      <c r="Z61">
        <v>30.512717450448626</v>
      </c>
      <c r="AA61">
        <v>6.0903736527824073</v>
      </c>
      <c r="AB61">
        <v>36.544005363017163</v>
      </c>
      <c r="AD61">
        <v>7.6446541845371687</v>
      </c>
      <c r="AE61">
        <v>12.628498877992278</v>
      </c>
      <c r="AF61">
        <v>13.401694890476218</v>
      </c>
      <c r="AG61">
        <v>22.027123386787789</v>
      </c>
      <c r="AH61">
        <v>6.8087824816997964</v>
      </c>
      <c r="AI61">
        <v>2.3368450811016745</v>
      </c>
      <c r="AK61">
        <v>61.107320364443702</v>
      </c>
    </row>
    <row r="62" spans="1:37" x14ac:dyDescent="0.2">
      <c r="A62">
        <v>61</v>
      </c>
      <c r="B62">
        <v>755</v>
      </c>
      <c r="C62">
        <v>225</v>
      </c>
      <c r="D62">
        <v>0.354647181831445</v>
      </c>
      <c r="E62">
        <v>171.8945241303372</v>
      </c>
      <c r="F62">
        <v>60.120241856514156</v>
      </c>
      <c r="G62">
        <v>71.811730364818004</v>
      </c>
      <c r="H62">
        <v>67.204813601181726</v>
      </c>
      <c r="J62">
        <v>74.513261854164995</v>
      </c>
      <c r="L62">
        <v>6.8957482296540107</v>
      </c>
      <c r="M62">
        <v>13.683175471303352</v>
      </c>
      <c r="N62">
        <v>2.3974991333397657</v>
      </c>
      <c r="O62">
        <v>29.111215986860632</v>
      </c>
      <c r="P62">
        <v>11.464572421371653</v>
      </c>
      <c r="Q62">
        <v>0.28602398999627643</v>
      </c>
      <c r="R62">
        <v>16.14531908573997</v>
      </c>
      <c r="S62">
        <v>46.689621654176527</v>
      </c>
      <c r="U62">
        <v>1.3401272930935864</v>
      </c>
      <c r="V62">
        <v>47.71061344631557</v>
      </c>
      <c r="W62">
        <v>22.711137015254241</v>
      </c>
      <c r="X62">
        <v>44.80058030892539</v>
      </c>
      <c r="Y62">
        <v>8.4390585577963044</v>
      </c>
      <c r="Z62">
        <v>30.301736316481435</v>
      </c>
      <c r="AA62">
        <v>6.0021076303037404</v>
      </c>
      <c r="AB62">
        <v>36.378049000125451</v>
      </c>
      <c r="AD62">
        <v>7.5235956382829716</v>
      </c>
      <c r="AE62">
        <v>12.534294177964338</v>
      </c>
      <c r="AF62">
        <v>13.325361514049035</v>
      </c>
      <c r="AG62">
        <v>21.846248371613989</v>
      </c>
      <c r="AH62">
        <v>6.669253532802693</v>
      </c>
      <c r="AI62">
        <v>2.3385375900577374</v>
      </c>
      <c r="AK62">
        <v>61.085823767763678</v>
      </c>
    </row>
    <row r="63" spans="1:37" x14ac:dyDescent="0.2">
      <c r="A63">
        <v>62</v>
      </c>
      <c r="B63">
        <v>754</v>
      </c>
      <c r="C63">
        <v>225</v>
      </c>
      <c r="D63">
        <v>0.35395073747748601</v>
      </c>
      <c r="E63">
        <v>171.7714564095665</v>
      </c>
      <c r="F63">
        <v>59.737913967486151</v>
      </c>
      <c r="G63">
        <v>71.748348144362211</v>
      </c>
      <c r="H63">
        <v>67.139042809338775</v>
      </c>
      <c r="J63">
        <v>74.411490930875118</v>
      </c>
      <c r="L63">
        <v>6.8101895317546584</v>
      </c>
      <c r="M63">
        <v>13.608100018384464</v>
      </c>
      <c r="N63">
        <v>2.3994771962965875</v>
      </c>
      <c r="O63">
        <v>28.722227627577396</v>
      </c>
      <c r="P63">
        <v>11.361270999654158</v>
      </c>
      <c r="Q63">
        <v>0.21416976148099709</v>
      </c>
      <c r="R63">
        <v>15.922845353975379</v>
      </c>
      <c r="S63">
        <v>46.203608067026593</v>
      </c>
      <c r="U63">
        <v>1.2530330989108791</v>
      </c>
      <c r="V63">
        <v>47.588621416005779</v>
      </c>
      <c r="W63">
        <v>22.492460342531679</v>
      </c>
      <c r="X63">
        <v>44.574522066621768</v>
      </c>
      <c r="Y63">
        <v>8.3469350597207335</v>
      </c>
      <c r="Z63">
        <v>30.091034676815724</v>
      </c>
      <c r="AA63">
        <v>5.9140012858886042</v>
      </c>
      <c r="AB63">
        <v>36.212353291486231</v>
      </c>
      <c r="AD63">
        <v>7.4026387591307596</v>
      </c>
      <c r="AE63">
        <v>12.440210076043156</v>
      </c>
      <c r="AF63">
        <v>13.24916595943613</v>
      </c>
      <c r="AG63">
        <v>21.66563641187626</v>
      </c>
      <c r="AH63">
        <v>6.5299346206396622</v>
      </c>
      <c r="AI63">
        <v>2.3402291401761155</v>
      </c>
      <c r="AK63">
        <v>61.06463160693098</v>
      </c>
    </row>
    <row r="64" spans="1:37" x14ac:dyDescent="0.2">
      <c r="A64">
        <v>63</v>
      </c>
      <c r="B64">
        <v>753</v>
      </c>
      <c r="C64">
        <v>225</v>
      </c>
      <c r="D64">
        <v>0.35325293573064698</v>
      </c>
      <c r="E64">
        <v>171.64853365847028</v>
      </c>
      <c r="F64">
        <v>59.356238315230613</v>
      </c>
      <c r="G64">
        <v>71.68504438839598</v>
      </c>
      <c r="H64">
        <v>67.073363559460986</v>
      </c>
      <c r="J64">
        <v>74.310300608130788</v>
      </c>
      <c r="L64">
        <v>6.7247261540002912</v>
      </c>
      <c r="M64">
        <v>13.533161774516168</v>
      </c>
      <c r="N64">
        <v>2.4014551337847005</v>
      </c>
      <c r="O64">
        <v>28.333819952680305</v>
      </c>
      <c r="P64">
        <v>11.258134169023226</v>
      </c>
      <c r="Q64">
        <v>0.14233426780475189</v>
      </c>
      <c r="R64">
        <v>15.700710989077695</v>
      </c>
      <c r="S64">
        <v>45.71846120759556</v>
      </c>
      <c r="U64">
        <v>1.1659981544459808</v>
      </c>
      <c r="V64">
        <v>47.466806200164967</v>
      </c>
      <c r="W64">
        <v>22.274048931703266</v>
      </c>
      <c r="X64">
        <v>44.348863848915983</v>
      </c>
      <c r="Y64">
        <v>8.2549576253273607</v>
      </c>
      <c r="Z64">
        <v>29.880611739231281</v>
      </c>
      <c r="AA64">
        <v>5.8260542802334676</v>
      </c>
      <c r="AB64">
        <v>36.046917445574728</v>
      </c>
      <c r="AD64">
        <v>7.2817835772279453</v>
      </c>
      <c r="AE64">
        <v>12.34624620105583</v>
      </c>
      <c r="AF64">
        <v>13.173107808434086</v>
      </c>
      <c r="AG64">
        <v>21.485286722626615</v>
      </c>
      <c r="AH64">
        <v>6.3908254439500682</v>
      </c>
      <c r="AI64">
        <v>2.3419197302448085</v>
      </c>
      <c r="AK64">
        <v>61.043743791034565</v>
      </c>
    </row>
    <row r="65" spans="1:37" x14ac:dyDescent="0.2">
      <c r="A65">
        <v>64</v>
      </c>
      <c r="B65">
        <v>752</v>
      </c>
      <c r="C65">
        <v>225</v>
      </c>
      <c r="D65">
        <v>0.35255377261864101</v>
      </c>
      <c r="E65">
        <v>171.5257554901919</v>
      </c>
      <c r="F65">
        <v>58.975213364190097</v>
      </c>
      <c r="G65">
        <v>71.621818954509465</v>
      </c>
      <c r="H65">
        <v>67.007775730057872</v>
      </c>
      <c r="J65">
        <v>74.209690447498872</v>
      </c>
      <c r="L65">
        <v>6.6394761709739578</v>
      </c>
      <c r="M65">
        <v>13.458360319304107</v>
      </c>
      <c r="N65">
        <v>2.4034329463178459</v>
      </c>
      <c r="O65">
        <v>27.945991810810749</v>
      </c>
      <c r="P65">
        <v>11.155161668020288</v>
      </c>
      <c r="Q65">
        <v>7.063450331661196E-2</v>
      </c>
      <c r="R65">
        <v>15.4789149911613</v>
      </c>
      <c r="S65">
        <v>45.234178584296572</v>
      </c>
      <c r="U65">
        <v>1.0790221415214534</v>
      </c>
      <c r="V65">
        <v>47.345167120925858</v>
      </c>
      <c r="W65">
        <v>22.055901973312842</v>
      </c>
      <c r="X65">
        <v>44.12360428295775</v>
      </c>
      <c r="Y65">
        <v>8.1631259174381974</v>
      </c>
      <c r="Z65">
        <v>29.670466720529344</v>
      </c>
      <c r="AA65">
        <v>5.73826627869036</v>
      </c>
      <c r="AB65">
        <v>35.881740678955175</v>
      </c>
      <c r="AD65">
        <v>7.1610301245245322</v>
      </c>
      <c r="AE65">
        <v>12.252402185814695</v>
      </c>
      <c r="AF65">
        <v>13.097186646799702</v>
      </c>
      <c r="AG65">
        <v>21.305198526913845</v>
      </c>
      <c r="AH65">
        <v>6.2519257069853245</v>
      </c>
      <c r="AI65">
        <v>2.3436093589383113</v>
      </c>
      <c r="AK65">
        <v>61.023160233209026</v>
      </c>
    </row>
    <row r="66" spans="1:37" x14ac:dyDescent="0.2">
      <c r="A66">
        <v>65</v>
      </c>
      <c r="B66">
        <v>751</v>
      </c>
      <c r="C66">
        <v>225</v>
      </c>
      <c r="D66">
        <v>0.35185324415369101</v>
      </c>
      <c r="E66">
        <v>171.40009792761404</v>
      </c>
      <c r="F66">
        <v>58.575060916005306</v>
      </c>
      <c r="G66">
        <v>71.555272172452547</v>
      </c>
      <c r="H66">
        <v>66.938879671840127</v>
      </c>
      <c r="J66">
        <v>74.106323300355811</v>
      </c>
      <c r="L66">
        <v>6.5486767191198192</v>
      </c>
      <c r="M66">
        <v>13.386430556562324</v>
      </c>
      <c r="N66">
        <v>2.4054104026518881</v>
      </c>
      <c r="O66">
        <v>27.536376387275972</v>
      </c>
      <c r="P66">
        <v>11.045553947808223</v>
      </c>
      <c r="R66">
        <v>15.253557883651402</v>
      </c>
      <c r="S66">
        <v>44.757241697941851</v>
      </c>
      <c r="U66">
        <v>0.99381959064508818</v>
      </c>
      <c r="V66">
        <v>47.229369156682488</v>
      </c>
      <c r="W66">
        <v>21.837771817667473</v>
      </c>
      <c r="X66">
        <v>43.904065470776175</v>
      </c>
      <c r="Y66">
        <v>8.0647793201148215</v>
      </c>
      <c r="Z66">
        <v>29.450180913489913</v>
      </c>
      <c r="AA66">
        <v>5.6446539671849747</v>
      </c>
      <c r="AB66">
        <v>35.720751294165694</v>
      </c>
      <c r="AD66">
        <v>7.0339536529344029</v>
      </c>
      <c r="AE66">
        <v>12.155147227779853</v>
      </c>
      <c r="AF66">
        <v>13.024137152751818</v>
      </c>
      <c r="AG66">
        <v>21.129299902020801</v>
      </c>
      <c r="AH66">
        <v>6.1035892241443905</v>
      </c>
      <c r="AI66">
        <v>2.3452977931731267</v>
      </c>
      <c r="AK66">
        <v>60.998169943140013</v>
      </c>
    </row>
    <row r="67" spans="1:37" x14ac:dyDescent="0.2">
      <c r="A67">
        <v>66</v>
      </c>
      <c r="B67">
        <v>750</v>
      </c>
      <c r="C67">
        <v>225</v>
      </c>
      <c r="D67">
        <v>0.35115134633240402</v>
      </c>
      <c r="E67">
        <v>171.17013472110747</v>
      </c>
      <c r="F67">
        <v>57.486036727298654</v>
      </c>
      <c r="G67">
        <v>71.369965975208942</v>
      </c>
      <c r="H67">
        <v>66.75123733879326</v>
      </c>
      <c r="J67">
        <v>73.875666963581608</v>
      </c>
      <c r="L67">
        <v>6.2571871357619164</v>
      </c>
      <c r="M67">
        <v>13.408132758414665</v>
      </c>
      <c r="N67">
        <v>2.4073794846686138</v>
      </c>
      <c r="O67">
        <v>26.345859786072111</v>
      </c>
      <c r="P67">
        <v>10.698426879209256</v>
      </c>
      <c r="R67">
        <v>14.882467693181892</v>
      </c>
      <c r="S67">
        <v>44.467608299381688</v>
      </c>
      <c r="U67">
        <v>0.96883120554933011</v>
      </c>
      <c r="V67">
        <v>47.296643132445674</v>
      </c>
      <c r="W67">
        <v>21.613021468046007</v>
      </c>
      <c r="X67">
        <v>43.871181641449581</v>
      </c>
      <c r="Y67">
        <v>7.7337118347322784</v>
      </c>
      <c r="Z67">
        <v>28.864825669570536</v>
      </c>
      <c r="AA67">
        <v>5.3415805905977756</v>
      </c>
      <c r="AB67">
        <v>35.677480194803643</v>
      </c>
      <c r="AD67">
        <v>6.6814083345579469</v>
      </c>
      <c r="AE67">
        <v>11.933919788355716</v>
      </c>
      <c r="AF67">
        <v>13.044711585955836</v>
      </c>
      <c r="AG67">
        <v>21.071113739433311</v>
      </c>
      <c r="AH67">
        <v>5.6176281136319011</v>
      </c>
      <c r="AI67">
        <v>2.3469770129912138</v>
      </c>
      <c r="AK67">
        <v>60.807723377333147</v>
      </c>
    </row>
    <row r="68" spans="1:37" x14ac:dyDescent="0.2">
      <c r="A68">
        <v>67</v>
      </c>
      <c r="B68">
        <v>749</v>
      </c>
      <c r="C68">
        <v>225</v>
      </c>
      <c r="D68">
        <v>0.350448075135744</v>
      </c>
      <c r="E68">
        <v>170.93110039661758</v>
      </c>
      <c r="F68">
        <v>56.321240880989144</v>
      </c>
      <c r="G68">
        <v>71.171275040010855</v>
      </c>
      <c r="H68">
        <v>66.550223429191789</v>
      </c>
      <c r="J68">
        <v>73.60165313468832</v>
      </c>
      <c r="L68">
        <v>5.9394850629101708</v>
      </c>
      <c r="M68">
        <v>13.434358272822166</v>
      </c>
      <c r="N68">
        <v>2.4093472211925562</v>
      </c>
      <c r="O68">
        <v>25.067264658843907</v>
      </c>
      <c r="P68">
        <v>10.32453686855272</v>
      </c>
      <c r="R68">
        <v>14.471144568094116</v>
      </c>
      <c r="S68">
        <v>44.097334247141973</v>
      </c>
      <c r="U68">
        <v>0.95029885802498038</v>
      </c>
      <c r="V68">
        <v>47.346964637642614</v>
      </c>
      <c r="W68">
        <v>21.391502465639906</v>
      </c>
      <c r="X68">
        <v>43.857458563048375</v>
      </c>
      <c r="Y68">
        <v>7.3762149043868117</v>
      </c>
      <c r="Z68">
        <v>28.232273102016197</v>
      </c>
      <c r="AA68">
        <v>5.0136050425394787</v>
      </c>
      <c r="AB68">
        <v>35.596329738191407</v>
      </c>
      <c r="AD68">
        <v>6.2995191090053426</v>
      </c>
      <c r="AE68">
        <v>11.695212777346498</v>
      </c>
      <c r="AF68">
        <v>13.069808328873853</v>
      </c>
      <c r="AG68">
        <v>20.975049431325949</v>
      </c>
      <c r="AH68">
        <v>5.0917592730069314</v>
      </c>
      <c r="AI68">
        <v>2.3486540453773941</v>
      </c>
      <c r="AK68">
        <v>60.595136241843115</v>
      </c>
    </row>
    <row r="69" spans="1:37" x14ac:dyDescent="0.2">
      <c r="A69">
        <v>68</v>
      </c>
      <c r="B69">
        <v>748</v>
      </c>
      <c r="C69">
        <v>225</v>
      </c>
      <c r="D69">
        <v>0.34974342652891699</v>
      </c>
      <c r="E69">
        <v>169.94796099590931</v>
      </c>
      <c r="F69">
        <v>49.573660067689048</v>
      </c>
      <c r="G69">
        <v>70.18019432197157</v>
      </c>
      <c r="H69">
        <v>65.556832919233671</v>
      </c>
      <c r="J69">
        <v>70.707416109517752</v>
      </c>
      <c r="L69">
        <v>4.0843367816351348</v>
      </c>
      <c r="M69">
        <v>13.379738623353244</v>
      </c>
      <c r="N69">
        <v>2.4112753526860584</v>
      </c>
      <c r="O69">
        <v>18.196867870325644</v>
      </c>
      <c r="P69">
        <v>8.365835589625048</v>
      </c>
      <c r="R69">
        <v>11.750984855099684</v>
      </c>
      <c r="S69">
        <v>40.094070713429282</v>
      </c>
      <c r="U69">
        <v>0.94035534379192387</v>
      </c>
      <c r="V69">
        <v>47.014050082315727</v>
      </c>
      <c r="W69">
        <v>21.232395561511865</v>
      </c>
      <c r="X69">
        <v>43.865289459352951</v>
      </c>
      <c r="Y69">
        <v>5.4201071971914674</v>
      </c>
      <c r="Z69">
        <v>23.620995502992315</v>
      </c>
      <c r="AA69">
        <v>3.1343202550673448</v>
      </c>
      <c r="AB69">
        <v>33.614224350823633</v>
      </c>
      <c r="AD69">
        <v>3.6233711544389862</v>
      </c>
      <c r="AE69">
        <v>9.7391724235974362</v>
      </c>
      <c r="AF69">
        <v>13.014020651223744</v>
      </c>
      <c r="AG69">
        <v>18.977993150702993</v>
      </c>
      <c r="AH69">
        <v>2.081921301695159</v>
      </c>
      <c r="AI69">
        <v>2.35029062895395</v>
      </c>
      <c r="AK69">
        <v>58.696918154235128</v>
      </c>
    </row>
    <row r="70" spans="1:37" x14ac:dyDescent="0.2">
      <c r="A70">
        <v>69</v>
      </c>
      <c r="B70">
        <v>747</v>
      </c>
      <c r="C70">
        <v>225</v>
      </c>
      <c r="D70">
        <v>0.34903739646130499</v>
      </c>
      <c r="E70">
        <v>169.69745723766428</v>
      </c>
      <c r="F70">
        <v>46.424113506042069</v>
      </c>
      <c r="G70">
        <v>69.88086899415913</v>
      </c>
      <c r="H70">
        <v>65.255211003112109</v>
      </c>
      <c r="J70">
        <v>62.973716457548612</v>
      </c>
      <c r="L70">
        <v>2.0220337649904105</v>
      </c>
      <c r="M70">
        <v>13.239937753937262</v>
      </c>
      <c r="N70">
        <v>2.4132478686725878</v>
      </c>
      <c r="O70">
        <v>8.1909174730166256</v>
      </c>
      <c r="P70">
        <v>7.7906974012552688</v>
      </c>
      <c r="R70">
        <v>9.3108368154065175</v>
      </c>
      <c r="S70">
        <v>34.866769466973651</v>
      </c>
      <c r="U70">
        <v>0.92880329681495832</v>
      </c>
      <c r="V70">
        <v>46.814661700656082</v>
      </c>
      <c r="W70">
        <v>21.00862597093516</v>
      </c>
      <c r="X70">
        <v>43.868012226798555</v>
      </c>
      <c r="Y70">
        <v>3.8345540355398509</v>
      </c>
      <c r="Z70">
        <v>19.894545883607339</v>
      </c>
      <c r="AA70">
        <v>0.80656316395197791</v>
      </c>
      <c r="AB70">
        <v>31.756376082836958</v>
      </c>
      <c r="AD70">
        <v>1.5106833541472333</v>
      </c>
      <c r="AE70">
        <v>7.8405329780433224</v>
      </c>
      <c r="AF70">
        <v>12.873096492156289</v>
      </c>
      <c r="AG70">
        <v>17.10524094329061</v>
      </c>
      <c r="AI70">
        <v>2.351970751404056</v>
      </c>
      <c r="AK70">
        <v>53.550055630804188</v>
      </c>
    </row>
    <row r="71" spans="1:37" x14ac:dyDescent="0.2">
      <c r="A71">
        <v>70</v>
      </c>
      <c r="B71">
        <v>746</v>
      </c>
      <c r="C71">
        <v>225</v>
      </c>
      <c r="D71">
        <v>0.34832998086640898</v>
      </c>
      <c r="E71">
        <v>169.99373568539079</v>
      </c>
      <c r="F71">
        <v>46.170638086071612</v>
      </c>
      <c r="G71">
        <v>70.009636614537186</v>
      </c>
      <c r="H71">
        <v>65.381695259955563</v>
      </c>
      <c r="J71">
        <v>52.198063520721448</v>
      </c>
      <c r="L71">
        <v>1.6185010306082368</v>
      </c>
      <c r="M71">
        <v>12.854657861000678</v>
      </c>
      <c r="N71">
        <v>2.4152488364131295</v>
      </c>
      <c r="O71">
        <v>5.7959477711274605</v>
      </c>
      <c r="P71">
        <v>8.0717815098582264</v>
      </c>
      <c r="R71">
        <v>8.713443330704445</v>
      </c>
      <c r="S71">
        <v>33.886386071253533</v>
      </c>
      <c r="U71">
        <v>0.91319162230881679</v>
      </c>
      <c r="V71">
        <v>47.240557620251955</v>
      </c>
      <c r="W71">
        <v>20.541862837065597</v>
      </c>
      <c r="X71">
        <v>43.859155689513443</v>
      </c>
      <c r="Y71">
        <v>3.4308248075270997</v>
      </c>
      <c r="Z71">
        <v>17.573123023310156</v>
      </c>
      <c r="AB71">
        <v>30.692670302062606</v>
      </c>
      <c r="AE71">
        <v>6.4600573630791756</v>
      </c>
      <c r="AF71">
        <v>12.486722121076326</v>
      </c>
      <c r="AG71">
        <v>16.026662250265559</v>
      </c>
      <c r="AI71">
        <v>2.3536784781484039</v>
      </c>
      <c r="AK71">
        <v>46.283186128054908</v>
      </c>
    </row>
    <row r="72" spans="1:37" x14ac:dyDescent="0.2">
      <c r="A72">
        <v>71</v>
      </c>
      <c r="B72">
        <v>745</v>
      </c>
      <c r="C72">
        <v>225</v>
      </c>
      <c r="D72">
        <v>0.347621175661739</v>
      </c>
      <c r="E72">
        <v>170.164865753345</v>
      </c>
      <c r="F72">
        <v>46.701112973766072</v>
      </c>
      <c r="G72">
        <v>69.985441551434079</v>
      </c>
      <c r="H72">
        <v>65.355230079302785</v>
      </c>
      <c r="J72">
        <v>46.039051313191564</v>
      </c>
      <c r="L72">
        <v>1.6332879465189107</v>
      </c>
      <c r="M72">
        <v>12.405448090342855</v>
      </c>
      <c r="N72">
        <v>2.4172391350515943</v>
      </c>
      <c r="O72">
        <v>5.788172513877841</v>
      </c>
      <c r="P72">
        <v>8.0469375545321089</v>
      </c>
      <c r="R72">
        <v>8.3505301843100899</v>
      </c>
      <c r="S72">
        <v>34.282050705353321</v>
      </c>
      <c r="U72">
        <v>0.89338720871481203</v>
      </c>
      <c r="V72">
        <v>47.817198811451846</v>
      </c>
      <c r="W72">
        <v>20.013914020360335</v>
      </c>
      <c r="X72">
        <v>43.838495934698507</v>
      </c>
      <c r="Y72">
        <v>3.1770791769008477</v>
      </c>
      <c r="Z72">
        <v>17.78177986000415</v>
      </c>
      <c r="AB72">
        <v>31.218245381077594</v>
      </c>
      <c r="AE72">
        <v>6.5727310205880922</v>
      </c>
      <c r="AF72">
        <v>12.036407568649285</v>
      </c>
      <c r="AG72">
        <v>16.537356329453257</v>
      </c>
      <c r="AI72">
        <v>2.3553746864910758</v>
      </c>
      <c r="AK72">
        <v>42.062001118163749</v>
      </c>
    </row>
    <row r="73" spans="1:37" x14ac:dyDescent="0.2">
      <c r="A73">
        <v>72</v>
      </c>
      <c r="B73">
        <v>764</v>
      </c>
      <c r="C73">
        <v>200</v>
      </c>
      <c r="D73">
        <v>0.38736971508460899</v>
      </c>
      <c r="E73">
        <v>158.36532134922538</v>
      </c>
      <c r="F73">
        <v>62.912645750651066</v>
      </c>
      <c r="G73">
        <v>72.36967242832219</v>
      </c>
      <c r="H73">
        <v>67.783763241946389</v>
      </c>
      <c r="J73">
        <v>74.939009973476686</v>
      </c>
      <c r="L73">
        <v>7.5342861961479572</v>
      </c>
      <c r="M73">
        <v>14.290784350377587</v>
      </c>
      <c r="N73">
        <v>2.294602896985817</v>
      </c>
      <c r="O73">
        <v>32.739850232389259</v>
      </c>
      <c r="P73">
        <v>12.143424853228536</v>
      </c>
      <c r="Q73">
        <v>0.47695747406821465</v>
      </c>
      <c r="R73">
        <v>18.095069360361034</v>
      </c>
      <c r="S73">
        <v>50.448043818894035</v>
      </c>
      <c r="U73">
        <v>2.0166217133461197</v>
      </c>
      <c r="V73">
        <v>48.185890972403065</v>
      </c>
      <c r="W73">
        <v>25.246319871216897</v>
      </c>
      <c r="X73">
        <v>45.157196840493178</v>
      </c>
      <c r="Y73">
        <v>9.0351355423840936</v>
      </c>
      <c r="Z73">
        <v>32.117995761190798</v>
      </c>
      <c r="AA73">
        <v>6.6924281383898201</v>
      </c>
      <c r="AB73">
        <v>37.82832234671649</v>
      </c>
      <c r="AC73">
        <v>6.2396202763637309E-3</v>
      </c>
      <c r="AD73">
        <v>8.5448896819587699</v>
      </c>
      <c r="AE73">
        <v>13.54622446312395</v>
      </c>
      <c r="AF73">
        <v>13.935091627869927</v>
      </c>
      <c r="AG73">
        <v>23.453552713308774</v>
      </c>
      <c r="AH73">
        <v>7.3840661623413304</v>
      </c>
      <c r="AI73">
        <v>2.2350857115528644</v>
      </c>
      <c r="AK73">
        <v>60.870692604386342</v>
      </c>
    </row>
    <row r="74" spans="1:37" x14ac:dyDescent="0.2">
      <c r="A74">
        <v>73</v>
      </c>
      <c r="B74">
        <v>763</v>
      </c>
      <c r="C74">
        <v>200</v>
      </c>
      <c r="D74">
        <v>0.38671090093133698</v>
      </c>
      <c r="E74">
        <v>158.25762739673226</v>
      </c>
      <c r="F74">
        <v>62.581356199600428</v>
      </c>
      <c r="G74">
        <v>72.313611202041656</v>
      </c>
      <c r="H74">
        <v>67.725186499611524</v>
      </c>
      <c r="J74">
        <v>74.86271683023007</v>
      </c>
      <c r="L74">
        <v>7.4561659699050686</v>
      </c>
      <c r="M74">
        <v>14.236806489005065</v>
      </c>
      <c r="N74">
        <v>2.2900997375006362</v>
      </c>
      <c r="O74">
        <v>32.367839481268568</v>
      </c>
      <c r="P74">
        <v>12.048205450514383</v>
      </c>
      <c r="Q74">
        <v>0.42033559385057639</v>
      </c>
      <c r="R74">
        <v>17.90545820864827</v>
      </c>
      <c r="S74">
        <v>50.064619519045749</v>
      </c>
      <c r="U74">
        <v>1.948211441200755</v>
      </c>
      <c r="V74">
        <v>48.098297907306112</v>
      </c>
      <c r="W74">
        <v>25.066605926096205</v>
      </c>
      <c r="X74">
        <v>44.994707485922355</v>
      </c>
      <c r="Y74">
        <v>8.9534601046505156</v>
      </c>
      <c r="Z74">
        <v>31.936905607954408</v>
      </c>
      <c r="AA74">
        <v>6.6118142447486532</v>
      </c>
      <c r="AB74">
        <v>37.699809960352333</v>
      </c>
      <c r="AD74">
        <v>8.4437989176670971</v>
      </c>
      <c r="AE74">
        <v>13.463578537977771</v>
      </c>
      <c r="AF74">
        <v>13.873506264264865</v>
      </c>
      <c r="AG74">
        <v>23.303653202884657</v>
      </c>
      <c r="AH74">
        <v>7.2682958279675027</v>
      </c>
      <c r="AI74">
        <v>2.2303045954811194</v>
      </c>
      <c r="AK74">
        <v>60.858693232603464</v>
      </c>
    </row>
    <row r="75" spans="1:37" x14ac:dyDescent="0.2">
      <c r="A75">
        <v>74</v>
      </c>
      <c r="B75">
        <v>762</v>
      </c>
      <c r="C75">
        <v>200</v>
      </c>
      <c r="D75">
        <v>0.38605081389170998</v>
      </c>
      <c r="E75">
        <v>158.13428618632958</v>
      </c>
      <c r="F75">
        <v>62.197503564387709</v>
      </c>
      <c r="G75">
        <v>72.249926836393712</v>
      </c>
      <c r="H75">
        <v>67.658999511289821</v>
      </c>
      <c r="J75">
        <v>74.756908341655404</v>
      </c>
      <c r="L75">
        <v>7.3701656181908657</v>
      </c>
      <c r="M75">
        <v>14.161713684447186</v>
      </c>
      <c r="N75">
        <v>2.2920812095802736</v>
      </c>
      <c r="O75">
        <v>31.975722759172303</v>
      </c>
      <c r="P75">
        <v>11.944231982260076</v>
      </c>
      <c r="Q75">
        <v>0.34864698941018823</v>
      </c>
      <c r="R75">
        <v>17.682473810647164</v>
      </c>
      <c r="S75">
        <v>49.576137809043317</v>
      </c>
      <c r="U75">
        <v>1.8610925669913456</v>
      </c>
      <c r="V75">
        <v>47.976619268688637</v>
      </c>
      <c r="W75">
        <v>24.847039996759559</v>
      </c>
      <c r="X75">
        <v>44.769004198746735</v>
      </c>
      <c r="Y75">
        <v>8.8608157290327245</v>
      </c>
      <c r="Z75">
        <v>31.726548762159481</v>
      </c>
      <c r="AA75">
        <v>6.523278635937757</v>
      </c>
      <c r="AB75">
        <v>37.534063316521078</v>
      </c>
      <c r="AD75">
        <v>8.3237016707681377</v>
      </c>
      <c r="AE75">
        <v>13.369557542064815</v>
      </c>
      <c r="AF75">
        <v>13.797290864943694</v>
      </c>
      <c r="AG75">
        <v>23.123006546903465</v>
      </c>
      <c r="AH75">
        <v>7.1283872810719275</v>
      </c>
      <c r="AI75">
        <v>2.232007292934902</v>
      </c>
      <c r="AK75">
        <v>60.835600034013495</v>
      </c>
    </row>
    <row r="76" spans="1:37" x14ac:dyDescent="0.2">
      <c r="A76">
        <v>75</v>
      </c>
      <c r="B76">
        <v>761</v>
      </c>
      <c r="C76">
        <v>200</v>
      </c>
      <c r="D76">
        <v>0.38538945027317301</v>
      </c>
      <c r="E76">
        <v>158.01108631965556</v>
      </c>
      <c r="F76">
        <v>61.814290380436148</v>
      </c>
      <c r="G76">
        <v>72.186319189364724</v>
      </c>
      <c r="H76">
        <v>67.592902155526161</v>
      </c>
      <c r="J76">
        <v>74.651670050865135</v>
      </c>
      <c r="L76">
        <v>7.2843179030493124</v>
      </c>
      <c r="M76">
        <v>14.08675587212884</v>
      </c>
      <c r="N76">
        <v>2.2940625526997902</v>
      </c>
      <c r="O76">
        <v>31.58417601409872</v>
      </c>
      <c r="P76">
        <v>11.840419426201223</v>
      </c>
      <c r="Q76">
        <v>0.27708797599193635</v>
      </c>
      <c r="R76">
        <v>17.45982240485581</v>
      </c>
      <c r="S76">
        <v>49.088507097346593</v>
      </c>
      <c r="U76">
        <v>1.7740266823799564</v>
      </c>
      <c r="V76">
        <v>47.855113817690558</v>
      </c>
      <c r="W76">
        <v>24.627735998664576</v>
      </c>
      <c r="X76">
        <v>44.543692260121645</v>
      </c>
      <c r="Y76">
        <v>8.7683139303031812</v>
      </c>
      <c r="Z76">
        <v>31.516469073516792</v>
      </c>
      <c r="AA76">
        <v>6.434899121970389</v>
      </c>
      <c r="AB76">
        <v>37.368574226404611</v>
      </c>
      <c r="AD76">
        <v>8.2036979020469758</v>
      </c>
      <c r="AE76">
        <v>13.275656724027945</v>
      </c>
      <c r="AF76">
        <v>13.721210610329805</v>
      </c>
      <c r="AG76">
        <v>22.942619801824275</v>
      </c>
      <c r="AH76">
        <v>6.9886825104039865</v>
      </c>
      <c r="AI76">
        <v>2.2337090415530545</v>
      </c>
      <c r="AK76">
        <v>60.812804265340894</v>
      </c>
    </row>
    <row r="77" spans="1:37" x14ac:dyDescent="0.2">
      <c r="A77">
        <v>76</v>
      </c>
      <c r="B77">
        <v>760</v>
      </c>
      <c r="C77">
        <v>200</v>
      </c>
      <c r="D77">
        <v>0.38472680636887402</v>
      </c>
      <c r="E77">
        <v>157.88802740369192</v>
      </c>
      <c r="F77">
        <v>61.431715118432102</v>
      </c>
      <c r="G77">
        <v>72.12278811657518</v>
      </c>
      <c r="H77">
        <v>67.52689430853907</v>
      </c>
      <c r="J77">
        <v>74.547001500983242</v>
      </c>
      <c r="L77">
        <v>7.1986224818180595</v>
      </c>
      <c r="M77">
        <v>14.011932637558161</v>
      </c>
      <c r="N77">
        <v>2.2960437674590746</v>
      </c>
      <c r="O77">
        <v>31.193198105447788</v>
      </c>
      <c r="P77">
        <v>11.736767516526251</v>
      </c>
      <c r="Q77">
        <v>0.20555140167933544</v>
      </c>
      <c r="R77">
        <v>17.237502993867761</v>
      </c>
      <c r="S77">
        <v>48.601724915902359</v>
      </c>
      <c r="U77">
        <v>1.6870134766495037</v>
      </c>
      <c r="V77">
        <v>47.733780916002871</v>
      </c>
      <c r="W77">
        <v>24.408693151827727</v>
      </c>
      <c r="X77">
        <v>44.318770295416833</v>
      </c>
      <c r="Y77">
        <v>8.6759543659379439</v>
      </c>
      <c r="Z77">
        <v>31.306665796800402</v>
      </c>
      <c r="AA77">
        <v>6.3466753666016738</v>
      </c>
      <c r="AB77">
        <v>37.203341937171601</v>
      </c>
      <c r="AD77">
        <v>8.0837877300975229</v>
      </c>
      <c r="AE77">
        <v>13.181875741837203</v>
      </c>
      <c r="AF77">
        <v>13.645265092066886</v>
      </c>
      <c r="AG77">
        <v>22.762492221235362</v>
      </c>
      <c r="AH77">
        <v>6.8491812175492299</v>
      </c>
      <c r="AI77">
        <v>2.2354098400975002</v>
      </c>
      <c r="AK77">
        <v>60.790305823237738</v>
      </c>
    </row>
    <row r="78" spans="1:37" x14ac:dyDescent="0.2">
      <c r="A78">
        <v>77</v>
      </c>
      <c r="B78">
        <v>759</v>
      </c>
      <c r="C78">
        <v>200</v>
      </c>
      <c r="D78">
        <v>0.38406287845759102</v>
      </c>
      <c r="E78">
        <v>157.76510904925738</v>
      </c>
      <c r="F78">
        <v>61.049776266726354</v>
      </c>
      <c r="G78">
        <v>72.059333475672602</v>
      </c>
      <c r="H78">
        <v>67.460975848613259</v>
      </c>
      <c r="J78">
        <v>74.442902242653005</v>
      </c>
      <c r="L78">
        <v>7.1130790213304351</v>
      </c>
      <c r="M78">
        <v>13.937243570065432</v>
      </c>
      <c r="N78">
        <v>2.2980248543622048</v>
      </c>
      <c r="O78">
        <v>30.802787906166024</v>
      </c>
      <c r="P78">
        <v>11.633275991447839</v>
      </c>
      <c r="Q78">
        <v>0.13409546974072964</v>
      </c>
      <c r="R78">
        <v>17.015514590463098</v>
      </c>
      <c r="S78">
        <v>48.115788819086497</v>
      </c>
      <c r="U78">
        <v>1.6000526429865174</v>
      </c>
      <c r="V78">
        <v>47.612619925885234</v>
      </c>
      <c r="W78">
        <v>24.18991068421834</v>
      </c>
      <c r="X78">
        <v>44.094236940568308</v>
      </c>
      <c r="Y78">
        <v>8.5837366977919647</v>
      </c>
      <c r="Z78">
        <v>31.097138195626982</v>
      </c>
      <c r="AA78">
        <v>6.258607037836919</v>
      </c>
      <c r="AB78">
        <v>37.038365703827772</v>
      </c>
      <c r="AD78">
        <v>7.9639712735745336</v>
      </c>
      <c r="AE78">
        <v>13.088214257449849</v>
      </c>
      <c r="AF78">
        <v>13.569453905538351</v>
      </c>
      <c r="AG78">
        <v>22.582623066486157</v>
      </c>
      <c r="AH78">
        <v>6.7098831299903088</v>
      </c>
      <c r="AI78">
        <v>2.2371096872357494</v>
      </c>
      <c r="AK78">
        <v>60.768104607971487</v>
      </c>
    </row>
    <row r="79" spans="1:37" x14ac:dyDescent="0.2">
      <c r="A79">
        <v>78</v>
      </c>
      <c r="B79">
        <v>758</v>
      </c>
      <c r="C79">
        <v>200</v>
      </c>
      <c r="D79">
        <v>0.383397662803666</v>
      </c>
      <c r="E79">
        <v>157.6423308701782</v>
      </c>
      <c r="F79">
        <v>60.668472328677929</v>
      </c>
      <c r="G79">
        <v>71.99595512598097</v>
      </c>
      <c r="H79">
        <v>67.395146655750423</v>
      </c>
      <c r="J79">
        <v>74.339371832543847</v>
      </c>
      <c r="L79">
        <v>7.0276252461623185</v>
      </c>
      <c r="M79">
        <v>13.862688261912275</v>
      </c>
      <c r="N79">
        <v>2.3000058140243196</v>
      </c>
      <c r="O79">
        <v>30.412944301624297</v>
      </c>
      <c r="P79">
        <v>11.529944592697197</v>
      </c>
      <c r="Q79">
        <v>6.2719651890806694E-2</v>
      </c>
      <c r="R79">
        <v>16.793856215989948</v>
      </c>
      <c r="S79">
        <v>47.630696379210271</v>
      </c>
      <c r="U79">
        <v>1.5131438777447632</v>
      </c>
      <c r="V79">
        <v>47.491630208426137</v>
      </c>
      <c r="W79">
        <v>23.971387830301769</v>
      </c>
      <c r="X79">
        <v>43.870090839971255</v>
      </c>
      <c r="Y79">
        <v>8.4916605915397003</v>
      </c>
      <c r="Z79">
        <v>30.887885541423461</v>
      </c>
      <c r="AA79">
        <v>6.1706938074948852</v>
      </c>
      <c r="AB79">
        <v>36.873644787834799</v>
      </c>
      <c r="AD79">
        <v>7.8442486506170495</v>
      </c>
      <c r="AE79">
        <v>12.994671936466364</v>
      </c>
      <c r="AF79">
        <v>13.493776649179097</v>
      </c>
      <c r="AG79">
        <v>22.403011605509157</v>
      </c>
      <c r="AH79">
        <v>6.5707879626698302</v>
      </c>
      <c r="AI79">
        <v>2.2388085817452077</v>
      </c>
      <c r="AK79">
        <v>60.746200522714396</v>
      </c>
    </row>
    <row r="80" spans="1:37" x14ac:dyDescent="0.2">
      <c r="A80">
        <v>79</v>
      </c>
      <c r="B80">
        <v>757</v>
      </c>
      <c r="C80">
        <v>200</v>
      </c>
      <c r="D80">
        <v>0.38273115565694399</v>
      </c>
      <c r="E80">
        <v>157.50646011141424</v>
      </c>
      <c r="F80">
        <v>60.200297645937574</v>
      </c>
      <c r="G80">
        <v>71.917582414921114</v>
      </c>
      <c r="H80">
        <v>67.314336098088617</v>
      </c>
      <c r="J80">
        <v>74.222114758508908</v>
      </c>
      <c r="L80">
        <v>6.9170470309376073</v>
      </c>
      <c r="M80">
        <v>13.800581984456233</v>
      </c>
      <c r="N80">
        <v>2.3019856386566042</v>
      </c>
      <c r="O80">
        <v>29.924286759825339</v>
      </c>
      <c r="P80">
        <v>11.396631029865603</v>
      </c>
      <c r="R80">
        <v>16.555253213134719</v>
      </c>
      <c r="S80">
        <v>47.175688345944756</v>
      </c>
      <c r="U80">
        <v>1.4341424248363288</v>
      </c>
      <c r="V80">
        <v>47.396070236257465</v>
      </c>
      <c r="W80">
        <v>23.751857857443625</v>
      </c>
      <c r="X80">
        <v>43.670729702986556</v>
      </c>
      <c r="Y80">
        <v>8.3701778193113441</v>
      </c>
      <c r="Z80">
        <v>30.632439392770504</v>
      </c>
      <c r="AA80">
        <v>6.056392515189815</v>
      </c>
      <c r="AB80">
        <v>36.726496323102225</v>
      </c>
      <c r="AD80">
        <v>7.6960588011858881</v>
      </c>
      <c r="AE80">
        <v>12.885422572923948</v>
      </c>
      <c r="AF80">
        <v>13.430547592132511</v>
      </c>
      <c r="AG80">
        <v>22.240973970302218</v>
      </c>
      <c r="AH80">
        <v>6.389189467967932</v>
      </c>
      <c r="AI80">
        <v>2.2405055139987473</v>
      </c>
      <c r="AK80">
        <v>60.70401584609516</v>
      </c>
    </row>
    <row r="81" spans="1:37" x14ac:dyDescent="0.2">
      <c r="A81">
        <v>80</v>
      </c>
      <c r="B81">
        <v>756</v>
      </c>
      <c r="C81">
        <v>200</v>
      </c>
      <c r="D81">
        <v>0.38206335325268598</v>
      </c>
      <c r="E81">
        <v>157.28236289062366</v>
      </c>
      <c r="F81">
        <v>59.142506105201463</v>
      </c>
      <c r="G81">
        <v>71.737258879550026</v>
      </c>
      <c r="H81">
        <v>67.131587733443112</v>
      </c>
      <c r="J81">
        <v>73.998629195426489</v>
      </c>
      <c r="L81">
        <v>6.6338031248716547</v>
      </c>
      <c r="M81">
        <v>13.82023925176037</v>
      </c>
      <c r="N81">
        <v>2.3039583601774107</v>
      </c>
      <c r="O81">
        <v>28.763900930316424</v>
      </c>
      <c r="P81">
        <v>11.059416431580587</v>
      </c>
      <c r="R81">
        <v>16.191212284921747</v>
      </c>
      <c r="S81">
        <v>46.883125480894286</v>
      </c>
      <c r="U81">
        <v>1.40874207413593</v>
      </c>
      <c r="V81">
        <v>47.457971751426967</v>
      </c>
      <c r="W81">
        <v>23.525795704761695</v>
      </c>
      <c r="X81">
        <v>43.63760025296822</v>
      </c>
      <c r="Y81">
        <v>8.0487721174525415</v>
      </c>
      <c r="Z81">
        <v>30.062199339145199</v>
      </c>
      <c r="AA81">
        <v>5.762214763984157</v>
      </c>
      <c r="AB81">
        <v>36.678971906677425</v>
      </c>
      <c r="AD81">
        <v>7.3539546601962984</v>
      </c>
      <c r="AE81">
        <v>12.668869112076479</v>
      </c>
      <c r="AF81">
        <v>13.449075285966433</v>
      </c>
      <c r="AG81">
        <v>22.178555795723874</v>
      </c>
      <c r="AH81">
        <v>5.9181060620371611</v>
      </c>
      <c r="AI81">
        <v>2.2421945140765205</v>
      </c>
      <c r="AK81">
        <v>60.522001864068322</v>
      </c>
    </row>
    <row r="82" spans="1:37" x14ac:dyDescent="0.2">
      <c r="A82">
        <v>81</v>
      </c>
      <c r="B82">
        <v>755</v>
      </c>
      <c r="C82">
        <v>200</v>
      </c>
      <c r="D82">
        <v>0.38139425181150599</v>
      </c>
      <c r="E82">
        <v>157.0522621884833</v>
      </c>
      <c r="F82">
        <v>58.032085244385669</v>
      </c>
      <c r="G82">
        <v>71.547347263429415</v>
      </c>
      <c r="H82">
        <v>66.939264326172989</v>
      </c>
      <c r="J82">
        <v>73.743400074526818</v>
      </c>
      <c r="L82">
        <v>6.331529606333457</v>
      </c>
      <c r="M82">
        <v>13.843475890268408</v>
      </c>
      <c r="N82">
        <v>2.3059300256819104</v>
      </c>
      <c r="O82">
        <v>27.540792635729098</v>
      </c>
      <c r="P82">
        <v>10.703032354720341</v>
      </c>
      <c r="R82">
        <v>15.797284357894656</v>
      </c>
      <c r="S82">
        <v>46.52817851673101</v>
      </c>
      <c r="U82">
        <v>1.3886040565781019</v>
      </c>
      <c r="V82">
        <v>47.505908104015823</v>
      </c>
      <c r="W82">
        <v>23.302703451282113</v>
      </c>
      <c r="X82">
        <v>43.620108301738391</v>
      </c>
      <c r="Y82">
        <v>7.7084448198289195</v>
      </c>
      <c r="Z82">
        <v>29.459320553856525</v>
      </c>
      <c r="AA82">
        <v>5.4500571455988105</v>
      </c>
      <c r="AB82">
        <v>36.602077634397268</v>
      </c>
      <c r="AD82">
        <v>6.9912700192615089</v>
      </c>
      <c r="AE82">
        <v>12.440452774382901</v>
      </c>
      <c r="AF82">
        <v>13.47118160981654</v>
      </c>
      <c r="AG82">
        <v>22.086769230621702</v>
      </c>
      <c r="AH82">
        <v>5.4184402311772768</v>
      </c>
      <c r="AI82">
        <v>2.2438816272346878</v>
      </c>
      <c r="AK82">
        <v>60.324624953748767</v>
      </c>
    </row>
    <row r="83" spans="1:37" x14ac:dyDescent="0.2">
      <c r="A83">
        <v>82</v>
      </c>
      <c r="B83">
        <v>754</v>
      </c>
      <c r="C83">
        <v>200</v>
      </c>
      <c r="D83">
        <v>0.38072384753930699</v>
      </c>
      <c r="E83">
        <v>156.81196032281247</v>
      </c>
      <c r="F83">
        <v>56.835526261367512</v>
      </c>
      <c r="G83">
        <v>71.342553483325403</v>
      </c>
      <c r="H83">
        <v>66.732071813884076</v>
      </c>
      <c r="J83">
        <v>73.437452037509388</v>
      </c>
      <c r="L83">
        <v>6.0001100005151384</v>
      </c>
      <c r="M83">
        <v>13.870894883927258</v>
      </c>
      <c r="N83">
        <v>2.30790025919553</v>
      </c>
      <c r="O83">
        <v>26.218821501935171</v>
      </c>
      <c r="P83">
        <v>10.316890279565197</v>
      </c>
      <c r="R83">
        <v>15.357978478310779</v>
      </c>
      <c r="S83">
        <v>46.076257027351481</v>
      </c>
      <c r="U83">
        <v>1.3751146743217173</v>
      </c>
      <c r="V83">
        <v>47.53323266669954</v>
      </c>
      <c r="W83">
        <v>23.083013139468267</v>
      </c>
      <c r="X83">
        <v>43.622331482811617</v>
      </c>
      <c r="Y83">
        <v>7.3386310880734946</v>
      </c>
      <c r="Z83">
        <v>28.801249842660109</v>
      </c>
      <c r="AA83">
        <v>5.1099398006748231</v>
      </c>
      <c r="AB83">
        <v>36.478665199332248</v>
      </c>
      <c r="AD83">
        <v>6.5946545049161767</v>
      </c>
      <c r="AE83">
        <v>12.190943092407899</v>
      </c>
      <c r="AF83">
        <v>13.497469177267435</v>
      </c>
      <c r="AG83">
        <v>21.948465598021702</v>
      </c>
      <c r="AH83">
        <v>4.8741310180373381</v>
      </c>
      <c r="AI83">
        <v>2.2455664756607088</v>
      </c>
      <c r="AK83">
        <v>60.101874345132259</v>
      </c>
    </row>
    <row r="84" spans="1:37" x14ac:dyDescent="0.2">
      <c r="A84">
        <v>83</v>
      </c>
      <c r="B84">
        <v>753</v>
      </c>
      <c r="C84">
        <v>200</v>
      </c>
      <c r="D84">
        <v>0.380052136627202</v>
      </c>
      <c r="E84">
        <v>156.05923353366836</v>
      </c>
      <c r="F84">
        <v>51.776148127240972</v>
      </c>
      <c r="G84">
        <v>70.585378594194921</v>
      </c>
      <c r="H84">
        <v>65.972511272411708</v>
      </c>
      <c r="J84">
        <v>71.275415844066188</v>
      </c>
      <c r="L84">
        <v>4.5953904285885727</v>
      </c>
      <c r="M84">
        <v>13.845211419080218</v>
      </c>
      <c r="N84">
        <v>2.3098437688006559</v>
      </c>
      <c r="O84">
        <v>21.010123072682198</v>
      </c>
      <c r="P84">
        <v>8.8259670468999651</v>
      </c>
      <c r="R84">
        <v>13.29126665922921</v>
      </c>
      <c r="S84">
        <v>42.953930149431834</v>
      </c>
      <c r="U84">
        <v>1.3754758954810635</v>
      </c>
      <c r="V84">
        <v>47.241306973998093</v>
      </c>
      <c r="W84">
        <v>22.905000968271576</v>
      </c>
      <c r="X84">
        <v>43.661996309142566</v>
      </c>
      <c r="Y84">
        <v>5.8551128985242364</v>
      </c>
      <c r="Z84">
        <v>25.413662622112692</v>
      </c>
      <c r="AA84">
        <v>3.6897769191498084</v>
      </c>
      <c r="AB84">
        <v>34.969270583054353</v>
      </c>
      <c r="AD84">
        <v>4.6219543495686493</v>
      </c>
      <c r="AE84">
        <v>10.760653944652537</v>
      </c>
      <c r="AF84">
        <v>13.470627888366502</v>
      </c>
      <c r="AG84">
        <v>20.424155593530344</v>
      </c>
      <c r="AH84">
        <v>2.608654187281136</v>
      </c>
      <c r="AI84">
        <v>2.2472237655970275</v>
      </c>
      <c r="AK84">
        <v>58.710105004456011</v>
      </c>
    </row>
    <row r="85" spans="1:37" x14ac:dyDescent="0.2">
      <c r="A85">
        <v>84</v>
      </c>
      <c r="B85">
        <v>752</v>
      </c>
      <c r="C85">
        <v>200</v>
      </c>
      <c r="D85">
        <v>0.37937911525142798</v>
      </c>
      <c r="E85">
        <v>155.59192935071366</v>
      </c>
      <c r="F85">
        <v>47.449536552297332</v>
      </c>
      <c r="G85">
        <v>70.067711660328371</v>
      </c>
      <c r="H85">
        <v>65.452471786966129</v>
      </c>
      <c r="J85">
        <v>65.176339412821065</v>
      </c>
      <c r="L85">
        <v>2.6800670486749221</v>
      </c>
      <c r="M85">
        <v>13.746273435890508</v>
      </c>
      <c r="N85">
        <v>2.3118039160931207</v>
      </c>
      <c r="O85">
        <v>12.357930558424872</v>
      </c>
      <c r="P85">
        <v>7.8140841697464261</v>
      </c>
      <c r="R85">
        <v>10.797626244865349</v>
      </c>
      <c r="S85">
        <v>37.984206300210893</v>
      </c>
      <c r="U85">
        <v>1.3853501780846766</v>
      </c>
      <c r="V85">
        <v>46.863374161532462</v>
      </c>
      <c r="W85">
        <v>22.705608392198688</v>
      </c>
      <c r="X85">
        <v>43.727420415335502</v>
      </c>
      <c r="Y85">
        <v>4.2180876900811475</v>
      </c>
      <c r="Z85">
        <v>21.31517014129744</v>
      </c>
      <c r="AA85">
        <v>1.5911226390876401</v>
      </c>
      <c r="AB85">
        <v>32.805344286808349</v>
      </c>
      <c r="AD85">
        <v>2.2983783248488212</v>
      </c>
      <c r="AE85">
        <v>8.7737220344783378</v>
      </c>
      <c r="AF85">
        <v>13.37054905051148</v>
      </c>
      <c r="AG85">
        <v>18.245333085958219</v>
      </c>
      <c r="AI85">
        <v>2.2488968568006955</v>
      </c>
      <c r="AK85">
        <v>54.726229887714737</v>
      </c>
    </row>
    <row r="86" spans="1:37" x14ac:dyDescent="0.2">
      <c r="A86">
        <v>85</v>
      </c>
      <c r="B86">
        <v>751</v>
      </c>
      <c r="C86">
        <v>200</v>
      </c>
      <c r="D86">
        <v>0.378704779573308</v>
      </c>
      <c r="E86">
        <v>155.89950159259806</v>
      </c>
      <c r="F86">
        <v>46.91799320622804</v>
      </c>
      <c r="G86">
        <v>70.245587588487467</v>
      </c>
      <c r="H86">
        <v>65.627988285269865</v>
      </c>
      <c r="J86">
        <v>55.40119257425799</v>
      </c>
      <c r="L86">
        <v>1.5774145237104749</v>
      </c>
      <c r="M86">
        <v>13.476781523871299</v>
      </c>
      <c r="N86">
        <v>2.3138081471616543</v>
      </c>
      <c r="O86">
        <v>6.3793248568567673</v>
      </c>
      <c r="P86">
        <v>8.1933389306304072</v>
      </c>
      <c r="R86">
        <v>9.5961588642891886</v>
      </c>
      <c r="S86">
        <v>34.717767911626403</v>
      </c>
      <c r="U86">
        <v>1.3893121420424925</v>
      </c>
      <c r="V86">
        <v>46.929821833478535</v>
      </c>
      <c r="W86">
        <v>22.339685037487651</v>
      </c>
      <c r="X86">
        <v>43.77588335879831</v>
      </c>
      <c r="Y86">
        <v>3.4546114626958855</v>
      </c>
      <c r="Z86">
        <v>18.260902753188173</v>
      </c>
      <c r="AB86">
        <v>31.022145498830902</v>
      </c>
      <c r="AD86">
        <v>0.6950492978354138</v>
      </c>
      <c r="AE86">
        <v>6.9453817501615394</v>
      </c>
      <c r="AF86">
        <v>13.099960704952162</v>
      </c>
      <c r="AG86">
        <v>16.447284715618778</v>
      </c>
      <c r="AI86">
        <v>2.2506131935208478</v>
      </c>
      <c r="AK86">
        <v>48.217544863127316</v>
      </c>
    </row>
    <row r="87" spans="1:37" x14ac:dyDescent="0.2">
      <c r="A87">
        <v>86</v>
      </c>
      <c r="B87">
        <v>750</v>
      </c>
      <c r="C87">
        <v>200</v>
      </c>
      <c r="D87">
        <v>0.37802912573913899</v>
      </c>
      <c r="E87">
        <v>156.12644934712725</v>
      </c>
      <c r="F87">
        <v>47.20301291495506</v>
      </c>
      <c r="G87">
        <v>70.273897118215373</v>
      </c>
      <c r="H87">
        <v>65.65395152786833</v>
      </c>
      <c r="J87">
        <v>47.905260530699977</v>
      </c>
      <c r="L87">
        <v>1.596714779472739</v>
      </c>
      <c r="M87">
        <v>13.038423097734167</v>
      </c>
      <c r="N87">
        <v>2.3158035327016</v>
      </c>
      <c r="O87">
        <v>6.2843755076392824</v>
      </c>
      <c r="P87">
        <v>8.2734599023117319</v>
      </c>
      <c r="R87">
        <v>9.2808024179142947</v>
      </c>
      <c r="S87">
        <v>34.935930238464216</v>
      </c>
      <c r="U87">
        <v>1.3778702473078743</v>
      </c>
      <c r="V87">
        <v>47.452939008362016</v>
      </c>
      <c r="W87">
        <v>21.815240396043226</v>
      </c>
      <c r="X87">
        <v>43.780305862860182</v>
      </c>
      <c r="Y87">
        <v>3.229007708706455</v>
      </c>
      <c r="Z87">
        <v>17.596022720089678</v>
      </c>
      <c r="AB87">
        <v>30.954994116782753</v>
      </c>
      <c r="AE87">
        <v>6.5435633502275579</v>
      </c>
      <c r="AF87">
        <v>12.66049734275593</v>
      </c>
      <c r="AG87">
        <v>16.365277456875962</v>
      </c>
      <c r="AI87">
        <v>2.2523198446127677</v>
      </c>
      <c r="AK87">
        <v>43.131794558796258</v>
      </c>
    </row>
    <row r="88" spans="1:37" x14ac:dyDescent="0.2">
      <c r="A88">
        <v>87</v>
      </c>
      <c r="B88">
        <v>749</v>
      </c>
      <c r="C88">
        <v>200</v>
      </c>
      <c r="D88">
        <v>0.37735214988015597</v>
      </c>
      <c r="E88">
        <v>156.28557534908529</v>
      </c>
      <c r="F88">
        <v>47.699170629857257</v>
      </c>
      <c r="G88">
        <v>70.250224588783169</v>
      </c>
      <c r="H88">
        <v>65.627945875074417</v>
      </c>
      <c r="J88">
        <v>43.584763855867585</v>
      </c>
      <c r="L88">
        <v>1.6099347220418641</v>
      </c>
      <c r="M88">
        <v>12.617340258994195</v>
      </c>
      <c r="N88">
        <v>2.3177952821041963</v>
      </c>
      <c r="O88">
        <v>6.2655865690553991</v>
      </c>
      <c r="P88">
        <v>8.2496209957642215</v>
      </c>
      <c r="R88">
        <v>8.9352994893924365</v>
      </c>
      <c r="S88">
        <v>35.27332848241285</v>
      </c>
      <c r="U88">
        <v>1.3592242555025542</v>
      </c>
      <c r="V88">
        <v>47.983002851846024</v>
      </c>
      <c r="W88">
        <v>21.312777527345755</v>
      </c>
      <c r="X88">
        <v>43.764241345358471</v>
      </c>
      <c r="Y88">
        <v>2.9914877893345024</v>
      </c>
      <c r="Z88">
        <v>17.783622283067345</v>
      </c>
      <c r="AB88">
        <v>31.427705465299621</v>
      </c>
      <c r="AE88">
        <v>6.6444728480151518</v>
      </c>
      <c r="AF88">
        <v>12.238306280505517</v>
      </c>
      <c r="AG88">
        <v>16.823131849783778</v>
      </c>
      <c r="AI88">
        <v>2.2540220176284476</v>
      </c>
      <c r="AK88">
        <v>40.150587913202287</v>
      </c>
    </row>
    <row r="89" spans="1:37" x14ac:dyDescent="0.2">
      <c r="A89">
        <v>88</v>
      </c>
      <c r="B89">
        <v>765</v>
      </c>
      <c r="C89">
        <v>175</v>
      </c>
      <c r="D89">
        <v>0.41451668833983701</v>
      </c>
      <c r="E89">
        <v>143.82457224861815</v>
      </c>
      <c r="F89">
        <v>62.568562868422056</v>
      </c>
      <c r="G89">
        <v>72.415974738558646</v>
      </c>
      <c r="H89">
        <v>67.831540103873607</v>
      </c>
      <c r="J89">
        <v>74.537439234045038</v>
      </c>
      <c r="L89">
        <v>7.4639613820033777</v>
      </c>
      <c r="M89">
        <v>14.292809878066732</v>
      </c>
      <c r="N89">
        <v>2.1971711002497627</v>
      </c>
      <c r="O89">
        <v>33.256418225979473</v>
      </c>
      <c r="P89">
        <v>11.976089404729894</v>
      </c>
      <c r="Q89">
        <v>5.8665516183688225E-2</v>
      </c>
      <c r="R89">
        <v>18.224083930165737</v>
      </c>
      <c r="S89">
        <v>50.332886710861523</v>
      </c>
      <c r="U89">
        <v>2.0400660532832986</v>
      </c>
      <c r="V89">
        <v>47.657635134553701</v>
      </c>
      <c r="W89">
        <v>26.103949521076977</v>
      </c>
      <c r="X89">
        <v>43.638205880713592</v>
      </c>
      <c r="Y89">
        <v>8.8775568266010296</v>
      </c>
      <c r="Z89">
        <v>32.251452873856422</v>
      </c>
      <c r="AA89">
        <v>6.6544098926917652</v>
      </c>
      <c r="AB89">
        <v>37.964916718965704</v>
      </c>
      <c r="AC89">
        <v>2.3793245678696119E-3</v>
      </c>
      <c r="AD89">
        <v>8.5997245114888887</v>
      </c>
      <c r="AE89">
        <v>13.81562962464942</v>
      </c>
      <c r="AF89">
        <v>13.919924750520794</v>
      </c>
      <c r="AG89">
        <v>23.617312932652009</v>
      </c>
      <c r="AH89">
        <v>6.9717339747408777</v>
      </c>
      <c r="AI89">
        <v>2.1348928024250942</v>
      </c>
      <c r="AK89">
        <v>60.44807743730032</v>
      </c>
    </row>
    <row r="90" spans="1:37" x14ac:dyDescent="0.2">
      <c r="A90">
        <v>89</v>
      </c>
      <c r="B90">
        <v>764</v>
      </c>
      <c r="C90">
        <v>175</v>
      </c>
      <c r="D90">
        <v>0.41388468398978101</v>
      </c>
      <c r="E90">
        <v>143.69959341263774</v>
      </c>
      <c r="F90">
        <v>62.149517416326958</v>
      </c>
      <c r="G90">
        <v>72.345325443847713</v>
      </c>
      <c r="H90">
        <v>67.758352235767674</v>
      </c>
      <c r="J90">
        <v>74.434333951135486</v>
      </c>
      <c r="L90">
        <v>7.3644907697438136</v>
      </c>
      <c r="M90">
        <v>14.235885719606037</v>
      </c>
      <c r="N90">
        <v>2.1965444882565754</v>
      </c>
      <c r="O90">
        <v>32.804942250614822</v>
      </c>
      <c r="P90">
        <v>11.855553232481483</v>
      </c>
      <c r="R90">
        <v>18.004939279861624</v>
      </c>
      <c r="S90">
        <v>49.911393022444983</v>
      </c>
      <c r="U90">
        <v>1.9666678824474417</v>
      </c>
      <c r="V90">
        <v>47.569124771878109</v>
      </c>
      <c r="W90">
        <v>25.900391028558772</v>
      </c>
      <c r="X90">
        <v>43.459285490662154</v>
      </c>
      <c r="Y90">
        <v>8.7696530489064646</v>
      </c>
      <c r="Z90">
        <v>32.022811135086187</v>
      </c>
      <c r="AA90">
        <v>6.5516237184509807</v>
      </c>
      <c r="AB90">
        <v>37.827711295355186</v>
      </c>
      <c r="AD90">
        <v>8.4691951769471299</v>
      </c>
      <c r="AE90">
        <v>13.715902274493597</v>
      </c>
      <c r="AF90">
        <v>13.859265811510328</v>
      </c>
      <c r="AG90">
        <v>23.46262734092079</v>
      </c>
      <c r="AH90">
        <v>6.8133035988983863</v>
      </c>
      <c r="AI90">
        <v>2.1339901777989105</v>
      </c>
      <c r="AK90">
        <v>60.415993417359978</v>
      </c>
    </row>
    <row r="91" spans="1:37" x14ac:dyDescent="0.2">
      <c r="A91">
        <v>90</v>
      </c>
      <c r="B91">
        <v>763</v>
      </c>
      <c r="C91">
        <v>175</v>
      </c>
      <c r="D91">
        <v>0.41325145973073701</v>
      </c>
      <c r="E91">
        <v>143.48143173967549</v>
      </c>
      <c r="F91">
        <v>61.123990537827062</v>
      </c>
      <c r="G91">
        <v>72.170264895773414</v>
      </c>
      <c r="H91">
        <v>67.580765989529368</v>
      </c>
      <c r="J91">
        <v>74.218823402296351</v>
      </c>
      <c r="L91">
        <v>7.0902386935383515</v>
      </c>
      <c r="M91">
        <v>14.25337131029166</v>
      </c>
      <c r="N91">
        <v>2.1985210098975863</v>
      </c>
      <c r="O91">
        <v>31.676231795670763</v>
      </c>
      <c r="P91">
        <v>11.528805243362472</v>
      </c>
      <c r="R91">
        <v>17.649642481381118</v>
      </c>
      <c r="S91">
        <v>49.619824450869054</v>
      </c>
      <c r="U91">
        <v>1.9405583996232252</v>
      </c>
      <c r="V91">
        <v>47.627071487989255</v>
      </c>
      <c r="W91">
        <v>25.672801182281571</v>
      </c>
      <c r="X91">
        <v>43.425139187713832</v>
      </c>
      <c r="Y91">
        <v>8.4584954007795616</v>
      </c>
      <c r="Z91">
        <v>31.468229446624388</v>
      </c>
      <c r="AA91">
        <v>6.2668680819038567</v>
      </c>
      <c r="AB91">
        <v>37.777743242213113</v>
      </c>
      <c r="AD91">
        <v>8.1381739429685229</v>
      </c>
      <c r="AE91">
        <v>13.504080029253155</v>
      </c>
      <c r="AF91">
        <v>13.875620031709724</v>
      </c>
      <c r="AG91">
        <v>23.397784727852613</v>
      </c>
      <c r="AH91">
        <v>6.3580757901101919</v>
      </c>
      <c r="AI91">
        <v>2.1356898706042036</v>
      </c>
      <c r="AK91">
        <v>60.242493701715119</v>
      </c>
    </row>
    <row r="92" spans="1:37" x14ac:dyDescent="0.2">
      <c r="A92">
        <v>91</v>
      </c>
      <c r="B92">
        <v>762</v>
      </c>
      <c r="C92">
        <v>175</v>
      </c>
      <c r="D92">
        <v>0.41261701202724399</v>
      </c>
      <c r="E92">
        <v>143.25934558883591</v>
      </c>
      <c r="F92">
        <v>60.061744479376287</v>
      </c>
      <c r="G92">
        <v>71.988258929657206</v>
      </c>
      <c r="H92">
        <v>67.396247220998561</v>
      </c>
      <c r="J92">
        <v>73.979784658728505</v>
      </c>
      <c r="L92">
        <v>6.8020383790355012</v>
      </c>
      <c r="M92">
        <v>14.273733986524947</v>
      </c>
      <c r="N92">
        <v>2.2004966790707559</v>
      </c>
      <c r="O92">
        <v>30.502409188390907</v>
      </c>
      <c r="P92">
        <v>11.188173144144059</v>
      </c>
      <c r="R92">
        <v>17.271772319783082</v>
      </c>
      <c r="S92">
        <v>49.279314471562358</v>
      </c>
      <c r="U92">
        <v>1.918800165689942</v>
      </c>
      <c r="V92">
        <v>47.673424688078725</v>
      </c>
      <c r="W92">
        <v>25.447949657686053</v>
      </c>
      <c r="X92">
        <v>43.403948870469726</v>
      </c>
      <c r="Y92">
        <v>8.1336413069718692</v>
      </c>
      <c r="Z92">
        <v>30.890960424312006</v>
      </c>
      <c r="AA92">
        <v>5.9690548292387247</v>
      </c>
      <c r="AB92">
        <v>37.70468003490388</v>
      </c>
      <c r="AD92">
        <v>7.7925838317790586</v>
      </c>
      <c r="AE92">
        <v>13.284218852925585</v>
      </c>
      <c r="AF92">
        <v>13.894850766927409</v>
      </c>
      <c r="AG92">
        <v>23.309848588494404</v>
      </c>
      <c r="AH92">
        <v>5.8821219314995146</v>
      </c>
      <c r="AI92">
        <v>2.1373878929022476</v>
      </c>
      <c r="AK92">
        <v>60.058290415936241</v>
      </c>
    </row>
    <row r="93" spans="1:37" x14ac:dyDescent="0.2">
      <c r="A93">
        <v>92</v>
      </c>
      <c r="B93">
        <v>761</v>
      </c>
      <c r="C93">
        <v>175</v>
      </c>
      <c r="D93">
        <v>0.411981337330175</v>
      </c>
      <c r="E93">
        <v>143.03130402066898</v>
      </c>
      <c r="F93">
        <v>58.946387744076944</v>
      </c>
      <c r="G93">
        <v>71.796710395959266</v>
      </c>
      <c r="H93">
        <v>67.202198801192509</v>
      </c>
      <c r="J93">
        <v>73.707661570974352</v>
      </c>
      <c r="L93">
        <v>6.4949016561899153</v>
      </c>
      <c r="M93">
        <v>14.297294334750237</v>
      </c>
      <c r="N93">
        <v>2.2024713049040834</v>
      </c>
      <c r="O93">
        <v>29.265722505652526</v>
      </c>
      <c r="P93">
        <v>10.828462467161778</v>
      </c>
      <c r="R93">
        <v>16.863761007168673</v>
      </c>
      <c r="S93">
        <v>48.871908130316243</v>
      </c>
      <c r="U93">
        <v>1.902113192279512</v>
      </c>
      <c r="V93">
        <v>47.704664150853809</v>
      </c>
      <c r="W93">
        <v>25.226101069456139</v>
      </c>
      <c r="X93">
        <v>43.397838241416117</v>
      </c>
      <c r="Y93">
        <v>7.7899024331656337</v>
      </c>
      <c r="Z93">
        <v>30.279974927881824</v>
      </c>
      <c r="AA93">
        <v>5.6533507269529943</v>
      </c>
      <c r="AB93">
        <v>37.599580639982904</v>
      </c>
      <c r="AD93">
        <v>7.4258964874463382</v>
      </c>
      <c r="AE93">
        <v>13.05178092728451</v>
      </c>
      <c r="AF93">
        <v>13.917278418259635</v>
      </c>
      <c r="AG93">
        <v>23.189877704331241</v>
      </c>
      <c r="AH93">
        <v>5.3775735625022918</v>
      </c>
      <c r="AI93">
        <v>2.139084051984824</v>
      </c>
      <c r="AK93">
        <v>59.858480656176901</v>
      </c>
    </row>
    <row r="94" spans="1:37" x14ac:dyDescent="0.2">
      <c r="A94">
        <v>93</v>
      </c>
      <c r="B94">
        <v>760</v>
      </c>
      <c r="C94">
        <v>175</v>
      </c>
      <c r="D94">
        <v>0.41134443207665999</v>
      </c>
      <c r="E94">
        <v>142.79324928535291</v>
      </c>
      <c r="F94">
        <v>57.745240855017826</v>
      </c>
      <c r="G94">
        <v>71.590494562308962</v>
      </c>
      <c r="H94">
        <v>66.993496018339144</v>
      </c>
      <c r="J94">
        <v>73.383670640164567</v>
      </c>
      <c r="L94">
        <v>6.158927559363816</v>
      </c>
      <c r="M94">
        <v>14.324465241831108</v>
      </c>
      <c r="N94">
        <v>2.2044445367188801</v>
      </c>
      <c r="O94">
        <v>27.931069799510976</v>
      </c>
      <c r="P94">
        <v>10.439423419349456</v>
      </c>
      <c r="R94">
        <v>16.410355292317568</v>
      </c>
      <c r="S94">
        <v>48.363008485149216</v>
      </c>
      <c r="U94">
        <v>1.891760438671295</v>
      </c>
      <c r="V94">
        <v>47.714049906674639</v>
      </c>
      <c r="W94">
        <v>25.007668275469797</v>
      </c>
      <c r="X94">
        <v>43.410511657236299</v>
      </c>
      <c r="Y94">
        <v>7.4170352018217978</v>
      </c>
      <c r="Z94">
        <v>29.613106582428578</v>
      </c>
      <c r="AA94">
        <v>5.3097490339995712</v>
      </c>
      <c r="AB94">
        <v>37.445187999305155</v>
      </c>
      <c r="AD94">
        <v>7.0250320499458612</v>
      </c>
      <c r="AE94">
        <v>12.797577142840838</v>
      </c>
      <c r="AF94">
        <v>13.943315527426483</v>
      </c>
      <c r="AG94">
        <v>23.020614672360534</v>
      </c>
      <c r="AH94">
        <v>4.8288572547959063</v>
      </c>
      <c r="AI94">
        <v>2.1407779953356276</v>
      </c>
      <c r="AK94">
        <v>59.633231583272206</v>
      </c>
    </row>
    <row r="95" spans="1:37" x14ac:dyDescent="0.2">
      <c r="A95">
        <v>94</v>
      </c>
      <c r="B95">
        <v>759</v>
      </c>
      <c r="C95">
        <v>175</v>
      </c>
      <c r="D95">
        <v>0.41070629269001901</v>
      </c>
      <c r="E95">
        <v>142.42004116862665</v>
      </c>
      <c r="F95">
        <v>55.510809267410693</v>
      </c>
      <c r="G95">
        <v>71.233233999090828</v>
      </c>
      <c r="H95">
        <v>66.633761463460601</v>
      </c>
      <c r="J95">
        <v>72.539947960383472</v>
      </c>
      <c r="L95">
        <v>5.529053867383416</v>
      </c>
      <c r="M95">
        <v>14.342482050930927</v>
      </c>
      <c r="N95">
        <v>2.20641004174015</v>
      </c>
      <c r="O95">
        <v>25.541265059215586</v>
      </c>
      <c r="P95">
        <v>9.7482948311163415</v>
      </c>
      <c r="R95">
        <v>15.505378332091436</v>
      </c>
      <c r="S95">
        <v>47.049811398699568</v>
      </c>
      <c r="U95">
        <v>1.8927141103500094</v>
      </c>
      <c r="V95">
        <v>47.607267927069245</v>
      </c>
      <c r="W95">
        <v>24.801537118293638</v>
      </c>
      <c r="X95">
        <v>43.455513492367245</v>
      </c>
      <c r="Y95">
        <v>6.7402459262322285</v>
      </c>
      <c r="Z95">
        <v>28.227290977587277</v>
      </c>
      <c r="AA95">
        <v>4.672015958004951</v>
      </c>
      <c r="AB95">
        <v>36.879491152230493</v>
      </c>
      <c r="AD95">
        <v>6.2072546552628438</v>
      </c>
      <c r="AE95">
        <v>12.233538306918001</v>
      </c>
      <c r="AF95">
        <v>13.96019111036596</v>
      </c>
      <c r="AG95">
        <v>22.440042205006407</v>
      </c>
      <c r="AH95">
        <v>3.8141053567328655</v>
      </c>
      <c r="AI95">
        <v>2.1424633883427453</v>
      </c>
      <c r="AK95">
        <v>59.09528335359051</v>
      </c>
    </row>
    <row r="96" spans="1:37" x14ac:dyDescent="0.2">
      <c r="A96">
        <v>95</v>
      </c>
      <c r="B96">
        <v>758</v>
      </c>
      <c r="C96">
        <v>175</v>
      </c>
      <c r="D96">
        <v>0.41006691557969399</v>
      </c>
      <c r="E96">
        <v>141.51854845588343</v>
      </c>
      <c r="F96">
        <v>49.252101769069128</v>
      </c>
      <c r="G96">
        <v>70.302909309813757</v>
      </c>
      <c r="H96">
        <v>65.700975760742097</v>
      </c>
      <c r="J96">
        <v>69.727404611919056</v>
      </c>
      <c r="L96">
        <v>3.7780271266061791</v>
      </c>
      <c r="M96">
        <v>14.287422658800924</v>
      </c>
      <c r="N96">
        <v>2.2083491244001587</v>
      </c>
      <c r="O96">
        <v>19.111643620239192</v>
      </c>
      <c r="P96">
        <v>7.9110192363848437</v>
      </c>
      <c r="R96">
        <v>12.87961110113651</v>
      </c>
      <c r="S96">
        <v>42.88636429479876</v>
      </c>
      <c r="U96">
        <v>1.9026356315425257</v>
      </c>
      <c r="V96">
        <v>47.144818345014329</v>
      </c>
      <c r="W96">
        <v>24.642360020822672</v>
      </c>
      <c r="X96">
        <v>43.52220296781077</v>
      </c>
      <c r="Y96">
        <v>4.9060652523771724</v>
      </c>
      <c r="Z96">
        <v>23.973837487701616</v>
      </c>
      <c r="AA96">
        <v>2.908661235314721</v>
      </c>
      <c r="AB96">
        <v>34.826212853502554</v>
      </c>
      <c r="AD96">
        <v>3.7315391365750932</v>
      </c>
      <c r="AE96">
        <v>10.421031186247601</v>
      </c>
      <c r="AF96">
        <v>13.903964373819699</v>
      </c>
      <c r="AG96">
        <v>20.371864367300006</v>
      </c>
      <c r="AH96">
        <v>1.0014974423051222</v>
      </c>
      <c r="AI96">
        <v>2.1441215336008272</v>
      </c>
      <c r="AK96">
        <v>57.324464316456691</v>
      </c>
    </row>
    <row r="97" spans="1:37" x14ac:dyDescent="0.2">
      <c r="A97">
        <v>96</v>
      </c>
      <c r="B97">
        <v>757</v>
      </c>
      <c r="C97">
        <v>175</v>
      </c>
      <c r="D97">
        <v>0.40942629714119499</v>
      </c>
      <c r="E97">
        <v>141.70108520214694</v>
      </c>
      <c r="F97">
        <v>48.221052882761384</v>
      </c>
      <c r="G97">
        <v>70.383447823913073</v>
      </c>
      <c r="H97">
        <v>65.779066260338055</v>
      </c>
      <c r="J97">
        <v>60.951803420122481</v>
      </c>
      <c r="L97">
        <v>1.945756061091146</v>
      </c>
      <c r="M97">
        <v>14.139108383819771</v>
      </c>
      <c r="N97">
        <v>2.2103463641627217</v>
      </c>
      <c r="O97">
        <v>9.353631329487003</v>
      </c>
      <c r="P97">
        <v>8.0955358960311425</v>
      </c>
      <c r="R97">
        <v>10.861820749671736</v>
      </c>
      <c r="S97">
        <v>37.15600284933705</v>
      </c>
      <c r="U97">
        <v>1.938745715414393</v>
      </c>
      <c r="V97">
        <v>46.745818868077997</v>
      </c>
      <c r="W97">
        <v>24.371995580527756</v>
      </c>
      <c r="X97">
        <v>43.664218940721135</v>
      </c>
      <c r="Y97">
        <v>3.7109172994891586</v>
      </c>
      <c r="Z97">
        <v>20.956746221614594</v>
      </c>
      <c r="AA97">
        <v>0.75959209392956839</v>
      </c>
      <c r="AB97">
        <v>32.693513584523302</v>
      </c>
      <c r="AD97">
        <v>2.0851386562100096</v>
      </c>
      <c r="AE97">
        <v>8.6354110153088204</v>
      </c>
      <c r="AF97">
        <v>13.754541221203914</v>
      </c>
      <c r="AG97">
        <v>18.224326225983972</v>
      </c>
      <c r="AI97">
        <v>2.1458370087353735</v>
      </c>
      <c r="AK97">
        <v>51.613653139702166</v>
      </c>
    </row>
    <row r="98" spans="1:37" x14ac:dyDescent="0.2">
      <c r="A98">
        <v>97</v>
      </c>
      <c r="B98">
        <v>756</v>
      </c>
      <c r="C98">
        <v>175</v>
      </c>
      <c r="D98">
        <v>0.40878443375601398</v>
      </c>
      <c r="E98">
        <v>142.02075357903834</v>
      </c>
      <c r="F98">
        <v>47.746606086966267</v>
      </c>
      <c r="G98">
        <v>70.542990494865691</v>
      </c>
      <c r="H98">
        <v>65.936173936482291</v>
      </c>
      <c r="J98">
        <v>52.357328431893606</v>
      </c>
      <c r="L98">
        <v>1.5507971021082667</v>
      </c>
      <c r="M98">
        <v>13.817711435989782</v>
      </c>
      <c r="N98">
        <v>2.2123507001901452</v>
      </c>
      <c r="O98">
        <v>7.0336402219874383</v>
      </c>
      <c r="P98">
        <v>8.4380756787710869</v>
      </c>
      <c r="R98">
        <v>10.307258034730564</v>
      </c>
      <c r="S98">
        <v>35.76709712492508</v>
      </c>
      <c r="U98">
        <v>1.946729758394081</v>
      </c>
      <c r="V98">
        <v>46.954519223497456</v>
      </c>
      <c r="W98">
        <v>23.948728567435172</v>
      </c>
      <c r="X98">
        <v>43.725543683553745</v>
      </c>
      <c r="Y98">
        <v>3.3384354604923283</v>
      </c>
      <c r="Z98">
        <v>18.048073777530906</v>
      </c>
      <c r="AB98">
        <v>31.016961809405895</v>
      </c>
      <c r="AD98">
        <v>0.6036889158078379</v>
      </c>
      <c r="AE98">
        <v>6.8950961594650408</v>
      </c>
      <c r="AF98">
        <v>13.432042807270468</v>
      </c>
      <c r="AG98">
        <v>16.532945190227654</v>
      </c>
      <c r="AI98">
        <v>2.1475587510704934</v>
      </c>
      <c r="AK98">
        <v>45.886606234887751</v>
      </c>
    </row>
    <row r="99" spans="1:37" x14ac:dyDescent="0.2">
      <c r="A99">
        <v>98</v>
      </c>
      <c r="B99">
        <v>755</v>
      </c>
      <c r="C99">
        <v>175</v>
      </c>
      <c r="D99">
        <v>0.40814132179156798</v>
      </c>
      <c r="E99">
        <v>142.23052034927676</v>
      </c>
      <c r="F99">
        <v>48.06619461522709</v>
      </c>
      <c r="G99">
        <v>70.561337673507865</v>
      </c>
      <c r="H99">
        <v>65.952099160808842</v>
      </c>
      <c r="J99">
        <v>46.429228619415433</v>
      </c>
      <c r="L99">
        <v>1.5675008215414636</v>
      </c>
      <c r="M99">
        <v>13.396817380830948</v>
      </c>
      <c r="N99">
        <v>2.2143472431032811</v>
      </c>
      <c r="O99">
        <v>6.9479553726512098</v>
      </c>
      <c r="P99">
        <v>8.498224419556756</v>
      </c>
      <c r="R99">
        <v>9.9912690809156626</v>
      </c>
      <c r="S99">
        <v>35.947454588965329</v>
      </c>
      <c r="U99">
        <v>1.9364019633930203</v>
      </c>
      <c r="V99">
        <v>47.445112014971237</v>
      </c>
      <c r="W99">
        <v>23.438618452974655</v>
      </c>
      <c r="X99">
        <v>43.734463409137831</v>
      </c>
      <c r="Y99">
        <v>3.1120049344197205</v>
      </c>
      <c r="Z99">
        <v>17.551091577160538</v>
      </c>
      <c r="AB99">
        <v>31.019472900303153</v>
      </c>
      <c r="AE99">
        <v>6.5922150218449653</v>
      </c>
      <c r="AF99">
        <v>13.010039813756869</v>
      </c>
      <c r="AG99">
        <v>16.520621748718263</v>
      </c>
      <c r="AI99">
        <v>2.1492718693881421</v>
      </c>
      <c r="AK99">
        <v>41.856565616330286</v>
      </c>
    </row>
    <row r="100" spans="1:37" x14ac:dyDescent="0.2">
      <c r="A100">
        <v>99</v>
      </c>
      <c r="B100">
        <v>754</v>
      </c>
      <c r="C100">
        <v>175</v>
      </c>
      <c r="D100">
        <v>0.40749695760112897</v>
      </c>
      <c r="E100">
        <v>142.38412618135058</v>
      </c>
      <c r="F100">
        <v>48.547845459132141</v>
      </c>
      <c r="G100">
        <v>70.537522712401824</v>
      </c>
      <c r="H100">
        <v>65.925875306720158</v>
      </c>
      <c r="J100">
        <v>42.675199991939095</v>
      </c>
      <c r="L100">
        <v>1.5797281240429619</v>
      </c>
      <c r="M100">
        <v>12.989135508461457</v>
      </c>
      <c r="N100">
        <v>2.2163410591540931</v>
      </c>
      <c r="O100">
        <v>6.9206204076779478</v>
      </c>
      <c r="P100">
        <v>8.4740539124964034</v>
      </c>
      <c r="R100">
        <v>9.6528105916394189</v>
      </c>
      <c r="S100">
        <v>36.245887714882926</v>
      </c>
      <c r="U100">
        <v>1.9186886536330556</v>
      </c>
      <c r="V100">
        <v>47.950554231594744</v>
      </c>
      <c r="W100">
        <v>22.946699669393478</v>
      </c>
      <c r="X100">
        <v>43.722380326853752</v>
      </c>
      <c r="Y100">
        <v>2.8787297518102388</v>
      </c>
      <c r="Z100">
        <v>17.733073012114239</v>
      </c>
      <c r="AB100">
        <v>31.464779769130821</v>
      </c>
      <c r="AE100">
        <v>6.6902030355390281</v>
      </c>
      <c r="AF100">
        <v>12.601246602645299</v>
      </c>
      <c r="AG100">
        <v>16.951093885555924</v>
      </c>
      <c r="AI100">
        <v>2.1509814281020856</v>
      </c>
      <c r="AK100">
        <v>39.261894501081827</v>
      </c>
    </row>
    <row r="101" spans="1:37" x14ac:dyDescent="0.2">
      <c r="A101">
        <v>100</v>
      </c>
      <c r="B101">
        <v>775</v>
      </c>
      <c r="C101">
        <v>150</v>
      </c>
      <c r="D101">
        <v>0.44700710776129698</v>
      </c>
      <c r="E101">
        <v>130.13576706108151</v>
      </c>
      <c r="F101">
        <v>64.851882604526764</v>
      </c>
      <c r="G101">
        <v>72.928606742542172</v>
      </c>
      <c r="H101">
        <v>68.369320256227567</v>
      </c>
      <c r="J101">
        <v>74.708741397244054</v>
      </c>
      <c r="L101">
        <v>8.0235725711187804</v>
      </c>
      <c r="M101">
        <v>14.67829264615416</v>
      </c>
      <c r="N101">
        <v>2.1493909498363282</v>
      </c>
      <c r="O101">
        <v>37.055485238955292</v>
      </c>
      <c r="P101">
        <v>12.599078034344908</v>
      </c>
      <c r="Q101">
        <v>2.0934629857054077E-2</v>
      </c>
      <c r="R101">
        <v>19.843798010947776</v>
      </c>
      <c r="S101">
        <v>53.244570216322387</v>
      </c>
      <c r="U101">
        <v>2.6495521572378715</v>
      </c>
      <c r="V101">
        <v>47.712594859568647</v>
      </c>
      <c r="W101">
        <v>28.524535163063373</v>
      </c>
      <c r="X101">
        <v>43.170662427308336</v>
      </c>
      <c r="Y101">
        <v>9.3830584024825026</v>
      </c>
      <c r="Z101">
        <v>33.902114552403461</v>
      </c>
      <c r="AA101">
        <v>7.2702785939250463</v>
      </c>
      <c r="AB101">
        <v>39.124867881515591</v>
      </c>
      <c r="AC101">
        <v>6.6056186462148489E-2</v>
      </c>
      <c r="AD101">
        <v>9.4743537185403746</v>
      </c>
      <c r="AE101">
        <v>14.80297782960476</v>
      </c>
      <c r="AF101">
        <v>14.365904932108673</v>
      </c>
      <c r="AG101">
        <v>25.005515896701525</v>
      </c>
      <c r="AH101">
        <v>7.4825968003825407</v>
      </c>
      <c r="AI101">
        <v>2.086838793243027</v>
      </c>
      <c r="AK101">
        <v>60.038362569230678</v>
      </c>
    </row>
    <row r="102" spans="1:37" x14ac:dyDescent="0.2">
      <c r="A102">
        <v>101</v>
      </c>
      <c r="B102">
        <v>774</v>
      </c>
      <c r="C102">
        <v>150</v>
      </c>
      <c r="D102">
        <v>0.44641216635630598</v>
      </c>
      <c r="E102">
        <v>130.03208986105773</v>
      </c>
      <c r="F102">
        <v>64.468583207281711</v>
      </c>
      <c r="G102">
        <v>72.861132845948177</v>
      </c>
      <c r="H102">
        <v>68.299169945634162</v>
      </c>
      <c r="J102">
        <v>74.650875637734288</v>
      </c>
      <c r="L102">
        <v>7.920630512923279</v>
      </c>
      <c r="M102">
        <v>14.671383951395848</v>
      </c>
      <c r="N102">
        <v>2.1367010222001421</v>
      </c>
      <c r="O102">
        <v>36.565724433996429</v>
      </c>
      <c r="P102">
        <v>12.472745453809948</v>
      </c>
      <c r="R102">
        <v>19.676395951165361</v>
      </c>
      <c r="S102">
        <v>53.045916258309518</v>
      </c>
      <c r="U102">
        <v>2.6192217653080974</v>
      </c>
      <c r="V102">
        <v>47.709778061554644</v>
      </c>
      <c r="W102">
        <v>28.394240001770196</v>
      </c>
      <c r="X102">
        <v>43.135637497740646</v>
      </c>
      <c r="Y102">
        <v>9.274097756824073</v>
      </c>
      <c r="Z102">
        <v>33.691429729849006</v>
      </c>
      <c r="AA102">
        <v>7.1630263187691599</v>
      </c>
      <c r="AB102">
        <v>39.069737364112001</v>
      </c>
      <c r="AC102">
        <v>5.137903385466925E-2</v>
      </c>
      <c r="AD102">
        <v>9.3584177062110498</v>
      </c>
      <c r="AE102">
        <v>14.711145457071719</v>
      </c>
      <c r="AF102">
        <v>14.343192061478236</v>
      </c>
      <c r="AG102">
        <v>24.920850347049338</v>
      </c>
      <c r="AH102">
        <v>7.3382053165762544</v>
      </c>
      <c r="AI102">
        <v>2.0738820418475385</v>
      </c>
      <c r="AK102">
        <v>60.012750786707812</v>
      </c>
    </row>
    <row r="103" spans="1:37" x14ac:dyDescent="0.2">
      <c r="A103">
        <v>102</v>
      </c>
      <c r="B103">
        <v>773</v>
      </c>
      <c r="C103">
        <v>150</v>
      </c>
      <c r="D103">
        <v>0.44581608755914398</v>
      </c>
      <c r="E103">
        <v>129.92639835531921</v>
      </c>
      <c r="F103">
        <v>64.033497429086069</v>
      </c>
      <c r="G103">
        <v>72.783648002016434</v>
      </c>
      <c r="H103">
        <v>68.219021362275427</v>
      </c>
      <c r="J103">
        <v>74.599057868006796</v>
      </c>
      <c r="L103">
        <v>7.7972977461598854</v>
      </c>
      <c r="M103">
        <v>14.691234317102799</v>
      </c>
      <c r="N103">
        <v>2.1197077721287161</v>
      </c>
      <c r="O103">
        <v>35.989241320125522</v>
      </c>
      <c r="P103">
        <v>12.322094990187667</v>
      </c>
      <c r="R103">
        <v>19.5129562613171</v>
      </c>
      <c r="S103">
        <v>52.943338593230713</v>
      </c>
      <c r="U103">
        <v>2.6100295282963089</v>
      </c>
      <c r="V103">
        <v>47.753773679680577</v>
      </c>
      <c r="W103">
        <v>28.289202492383652</v>
      </c>
      <c r="X103">
        <v>43.170032094563638</v>
      </c>
      <c r="Y103">
        <v>9.1427694145595719</v>
      </c>
      <c r="Z103">
        <v>33.452197176962137</v>
      </c>
      <c r="AA103">
        <v>7.0343573589878217</v>
      </c>
      <c r="AB103">
        <v>39.053791694845373</v>
      </c>
      <c r="AC103">
        <v>3.2398709434865988E-2</v>
      </c>
      <c r="AD103">
        <v>9.2257209684911547</v>
      </c>
      <c r="AE103">
        <v>14.610188457136976</v>
      </c>
      <c r="AF103">
        <v>14.342935156912505</v>
      </c>
      <c r="AG103">
        <v>24.871068740816828</v>
      </c>
      <c r="AH103">
        <v>7.1670639806131611</v>
      </c>
      <c r="AI103">
        <v>2.056621170153575</v>
      </c>
      <c r="AK103">
        <v>59.97503033883784</v>
      </c>
    </row>
    <row r="104" spans="1:37" x14ac:dyDescent="0.2">
      <c r="A104">
        <v>103</v>
      </c>
      <c r="B104">
        <v>772</v>
      </c>
      <c r="C104">
        <v>150</v>
      </c>
      <c r="D104">
        <v>0.44521886810505501</v>
      </c>
      <c r="E104">
        <v>129.82119480094536</v>
      </c>
      <c r="F104">
        <v>63.599478130954026</v>
      </c>
      <c r="G104">
        <v>72.706182204334965</v>
      </c>
      <c r="H104">
        <v>68.138904519866188</v>
      </c>
      <c r="J104">
        <v>74.546140713468205</v>
      </c>
      <c r="L104">
        <v>7.6736033196295681</v>
      </c>
      <c r="M104">
        <v>14.711308307147215</v>
      </c>
      <c r="N104">
        <v>2.102671110461543</v>
      </c>
      <c r="O104">
        <v>35.412794217916471</v>
      </c>
      <c r="P104">
        <v>12.171446563123384</v>
      </c>
      <c r="R104">
        <v>19.348370108574134</v>
      </c>
      <c r="S104">
        <v>52.836268055596989</v>
      </c>
      <c r="U104">
        <v>2.6013368836682873</v>
      </c>
      <c r="V104">
        <v>47.796016052670062</v>
      </c>
      <c r="W104">
        <v>28.185001008347719</v>
      </c>
      <c r="X104">
        <v>43.206125272221236</v>
      </c>
      <c r="Y104">
        <v>9.0113904675540102</v>
      </c>
      <c r="Z104">
        <v>33.213165534796147</v>
      </c>
      <c r="AA104">
        <v>6.9055653540948985</v>
      </c>
      <c r="AB104">
        <v>39.03534665359377</v>
      </c>
      <c r="AC104">
        <v>1.3375123602997245E-2</v>
      </c>
      <c r="AD104">
        <v>9.0929401242423058</v>
      </c>
      <c r="AE104">
        <v>14.509345344744508</v>
      </c>
      <c r="AF104">
        <v>14.342858698513087</v>
      </c>
      <c r="AG104">
        <v>24.818746774322161</v>
      </c>
      <c r="AH104">
        <v>6.9958047256710989</v>
      </c>
      <c r="AI104">
        <v>2.0393160871684857</v>
      </c>
      <c r="AK104">
        <v>59.937410467046384</v>
      </c>
    </row>
    <row r="105" spans="1:37" x14ac:dyDescent="0.2">
      <c r="A105">
        <v>104</v>
      </c>
      <c r="B105">
        <v>771</v>
      </c>
      <c r="C105">
        <v>150</v>
      </c>
      <c r="D105">
        <v>0.44462050471675502</v>
      </c>
      <c r="E105">
        <v>129.68501349847429</v>
      </c>
      <c r="F105">
        <v>62.999574602075789</v>
      </c>
      <c r="G105">
        <v>72.601044985007576</v>
      </c>
      <c r="H105">
        <v>68.031128970678523</v>
      </c>
      <c r="J105">
        <v>74.443825620061759</v>
      </c>
      <c r="L105">
        <v>7.5067000449582917</v>
      </c>
      <c r="M105">
        <v>14.730721235228565</v>
      </c>
      <c r="N105">
        <v>2.091052583740979</v>
      </c>
      <c r="O105">
        <v>34.679182529348473</v>
      </c>
      <c r="P105">
        <v>11.970880805058311</v>
      </c>
      <c r="R105">
        <v>19.126926042426046</v>
      </c>
      <c r="S105">
        <v>52.664762617176052</v>
      </c>
      <c r="U105">
        <v>2.5886336635839533</v>
      </c>
      <c r="V105">
        <v>47.838381160140599</v>
      </c>
      <c r="W105">
        <v>28.04610969224775</v>
      </c>
      <c r="X105">
        <v>43.225460530707466</v>
      </c>
      <c r="Y105">
        <v>8.8289966294872215</v>
      </c>
      <c r="Z105">
        <v>32.88441318185609</v>
      </c>
      <c r="AA105">
        <v>6.7324820666674787</v>
      </c>
      <c r="AB105">
        <v>39.001315471443881</v>
      </c>
      <c r="AD105">
        <v>8.9040292444618103</v>
      </c>
      <c r="AE105">
        <v>14.376745089040373</v>
      </c>
      <c r="AF105">
        <v>14.347539551919287</v>
      </c>
      <c r="AG105">
        <v>24.756259230818873</v>
      </c>
      <c r="AH105">
        <v>6.7440503464309236</v>
      </c>
      <c r="AI105">
        <v>2.0274283376023656</v>
      </c>
      <c r="AK105">
        <v>59.861431498250994</v>
      </c>
    </row>
    <row r="106" spans="1:37" x14ac:dyDescent="0.2">
      <c r="A106">
        <v>105</v>
      </c>
      <c r="B106">
        <v>770</v>
      </c>
      <c r="C106">
        <v>150</v>
      </c>
      <c r="D106">
        <v>0.44402099410439499</v>
      </c>
      <c r="E106">
        <v>129.46847380119135</v>
      </c>
      <c r="F106">
        <v>61.963420074327786</v>
      </c>
      <c r="G106">
        <v>72.422981953901925</v>
      </c>
      <c r="H106">
        <v>67.850440344783692</v>
      </c>
      <c r="J106">
        <v>74.207040544206521</v>
      </c>
      <c r="L106">
        <v>7.2249475284320104</v>
      </c>
      <c r="M106">
        <v>14.749624516707939</v>
      </c>
      <c r="N106">
        <v>2.093031991422825</v>
      </c>
      <c r="O106">
        <v>33.528328265198837</v>
      </c>
      <c r="P106">
        <v>11.638068756929059</v>
      </c>
      <c r="R106">
        <v>18.753195344745766</v>
      </c>
      <c r="S106">
        <v>52.312721018441209</v>
      </c>
      <c r="U106">
        <v>2.5674128940332901</v>
      </c>
      <c r="V106">
        <v>47.877670109544333</v>
      </c>
      <c r="W106">
        <v>27.820656828002182</v>
      </c>
      <c r="X106">
        <v>43.206994952636265</v>
      </c>
      <c r="Y106">
        <v>8.5118293242101242</v>
      </c>
      <c r="Z106">
        <v>32.318780812451315</v>
      </c>
      <c r="AA106">
        <v>6.4416753918028551</v>
      </c>
      <c r="AB106">
        <v>38.919706260106821</v>
      </c>
      <c r="AD106">
        <v>8.567125442628809</v>
      </c>
      <c r="AE106">
        <v>14.160185757140749</v>
      </c>
      <c r="AF106">
        <v>14.36530893736119</v>
      </c>
      <c r="AG106">
        <v>24.659794027114327</v>
      </c>
      <c r="AH106">
        <v>6.2801853103252006</v>
      </c>
      <c r="AI106">
        <v>2.0291377190787543</v>
      </c>
      <c r="AK106">
        <v>59.683643334638404</v>
      </c>
    </row>
    <row r="107" spans="1:37" x14ac:dyDescent="0.2">
      <c r="A107">
        <v>106</v>
      </c>
      <c r="B107">
        <v>769</v>
      </c>
      <c r="C107">
        <v>150</v>
      </c>
      <c r="D107">
        <v>0.44342033296550898</v>
      </c>
      <c r="E107">
        <v>129.24759489963452</v>
      </c>
      <c r="F107">
        <v>60.886625838706202</v>
      </c>
      <c r="G107">
        <v>72.237471272952149</v>
      </c>
      <c r="H107">
        <v>67.662316824361454</v>
      </c>
      <c r="J107">
        <v>73.94362077376725</v>
      </c>
      <c r="L107">
        <v>6.9282622158866545</v>
      </c>
      <c r="M107">
        <v>14.771142825009626</v>
      </c>
      <c r="N107">
        <v>2.0950105121990812</v>
      </c>
      <c r="O107">
        <v>32.328526188514289</v>
      </c>
      <c r="P107">
        <v>11.290367943108027</v>
      </c>
      <c r="R107">
        <v>18.355240536391751</v>
      </c>
      <c r="S107">
        <v>51.90441434384433</v>
      </c>
      <c r="U107">
        <v>2.5504937454084846</v>
      </c>
      <c r="V107">
        <v>47.903810698069165</v>
      </c>
      <c r="W107">
        <v>27.598017845745137</v>
      </c>
      <c r="X107">
        <v>43.201356097112566</v>
      </c>
      <c r="Y107">
        <v>8.1799151317405183</v>
      </c>
      <c r="Z107">
        <v>31.727210088514614</v>
      </c>
      <c r="AA107">
        <v>6.1368665751720979</v>
      </c>
      <c r="AB107">
        <v>38.810990325402535</v>
      </c>
      <c r="AD107">
        <v>8.2138462280205591</v>
      </c>
      <c r="AE107">
        <v>13.934003386010652</v>
      </c>
      <c r="AF107">
        <v>14.385692712379578</v>
      </c>
      <c r="AG107">
        <v>24.536223653376375</v>
      </c>
      <c r="AH107">
        <v>5.7939433761941848</v>
      </c>
      <c r="AI107">
        <v>2.0308454084558791</v>
      </c>
      <c r="AK107">
        <v>59.493889437391502</v>
      </c>
    </row>
    <row r="108" spans="1:37" x14ac:dyDescent="0.2">
      <c r="A108">
        <v>107</v>
      </c>
      <c r="B108">
        <v>768</v>
      </c>
      <c r="C108">
        <v>150</v>
      </c>
      <c r="D108">
        <v>0.442818517984921</v>
      </c>
      <c r="E108">
        <v>129.02000734705666</v>
      </c>
      <c r="F108">
        <v>59.749939120128687</v>
      </c>
      <c r="G108">
        <v>72.041496976671269</v>
      </c>
      <c r="H108">
        <v>67.463742464205723</v>
      </c>
      <c r="J108">
        <v>73.64228894696906</v>
      </c>
      <c r="L108">
        <v>6.6108147159502879</v>
      </c>
      <c r="M108">
        <v>14.795504524881347</v>
      </c>
      <c r="N108">
        <v>2.0969879365371873</v>
      </c>
      <c r="O108">
        <v>31.059079756356471</v>
      </c>
      <c r="P108">
        <v>10.921746244953212</v>
      </c>
      <c r="R108">
        <v>17.924082880980304</v>
      </c>
      <c r="S108">
        <v>51.418721382377164</v>
      </c>
      <c r="U108">
        <v>2.5386301170439718</v>
      </c>
      <c r="V108">
        <v>47.912653488953907</v>
      </c>
      <c r="W108">
        <v>27.378468586810687</v>
      </c>
      <c r="X108">
        <v>43.21075871961353</v>
      </c>
      <c r="Y108">
        <v>7.8272181991376168</v>
      </c>
      <c r="Z108">
        <v>31.096630450242426</v>
      </c>
      <c r="AA108">
        <v>5.8120944439657762</v>
      </c>
      <c r="AB108">
        <v>38.664585460386071</v>
      </c>
      <c r="AD108">
        <v>7.8364965967072067</v>
      </c>
      <c r="AE108">
        <v>13.692732379711236</v>
      </c>
      <c r="AF108">
        <v>14.40891903762515</v>
      </c>
      <c r="AG108">
        <v>24.374965698804282</v>
      </c>
      <c r="AH108">
        <v>5.2761671052198684</v>
      </c>
      <c r="AI108">
        <v>2.032551194367521</v>
      </c>
      <c r="AK108">
        <v>59.286357229662208</v>
      </c>
    </row>
    <row r="109" spans="1:37" x14ac:dyDescent="0.2">
      <c r="A109">
        <v>108</v>
      </c>
      <c r="B109">
        <v>767</v>
      </c>
      <c r="C109">
        <v>150</v>
      </c>
      <c r="D109">
        <v>0.44221554583473799</v>
      </c>
      <c r="E109">
        <v>128.78091395481712</v>
      </c>
      <c r="F109">
        <v>58.514484507638194</v>
      </c>
      <c r="G109">
        <v>71.829023872153499</v>
      </c>
      <c r="H109">
        <v>67.24868209173404</v>
      </c>
      <c r="J109">
        <v>73.280504928141511</v>
      </c>
      <c r="L109">
        <v>6.2608005189489235</v>
      </c>
      <c r="M109">
        <v>14.822931408995853</v>
      </c>
      <c r="N109">
        <v>2.0989638724256587</v>
      </c>
      <c r="O109">
        <v>29.678502492802419</v>
      </c>
      <c r="P109">
        <v>10.520132906574045</v>
      </c>
      <c r="R109">
        <v>17.441393275005616</v>
      </c>
      <c r="S109">
        <v>50.814059120547391</v>
      </c>
      <c r="U109">
        <v>2.533160291534112</v>
      </c>
      <c r="V109">
        <v>47.896034317188949</v>
      </c>
      <c r="W109">
        <v>27.162458918102026</v>
      </c>
      <c r="X109">
        <v>43.239108420328947</v>
      </c>
      <c r="Y109">
        <v>7.4416540874703809</v>
      </c>
      <c r="Z109">
        <v>30.400482210097589</v>
      </c>
      <c r="AA109">
        <v>5.4557758040329354</v>
      </c>
      <c r="AB109">
        <v>38.459637819050641</v>
      </c>
      <c r="AD109">
        <v>7.4194793734250233</v>
      </c>
      <c r="AE109">
        <v>13.425198037334257</v>
      </c>
      <c r="AF109">
        <v>14.435209319208937</v>
      </c>
      <c r="AG109">
        <v>24.155165931071664</v>
      </c>
      <c r="AH109">
        <v>4.7084819477593678</v>
      </c>
      <c r="AI109">
        <v>2.0342546829680725</v>
      </c>
      <c r="AK109">
        <v>59.049246523948476</v>
      </c>
    </row>
    <row r="110" spans="1:37" x14ac:dyDescent="0.2">
      <c r="A110">
        <v>109</v>
      </c>
      <c r="B110">
        <v>766</v>
      </c>
      <c r="C110">
        <v>150</v>
      </c>
      <c r="D110">
        <v>0.44161141317423203</v>
      </c>
      <c r="E110">
        <v>128.51768473334113</v>
      </c>
      <c r="F110">
        <v>57.078260489324045</v>
      </c>
      <c r="G110">
        <v>71.58441348560018</v>
      </c>
      <c r="H110">
        <v>67.001497253507409</v>
      </c>
      <c r="J110">
        <v>72.799362577015941</v>
      </c>
      <c r="L110">
        <v>5.8478450833123281</v>
      </c>
      <c r="M110">
        <v>14.85323249352197</v>
      </c>
      <c r="N110">
        <v>2.1009373748701061</v>
      </c>
      <c r="O110">
        <v>28.078972776952046</v>
      </c>
      <c r="P110">
        <v>10.054250057364825</v>
      </c>
      <c r="R110">
        <v>16.858635375366099</v>
      </c>
      <c r="S110">
        <v>49.982845265569175</v>
      </c>
      <c r="U110">
        <v>2.5369805102503018</v>
      </c>
      <c r="V110">
        <v>47.832721966053199</v>
      </c>
      <c r="W110">
        <v>26.950967470497414</v>
      </c>
      <c r="X110">
        <v>43.294769668007618</v>
      </c>
      <c r="Y110">
        <v>6.9918765754969447</v>
      </c>
      <c r="Z110">
        <v>29.568473419476941</v>
      </c>
      <c r="AA110">
        <v>5.0376559709661812</v>
      </c>
      <c r="AB110">
        <v>38.142072631423659</v>
      </c>
      <c r="AD110">
        <v>6.9216589444326164</v>
      </c>
      <c r="AE110">
        <v>13.101576107426899</v>
      </c>
      <c r="AF110">
        <v>14.464371633764078</v>
      </c>
      <c r="AG110">
        <v>23.822748640922875</v>
      </c>
      <c r="AH110">
        <v>4.0430917063847698</v>
      </c>
      <c r="AI110">
        <v>2.0359549274282061</v>
      </c>
      <c r="AK110">
        <v>58.751370438256387</v>
      </c>
    </row>
    <row r="111" spans="1:37" x14ac:dyDescent="0.2">
      <c r="A111">
        <v>110</v>
      </c>
      <c r="B111">
        <v>765</v>
      </c>
      <c r="C111">
        <v>150</v>
      </c>
      <c r="D111">
        <v>0.44100611664981298</v>
      </c>
      <c r="E111">
        <v>127.72529509320671</v>
      </c>
      <c r="F111">
        <v>51.604666357786563</v>
      </c>
      <c r="G111">
        <v>70.761657000826958</v>
      </c>
      <c r="H111">
        <v>66.176179153741629</v>
      </c>
      <c r="J111">
        <v>70.302977653891318</v>
      </c>
      <c r="L111">
        <v>4.304193709355113</v>
      </c>
      <c r="M111">
        <v>14.811667885884033</v>
      </c>
      <c r="N111">
        <v>2.102884930919664</v>
      </c>
      <c r="O111">
        <v>22.41366720794213</v>
      </c>
      <c r="P111">
        <v>8.4320565740564586</v>
      </c>
      <c r="R111">
        <v>14.525940400548642</v>
      </c>
      <c r="S111">
        <v>46.133549552040918</v>
      </c>
      <c r="U111">
        <v>2.5546118323619607</v>
      </c>
      <c r="V111">
        <v>47.359107798195637</v>
      </c>
      <c r="W111">
        <v>26.782340699879622</v>
      </c>
      <c r="X111">
        <v>43.385243918478018</v>
      </c>
      <c r="Y111">
        <v>5.3751168537090983</v>
      </c>
      <c r="Z111">
        <v>25.894228910694387</v>
      </c>
      <c r="AA111">
        <v>3.4856197240836044</v>
      </c>
      <c r="AB111">
        <v>36.261781869573127</v>
      </c>
      <c r="AD111">
        <v>4.7836585617949297</v>
      </c>
      <c r="AE111">
        <v>11.53338850570948</v>
      </c>
      <c r="AF111">
        <v>14.421642581240926</v>
      </c>
      <c r="AG111">
        <v>21.92758229320501</v>
      </c>
      <c r="AH111">
        <v>1.5793540053911015</v>
      </c>
      <c r="AI111">
        <v>2.037628412962234</v>
      </c>
      <c r="AK111">
        <v>57.216024021743891</v>
      </c>
    </row>
    <row r="112" spans="1:37" x14ac:dyDescent="0.2">
      <c r="A112">
        <v>111</v>
      </c>
      <c r="B112">
        <v>764</v>
      </c>
      <c r="C112">
        <v>150</v>
      </c>
      <c r="D112">
        <v>0.44039965289495597</v>
      </c>
      <c r="E112">
        <v>127.65276494977905</v>
      </c>
      <c r="F112">
        <v>49.329161731510361</v>
      </c>
      <c r="G112">
        <v>70.599240621120146</v>
      </c>
      <c r="H112">
        <v>66.011214016162725</v>
      </c>
      <c r="J112">
        <v>63.548034352406916</v>
      </c>
      <c r="L112">
        <v>2.7045431812953393</v>
      </c>
      <c r="M112">
        <v>14.711969754941618</v>
      </c>
      <c r="N112">
        <v>2.1048683699994939</v>
      </c>
      <c r="O112">
        <v>14.422688643783587</v>
      </c>
      <c r="P112">
        <v>8.1305867147558288</v>
      </c>
      <c r="R112">
        <v>12.541540952939508</v>
      </c>
      <c r="S112">
        <v>40.996952936905423</v>
      </c>
      <c r="U112">
        <v>2.6023189187435545</v>
      </c>
      <c r="V112">
        <v>46.818819240794049</v>
      </c>
      <c r="W112">
        <v>26.546890271601963</v>
      </c>
      <c r="X112">
        <v>43.561790814092461</v>
      </c>
      <c r="Y112">
        <v>4.1866507839623495</v>
      </c>
      <c r="Z112">
        <v>22.633708328430416</v>
      </c>
      <c r="AA112">
        <v>1.6593815335217659</v>
      </c>
      <c r="AB112">
        <v>33.955785079438542</v>
      </c>
      <c r="AD112">
        <v>2.9999239952215069</v>
      </c>
      <c r="AE112">
        <v>9.7424727209472408</v>
      </c>
      <c r="AF112">
        <v>14.320816165407605</v>
      </c>
      <c r="AG112">
        <v>19.606748269029943</v>
      </c>
      <c r="AI112">
        <v>2.0393369671599135</v>
      </c>
      <c r="AK112">
        <v>52.909248831207037</v>
      </c>
    </row>
    <row r="113" spans="1:37" x14ac:dyDescent="0.2">
      <c r="A113">
        <v>112</v>
      </c>
      <c r="B113">
        <v>763</v>
      </c>
      <c r="C113">
        <v>150</v>
      </c>
      <c r="D113">
        <v>0.43979201853014099</v>
      </c>
      <c r="E113">
        <v>127.90465795352743</v>
      </c>
      <c r="F113">
        <v>48.963781890240426</v>
      </c>
      <c r="G113">
        <v>70.734772397449063</v>
      </c>
      <c r="H113">
        <v>66.144209912218912</v>
      </c>
      <c r="J113">
        <v>56.344980809788481</v>
      </c>
      <c r="L113">
        <v>1.4975217617907255</v>
      </c>
      <c r="M113">
        <v>14.510789361271629</v>
      </c>
      <c r="N113">
        <v>2.1068721097577674</v>
      </c>
      <c r="O113">
        <v>8.1924398669207577</v>
      </c>
      <c r="P113">
        <v>8.4250410212230342</v>
      </c>
      <c r="R113">
        <v>11.200641576723987</v>
      </c>
      <c r="S113">
        <v>37.144221679969675</v>
      </c>
      <c r="U113">
        <v>2.6260635338505307</v>
      </c>
      <c r="V113">
        <v>46.648590761103833</v>
      </c>
      <c r="W113">
        <v>26.228819037325444</v>
      </c>
      <c r="X113">
        <v>43.669551397916898</v>
      </c>
      <c r="Y113">
        <v>3.3300504501208814</v>
      </c>
      <c r="Z113">
        <v>20.29780729781864</v>
      </c>
      <c r="AB113">
        <v>32.343881580068334</v>
      </c>
      <c r="AD113">
        <v>1.740061620816602</v>
      </c>
      <c r="AE113">
        <v>8.3189437133589621</v>
      </c>
      <c r="AF113">
        <v>14.118528069988541</v>
      </c>
      <c r="AG113">
        <v>17.980030310858325</v>
      </c>
      <c r="AI113">
        <v>2.0410650058330813</v>
      </c>
      <c r="AK113">
        <v>48.194787422261314</v>
      </c>
    </row>
    <row r="114" spans="1:37" x14ac:dyDescent="0.2">
      <c r="A114">
        <v>113</v>
      </c>
      <c r="B114">
        <v>762</v>
      </c>
      <c r="C114">
        <v>150</v>
      </c>
      <c r="D114">
        <v>0.439183210162781</v>
      </c>
      <c r="E114">
        <v>128.20423628681016</v>
      </c>
      <c r="F114">
        <v>48.667848110885529</v>
      </c>
      <c r="G114">
        <v>70.858740704067472</v>
      </c>
      <c r="H114">
        <v>66.265655236680942</v>
      </c>
      <c r="J114">
        <v>49.433339958215946</v>
      </c>
      <c r="L114">
        <v>1.5216168249850379</v>
      </c>
      <c r="M114">
        <v>14.150823288870594</v>
      </c>
      <c r="N114">
        <v>2.1088766999546467</v>
      </c>
      <c r="O114">
        <v>7.9504974108947799</v>
      </c>
      <c r="P114">
        <v>8.6963768139561601</v>
      </c>
      <c r="R114">
        <v>11.011133122450309</v>
      </c>
      <c r="S114">
        <v>36.976726013069296</v>
      </c>
      <c r="U114">
        <v>2.6298798372130854</v>
      </c>
      <c r="V114">
        <v>46.988723027248653</v>
      </c>
      <c r="W114">
        <v>25.766728159359594</v>
      </c>
      <c r="X114">
        <v>43.720209586450494</v>
      </c>
      <c r="Y114">
        <v>3.1901795508588884</v>
      </c>
      <c r="Z114">
        <v>17.933121122136974</v>
      </c>
      <c r="AB114">
        <v>31.063006797281396</v>
      </c>
      <c r="AD114">
        <v>0.54587452698487038</v>
      </c>
      <c r="AE114">
        <v>6.9041721423681697</v>
      </c>
      <c r="AF114">
        <v>13.75745543424989</v>
      </c>
      <c r="AG114">
        <v>16.684344400054126</v>
      </c>
      <c r="AI114">
        <v>2.0427930769055642</v>
      </c>
      <c r="AK114">
        <v>43.567140033768624</v>
      </c>
    </row>
    <row r="115" spans="1:37" x14ac:dyDescent="0.2">
      <c r="A115">
        <v>114</v>
      </c>
      <c r="B115">
        <v>761</v>
      </c>
      <c r="C115">
        <v>150</v>
      </c>
      <c r="D115">
        <v>0.43857322438717999</v>
      </c>
      <c r="E115">
        <v>128.39627702548799</v>
      </c>
      <c r="F115">
        <v>48.990953285037939</v>
      </c>
      <c r="G115">
        <v>70.870720857825788</v>
      </c>
      <c r="H115">
        <v>66.275125326958204</v>
      </c>
      <c r="J115">
        <v>44.832610274213366</v>
      </c>
      <c r="L115">
        <v>1.5362988857554665</v>
      </c>
      <c r="M115">
        <v>13.750838542229344</v>
      </c>
      <c r="N115">
        <v>2.1108752349142659</v>
      </c>
      <c r="O115">
        <v>7.8656259677027958</v>
      </c>
      <c r="P115">
        <v>8.7437378432742374</v>
      </c>
      <c r="R115">
        <v>10.704317414652932</v>
      </c>
      <c r="S115">
        <v>37.146273536757356</v>
      </c>
      <c r="U115">
        <v>2.6182717103083197</v>
      </c>
      <c r="V115">
        <v>47.455333794072061</v>
      </c>
      <c r="W115">
        <v>25.275591007409265</v>
      </c>
      <c r="X115">
        <v>43.726752573572611</v>
      </c>
      <c r="Y115">
        <v>2.9693875217735006</v>
      </c>
      <c r="Z115">
        <v>17.534390820103333</v>
      </c>
      <c r="AB115">
        <v>31.109281862232205</v>
      </c>
      <c r="AE115">
        <v>6.6594845780482395</v>
      </c>
      <c r="AF115">
        <v>13.356358362530997</v>
      </c>
      <c r="AG115">
        <v>16.715804767896707</v>
      </c>
      <c r="AI115">
        <v>2.0445142728652783</v>
      </c>
      <c r="AK115">
        <v>40.427709820700947</v>
      </c>
    </row>
    <row r="116" spans="1:37" x14ac:dyDescent="0.2">
      <c r="A116">
        <v>115</v>
      </c>
      <c r="B116">
        <v>788</v>
      </c>
      <c r="C116">
        <v>125</v>
      </c>
      <c r="D116">
        <v>0.48055458700466802</v>
      </c>
      <c r="E116">
        <v>116.65837154444532</v>
      </c>
      <c r="F116">
        <v>67.821734796221563</v>
      </c>
      <c r="G116">
        <v>73.585786087363459</v>
      </c>
      <c r="H116">
        <v>69.061639615871911</v>
      </c>
      <c r="J116">
        <v>75.089340156829437</v>
      </c>
      <c r="L116">
        <v>8.7406703803348353</v>
      </c>
      <c r="M116">
        <v>15.162117130563944</v>
      </c>
      <c r="N116">
        <v>2.0998885933701672</v>
      </c>
      <c r="O116">
        <v>41.971536800813276</v>
      </c>
      <c r="P116">
        <v>13.446730585869526</v>
      </c>
      <c r="Q116">
        <v>1.8686392349919416E-2</v>
      </c>
      <c r="R116">
        <v>21.8493283189122</v>
      </c>
      <c r="S116">
        <v>57.130826369697061</v>
      </c>
      <c r="U116">
        <v>3.4869826101329564</v>
      </c>
      <c r="V116">
        <v>47.865074012060973</v>
      </c>
      <c r="W116">
        <v>31.581352682711778</v>
      </c>
      <c r="X116">
        <v>42.83540880536502</v>
      </c>
      <c r="Y116">
        <v>10.072244942403097</v>
      </c>
      <c r="Z116">
        <v>36.059838542489906</v>
      </c>
      <c r="AA116">
        <v>8.0543106579365418</v>
      </c>
      <c r="AB116">
        <v>40.635293408072386</v>
      </c>
      <c r="AC116">
        <v>0.13404499981152121</v>
      </c>
      <c r="AD116">
        <v>10.588407784015349</v>
      </c>
      <c r="AE116">
        <v>16.05152131176472</v>
      </c>
      <c r="AF116">
        <v>14.917971757159792</v>
      </c>
      <c r="AG116">
        <v>26.792556637333725</v>
      </c>
      <c r="AH116">
        <v>8.2672376716446401</v>
      </c>
      <c r="AI116">
        <v>2.037789399452929</v>
      </c>
      <c r="AK116">
        <v>59.578930092653302</v>
      </c>
    </row>
    <row r="117" spans="1:37" x14ac:dyDescent="0.2">
      <c r="A117">
        <v>116</v>
      </c>
      <c r="B117">
        <v>787</v>
      </c>
      <c r="C117">
        <v>125</v>
      </c>
      <c r="D117">
        <v>0.479998585105882</v>
      </c>
      <c r="E117">
        <v>116.55566037567336</v>
      </c>
      <c r="F117">
        <v>67.437686131790699</v>
      </c>
      <c r="G117">
        <v>73.517879628192958</v>
      </c>
      <c r="H117">
        <v>68.990883548647957</v>
      </c>
      <c r="J117">
        <v>75.028752268162862</v>
      </c>
      <c r="L117">
        <v>8.6376985998032207</v>
      </c>
      <c r="M117">
        <v>15.15653585927689</v>
      </c>
      <c r="N117">
        <v>2.0873030107822932</v>
      </c>
      <c r="O117">
        <v>41.476591439548855</v>
      </c>
      <c r="P117">
        <v>13.31953438444007</v>
      </c>
      <c r="R117">
        <v>21.683180685522618</v>
      </c>
      <c r="S117">
        <v>56.935275578561608</v>
      </c>
      <c r="U117">
        <v>3.4589719495271152</v>
      </c>
      <c r="V117">
        <v>47.865313783583169</v>
      </c>
      <c r="W117">
        <v>31.450272211930237</v>
      </c>
      <c r="X117">
        <v>42.806806263970095</v>
      </c>
      <c r="Y117">
        <v>9.9628112801021249</v>
      </c>
      <c r="Z117">
        <v>35.846758045869137</v>
      </c>
      <c r="AA117">
        <v>7.9467676765866777</v>
      </c>
      <c r="AB117">
        <v>40.580332676891771</v>
      </c>
      <c r="AC117">
        <v>0.11946801785886876</v>
      </c>
      <c r="AD117">
        <v>10.473215464944834</v>
      </c>
      <c r="AE117">
        <v>15.958263620375654</v>
      </c>
      <c r="AF117">
        <v>14.896684481148597</v>
      </c>
      <c r="AG117">
        <v>26.708167173783082</v>
      </c>
      <c r="AH117">
        <v>8.1223595650060307</v>
      </c>
      <c r="AI117">
        <v>2.0249483266592225</v>
      </c>
      <c r="AK117">
        <v>59.552278199543288</v>
      </c>
    </row>
    <row r="118" spans="1:37" x14ac:dyDescent="0.2">
      <c r="A118">
        <v>117</v>
      </c>
      <c r="B118">
        <v>786</v>
      </c>
      <c r="C118">
        <v>125</v>
      </c>
      <c r="D118">
        <v>0.47944153330501299</v>
      </c>
      <c r="E118">
        <v>116.45156113095689</v>
      </c>
      <c r="F118">
        <v>67.008937713880982</v>
      </c>
      <c r="G118">
        <v>73.441311941709358</v>
      </c>
      <c r="H118">
        <v>68.911478672842478</v>
      </c>
      <c r="J118">
        <v>74.974350945174265</v>
      </c>
      <c r="L118">
        <v>8.5170916907189316</v>
      </c>
      <c r="M118">
        <v>15.174630233247413</v>
      </c>
      <c r="N118">
        <v>2.0708954795436609</v>
      </c>
      <c r="O118">
        <v>40.905831061639773</v>
      </c>
      <c r="P118">
        <v>13.171200834568742</v>
      </c>
      <c r="R118">
        <v>21.520837780733395</v>
      </c>
      <c r="S118">
        <v>56.824706311388034</v>
      </c>
      <c r="U118">
        <v>3.4498079138222311</v>
      </c>
      <c r="V118">
        <v>47.906797919646763</v>
      </c>
      <c r="W118">
        <v>31.341468392579745</v>
      </c>
      <c r="X118">
        <v>42.840237867408511</v>
      </c>
      <c r="Y118">
        <v>9.8339772836048791</v>
      </c>
      <c r="Z118">
        <v>35.608297232318009</v>
      </c>
      <c r="AA118">
        <v>7.8206358721312137</v>
      </c>
      <c r="AB118">
        <v>40.559388232613045</v>
      </c>
      <c r="AC118">
        <v>0.10106924355699681</v>
      </c>
      <c r="AD118">
        <v>10.343228347101533</v>
      </c>
      <c r="AE118">
        <v>15.856703927561174</v>
      </c>
      <c r="AF118">
        <v>14.895251066874001</v>
      </c>
      <c r="AG118">
        <v>26.653974394911685</v>
      </c>
      <c r="AH118">
        <v>7.95450121123576</v>
      </c>
      <c r="AI118">
        <v>2.0082845311093283</v>
      </c>
      <c r="AK118">
        <v>59.515606777347678</v>
      </c>
    </row>
    <row r="119" spans="1:37" x14ac:dyDescent="0.2">
      <c r="A119">
        <v>118</v>
      </c>
      <c r="B119">
        <v>785</v>
      </c>
      <c r="C119">
        <v>125</v>
      </c>
      <c r="D119">
        <v>0.47888342862543298</v>
      </c>
      <c r="E119">
        <v>116.34791938082388</v>
      </c>
      <c r="F119">
        <v>66.58127341161385</v>
      </c>
      <c r="G119">
        <v>73.3647787178502</v>
      </c>
      <c r="H119">
        <v>68.832120698029982</v>
      </c>
      <c r="J119">
        <v>74.919019085288966</v>
      </c>
      <c r="L119">
        <v>8.3961865234083533</v>
      </c>
      <c r="M119">
        <v>15.192909505332935</v>
      </c>
      <c r="N119">
        <v>2.0544559005435405</v>
      </c>
      <c r="O119">
        <v>40.335257659968434</v>
      </c>
      <c r="P119">
        <v>13.022911237900777</v>
      </c>
      <c r="R119">
        <v>21.357493437611328</v>
      </c>
      <c r="S119">
        <v>56.710090102957111</v>
      </c>
      <c r="U119">
        <v>3.4410711617442051</v>
      </c>
      <c r="V119">
        <v>47.946703523864329</v>
      </c>
      <c r="W119">
        <v>31.2333990301325</v>
      </c>
      <c r="X119">
        <v>42.875165983740175</v>
      </c>
      <c r="Y119">
        <v>9.7051335102190759</v>
      </c>
      <c r="Z119">
        <v>35.370071815340332</v>
      </c>
      <c r="AA119">
        <v>7.694425659856905</v>
      </c>
      <c r="AB119">
        <v>40.536182464701191</v>
      </c>
      <c r="AC119">
        <v>8.2638577360015994E-2</v>
      </c>
      <c r="AD119">
        <v>10.213173450809109</v>
      </c>
      <c r="AE119">
        <v>15.755268061582697</v>
      </c>
      <c r="AF119">
        <v>14.89397067331242</v>
      </c>
      <c r="AG119">
        <v>26.597490596454374</v>
      </c>
      <c r="AH119">
        <v>7.7865581678709432</v>
      </c>
      <c r="AI119">
        <v>1.9915879118693374</v>
      </c>
      <c r="AK119">
        <v>59.479072161003998</v>
      </c>
    </row>
    <row r="120" spans="1:37" x14ac:dyDescent="0.2">
      <c r="A120">
        <v>119</v>
      </c>
      <c r="B120">
        <v>784</v>
      </c>
      <c r="C120">
        <v>125</v>
      </c>
      <c r="D120">
        <v>0.47832426807926898</v>
      </c>
      <c r="E120">
        <v>116.244736497373</v>
      </c>
      <c r="F120">
        <v>66.154724898565988</v>
      </c>
      <c r="G120">
        <v>73.288289710868497</v>
      </c>
      <c r="H120">
        <v>68.752819398137618</v>
      </c>
      <c r="J120">
        <v>74.862757315360014</v>
      </c>
      <c r="L120">
        <v>8.2750082967338976</v>
      </c>
      <c r="M120">
        <v>15.211359773535161</v>
      </c>
      <c r="N120">
        <v>2.0379859233613149</v>
      </c>
      <c r="O120">
        <v>39.764932056897571</v>
      </c>
      <c r="P120">
        <v>12.874686773458908</v>
      </c>
      <c r="R120">
        <v>21.193188427253407</v>
      </c>
      <c r="S120">
        <v>56.591398798936019</v>
      </c>
      <c r="U120">
        <v>3.4327466045195725</v>
      </c>
      <c r="V120">
        <v>47.985025350435961</v>
      </c>
      <c r="W120">
        <v>31.126058941586688</v>
      </c>
      <c r="X120">
        <v>42.91154508304637</v>
      </c>
      <c r="Y120">
        <v>9.5762989868280286</v>
      </c>
      <c r="Z120">
        <v>35.132089684105132</v>
      </c>
      <c r="AA120">
        <v>7.5681545825896759</v>
      </c>
      <c r="AB120">
        <v>40.510695089792662</v>
      </c>
      <c r="AC120">
        <v>6.4177668412264799E-2</v>
      </c>
      <c r="AD120">
        <v>10.083060252784916</v>
      </c>
      <c r="AE120">
        <v>15.653952361599659</v>
      </c>
      <c r="AF120">
        <v>14.892831053290502</v>
      </c>
      <c r="AG120">
        <v>26.538697150026003</v>
      </c>
      <c r="AH120">
        <v>7.6185580419483889</v>
      </c>
      <c r="AI120">
        <v>1.9748601166937059</v>
      </c>
      <c r="AK120">
        <v>59.442680367991379</v>
      </c>
    </row>
    <row r="121" spans="1:37" x14ac:dyDescent="0.2">
      <c r="A121">
        <v>120</v>
      </c>
      <c r="B121">
        <v>783</v>
      </c>
      <c r="C121">
        <v>125</v>
      </c>
      <c r="D121">
        <v>0.47776404866733202</v>
      </c>
      <c r="E121">
        <v>116.14201352281056</v>
      </c>
      <c r="F121">
        <v>65.729322625417225</v>
      </c>
      <c r="G121">
        <v>73.211854533811803</v>
      </c>
      <c r="H121">
        <v>68.673584405924899</v>
      </c>
      <c r="J121">
        <v>74.805568301188416</v>
      </c>
      <c r="L121">
        <v>8.1535818771156414</v>
      </c>
      <c r="M121">
        <v>15.229967033198914</v>
      </c>
      <c r="N121">
        <v>2.0214872019904861</v>
      </c>
      <c r="O121">
        <v>39.194914249480433</v>
      </c>
      <c r="P121">
        <v>12.726548342325454</v>
      </c>
      <c r="R121">
        <v>21.027963539531687</v>
      </c>
      <c r="S121">
        <v>56.468612578180952</v>
      </c>
      <c r="U121">
        <v>3.4248189055704268</v>
      </c>
      <c r="V121">
        <v>48.02176079396844</v>
      </c>
      <c r="W121">
        <v>31.019442455533532</v>
      </c>
      <c r="X121">
        <v>42.949328901881621</v>
      </c>
      <c r="Y121">
        <v>9.4474925101278373</v>
      </c>
      <c r="Z121">
        <v>34.894358255185708</v>
      </c>
      <c r="AA121">
        <v>7.4419087367008032</v>
      </c>
      <c r="AB121">
        <v>40.48291022826249</v>
      </c>
      <c r="AC121">
        <v>4.5688170271270041E-2</v>
      </c>
      <c r="AD121">
        <v>9.9528979321233955</v>
      </c>
      <c r="AE121">
        <v>15.552753018344402</v>
      </c>
      <c r="AF121">
        <v>14.891819861400624</v>
      </c>
      <c r="AG121">
        <v>26.477579835410719</v>
      </c>
      <c r="AH121">
        <v>7.4505280695877634</v>
      </c>
      <c r="AI121">
        <v>1.9581027977514742</v>
      </c>
      <c r="AK121">
        <v>59.406437257410076</v>
      </c>
    </row>
    <row r="122" spans="1:37" x14ac:dyDescent="0.2">
      <c r="A122">
        <v>121</v>
      </c>
      <c r="B122">
        <v>782</v>
      </c>
      <c r="C122">
        <v>125</v>
      </c>
      <c r="D122">
        <v>0.47720276737904699</v>
      </c>
      <c r="E122">
        <v>116.03975117982532</v>
      </c>
      <c r="F122">
        <v>65.30509574186425</v>
      </c>
      <c r="G122">
        <v>73.135482631097332</v>
      </c>
      <c r="H122">
        <v>68.594425185556773</v>
      </c>
      <c r="J122">
        <v>74.747456624382934</v>
      </c>
      <c r="L122">
        <v>8.0319317358147959</v>
      </c>
      <c r="M122">
        <v>15.248717221137014</v>
      </c>
      <c r="N122">
        <v>2.0049613861180049</v>
      </c>
      <c r="O122">
        <v>38.625263214323425</v>
      </c>
      <c r="P122">
        <v>12.578516504072327</v>
      </c>
      <c r="R122">
        <v>20.861859423381642</v>
      </c>
      <c r="S122">
        <v>56.341719605862664</v>
      </c>
      <c r="U122">
        <v>3.4172725402240314</v>
      </c>
      <c r="V122">
        <v>48.056909749516294</v>
      </c>
      <c r="W122">
        <v>30.913543465513726</v>
      </c>
      <c r="X122">
        <v>42.988470618683927</v>
      </c>
      <c r="Y122">
        <v>9.3187325892173121</v>
      </c>
      <c r="Z122">
        <v>34.656884435747742</v>
      </c>
      <c r="AA122">
        <v>7.3155630586959308</v>
      </c>
      <c r="AB122">
        <v>40.452816235277638</v>
      </c>
      <c r="AC122">
        <v>2.7171732188123056E-2</v>
      </c>
      <c r="AD122">
        <v>9.8226953397738868</v>
      </c>
      <c r="AE122">
        <v>15.45166607501579</v>
      </c>
      <c r="AF122">
        <v>14.890924689409772</v>
      </c>
      <c r="AG122">
        <v>26.414128662895433</v>
      </c>
      <c r="AH122">
        <v>7.2824950677255149</v>
      </c>
      <c r="AI122">
        <v>1.9413176029033863</v>
      </c>
      <c r="AK122">
        <v>59.370348504482827</v>
      </c>
    </row>
    <row r="123" spans="1:37" x14ac:dyDescent="0.2">
      <c r="A123">
        <v>122</v>
      </c>
      <c r="B123">
        <v>781</v>
      </c>
      <c r="C123">
        <v>125</v>
      </c>
      <c r="D123">
        <v>0.476640421192431</v>
      </c>
      <c r="E123">
        <v>115.93794988334811</v>
      </c>
      <c r="F123">
        <v>64.882072034228315</v>
      </c>
      <c r="G123">
        <v>73.059183254436249</v>
      </c>
      <c r="H123">
        <v>68.515351008532235</v>
      </c>
      <c r="J123">
        <v>74.688428654426644</v>
      </c>
      <c r="L123">
        <v>7.9100818933239792</v>
      </c>
      <c r="M123">
        <v>15.267596255685547</v>
      </c>
      <c r="N123">
        <v>1.9884101132118688</v>
      </c>
      <c r="O123">
        <v>38.056036735928814</v>
      </c>
      <c r="P123">
        <v>12.430611420699618</v>
      </c>
      <c r="R123">
        <v>20.694916438297678</v>
      </c>
      <c r="S123">
        <v>56.21071565147475</v>
      </c>
      <c r="U123">
        <v>3.4100918513236773</v>
      </c>
      <c r="V123">
        <v>48.090474463557243</v>
      </c>
      <c r="W123">
        <v>30.80835548153728</v>
      </c>
      <c r="X123">
        <v>43.028923029056131</v>
      </c>
      <c r="Y123">
        <v>9.1900373949013048</v>
      </c>
      <c r="Z123">
        <v>34.419674593435538</v>
      </c>
      <c r="AA123">
        <v>7.1892084025197835</v>
      </c>
      <c r="AB123">
        <v>40.420405513044976</v>
      </c>
      <c r="AC123">
        <v>8.6299911949629469E-3</v>
      </c>
      <c r="AD123">
        <v>9.6924609725040973</v>
      </c>
      <c r="AE123">
        <v>15.350687429413549</v>
      </c>
      <c r="AF123">
        <v>14.890133098400645</v>
      </c>
      <c r="AG123">
        <v>26.34833767760384</v>
      </c>
      <c r="AH123">
        <v>7.1144853601052978</v>
      </c>
      <c r="AI123">
        <v>1.9245061677916986</v>
      </c>
      <c r="AK123">
        <v>59.334419578594215</v>
      </c>
    </row>
    <row r="124" spans="1:37" x14ac:dyDescent="0.2">
      <c r="A124">
        <v>123</v>
      </c>
      <c r="B124">
        <v>780</v>
      </c>
      <c r="C124">
        <v>125</v>
      </c>
      <c r="D124">
        <v>0.47607700707401701</v>
      </c>
      <c r="E124">
        <v>115.77866759638235</v>
      </c>
      <c r="F124">
        <v>64.146476167522792</v>
      </c>
      <c r="G124">
        <v>72.930609656610784</v>
      </c>
      <c r="H124">
        <v>68.384015147456694</v>
      </c>
      <c r="J124">
        <v>74.532533042943228</v>
      </c>
      <c r="L124">
        <v>7.7056238227215657</v>
      </c>
      <c r="M124">
        <v>15.286237424784449</v>
      </c>
      <c r="N124">
        <v>1.9815352944507287</v>
      </c>
      <c r="O124">
        <v>37.187108906196627</v>
      </c>
      <c r="P124">
        <v>12.187841530115817</v>
      </c>
      <c r="R124">
        <v>20.417975003954648</v>
      </c>
      <c r="S124">
        <v>55.946957609320002</v>
      </c>
      <c r="U124">
        <v>3.3968424591186475</v>
      </c>
      <c r="V124">
        <v>48.120552554915029</v>
      </c>
      <c r="W124">
        <v>30.640734117469854</v>
      </c>
      <c r="X124">
        <v>43.042893272675144</v>
      </c>
      <c r="Y124">
        <v>8.9645841840914784</v>
      </c>
      <c r="Z124">
        <v>34.013002259395357</v>
      </c>
      <c r="AA124">
        <v>6.9783951932693746</v>
      </c>
      <c r="AB124">
        <v>40.352283610422226</v>
      </c>
      <c r="AD124">
        <v>9.4564722384029665</v>
      </c>
      <c r="AE124">
        <v>15.189562211146578</v>
      </c>
      <c r="AF124">
        <v>14.898780292783378</v>
      </c>
      <c r="AG124">
        <v>26.25651434503661</v>
      </c>
      <c r="AH124">
        <v>6.7948323956802712</v>
      </c>
      <c r="AI124">
        <v>1.9173704017679232</v>
      </c>
      <c r="AK124">
        <v>59.225730898276964</v>
      </c>
    </row>
    <row r="125" spans="1:37" x14ac:dyDescent="0.2">
      <c r="A125">
        <v>124</v>
      </c>
      <c r="B125">
        <v>779</v>
      </c>
      <c r="C125">
        <v>125</v>
      </c>
      <c r="D125">
        <v>0.475512521978807</v>
      </c>
      <c r="E125">
        <v>115.56387288241987</v>
      </c>
      <c r="F125">
        <v>63.098312664696429</v>
      </c>
      <c r="G125">
        <v>72.749401183548301</v>
      </c>
      <c r="H125">
        <v>68.200056968117977</v>
      </c>
      <c r="J125">
        <v>74.270846902859333</v>
      </c>
      <c r="L125">
        <v>7.4162035489505431</v>
      </c>
      <c r="M125">
        <v>15.306235122864011</v>
      </c>
      <c r="N125">
        <v>1.983517781436464</v>
      </c>
      <c r="O125">
        <v>36.012311674522877</v>
      </c>
      <c r="P125">
        <v>11.848666397000224</v>
      </c>
      <c r="R125">
        <v>20.025058919345895</v>
      </c>
      <c r="S125">
        <v>55.525622249710928</v>
      </c>
      <c r="U125">
        <v>3.3806832734874872</v>
      </c>
      <c r="V125">
        <v>48.13925867402866</v>
      </c>
      <c r="W125">
        <v>30.417638981644345</v>
      </c>
      <c r="X125">
        <v>43.040408654764967</v>
      </c>
      <c r="Y125">
        <v>8.6411139461939612</v>
      </c>
      <c r="Z125">
        <v>33.434402172595092</v>
      </c>
      <c r="AA125">
        <v>6.6813151614825186</v>
      </c>
      <c r="AB125">
        <v>40.234106543456271</v>
      </c>
      <c r="AD125">
        <v>9.1131840230286372</v>
      </c>
      <c r="AE125">
        <v>14.967078046414652</v>
      </c>
      <c r="AF125">
        <v>14.917641523892971</v>
      </c>
      <c r="AG125">
        <v>26.123495538328566</v>
      </c>
      <c r="AH125">
        <v>6.3220474608375437</v>
      </c>
      <c r="AI125">
        <v>1.919091154605753</v>
      </c>
      <c r="AK125">
        <v>59.042711181869791</v>
      </c>
    </row>
    <row r="126" spans="1:37" x14ac:dyDescent="0.2">
      <c r="A126">
        <v>125</v>
      </c>
      <c r="B126">
        <v>778</v>
      </c>
      <c r="C126">
        <v>125</v>
      </c>
      <c r="D126">
        <v>0.47494696285021398</v>
      </c>
      <c r="E126">
        <v>115.34415593859184</v>
      </c>
      <c r="F126">
        <v>62.004340645843833</v>
      </c>
      <c r="G126">
        <v>72.560076937374703</v>
      </c>
      <c r="H126">
        <v>68.0079955925425</v>
      </c>
      <c r="J126">
        <v>73.978843128029496</v>
      </c>
      <c r="L126">
        <v>7.1105379364442376</v>
      </c>
      <c r="M126">
        <v>15.328506980300755</v>
      </c>
      <c r="N126">
        <v>1.9854993359345399</v>
      </c>
      <c r="O126">
        <v>34.783556644999287</v>
      </c>
      <c r="P126">
        <v>11.493266008653027</v>
      </c>
      <c r="R126">
        <v>19.605769070638082</v>
      </c>
      <c r="S126">
        <v>55.04013066851229</v>
      </c>
      <c r="U126">
        <v>3.3687316565167076</v>
      </c>
      <c r="V126">
        <v>48.143281450028454</v>
      </c>
      <c r="W126">
        <v>30.197408911689582</v>
      </c>
      <c r="X126">
        <v>43.050495101713715</v>
      </c>
      <c r="Y126">
        <v>8.3015094453716767</v>
      </c>
      <c r="Z126">
        <v>32.825791247214973</v>
      </c>
      <c r="AA126">
        <v>6.368672635669558</v>
      </c>
      <c r="AB126">
        <v>40.084508052104681</v>
      </c>
      <c r="AD126">
        <v>8.7512934442169037</v>
      </c>
      <c r="AE126">
        <v>14.732972802257983</v>
      </c>
      <c r="AF126">
        <v>14.938776189186589</v>
      </c>
      <c r="AG126">
        <v>25.959056764702105</v>
      </c>
      <c r="AH126">
        <v>5.8247327947698526</v>
      </c>
      <c r="AI126">
        <v>1.9208101862428166</v>
      </c>
      <c r="AK126">
        <v>58.846042608019033</v>
      </c>
    </row>
    <row r="127" spans="1:37" x14ac:dyDescent="0.2">
      <c r="A127">
        <v>126</v>
      </c>
      <c r="B127">
        <v>777</v>
      </c>
      <c r="C127">
        <v>125</v>
      </c>
      <c r="D127">
        <v>0.47438032662001101</v>
      </c>
      <c r="E127">
        <v>115.11672686289906</v>
      </c>
      <c r="F127">
        <v>60.841783908643244</v>
      </c>
      <c r="G127">
        <v>72.359107096098299</v>
      </c>
      <c r="H127">
        <v>67.804301218674922</v>
      </c>
      <c r="J127">
        <v>73.643146861384977</v>
      </c>
      <c r="L127">
        <v>6.7816876360943823</v>
      </c>
      <c r="M127">
        <v>15.353156393161383</v>
      </c>
      <c r="N127">
        <v>1.9874797235863622</v>
      </c>
      <c r="O127">
        <v>33.476538587244484</v>
      </c>
      <c r="P127">
        <v>11.114580508072464</v>
      </c>
      <c r="R127">
        <v>19.149385733898374</v>
      </c>
      <c r="S127">
        <v>54.465583206543037</v>
      </c>
      <c r="U127">
        <v>3.3617721624596251</v>
      </c>
      <c r="V127">
        <v>48.127731087141271</v>
      </c>
      <c r="W127">
        <v>29.980331965197511</v>
      </c>
      <c r="X127">
        <v>43.07544596114861</v>
      </c>
      <c r="Y127">
        <v>7.9386943739190761</v>
      </c>
      <c r="Z127">
        <v>32.17162171940867</v>
      </c>
      <c r="AA127">
        <v>6.0337040064110772</v>
      </c>
      <c r="AB127">
        <v>39.890953330588829</v>
      </c>
      <c r="AD127">
        <v>8.3617187635477812</v>
      </c>
      <c r="AE127">
        <v>14.480639986061492</v>
      </c>
      <c r="AF127">
        <v>14.96228745569822</v>
      </c>
      <c r="AG127">
        <v>25.750662989538423</v>
      </c>
      <c r="AH127">
        <v>5.2921569751063462</v>
      </c>
      <c r="AI127">
        <v>1.9225272604917514</v>
      </c>
      <c r="AK127">
        <v>58.628784845049559</v>
      </c>
    </row>
    <row r="128" spans="1:37" x14ac:dyDescent="0.2">
      <c r="A128">
        <v>127</v>
      </c>
      <c r="B128">
        <v>776</v>
      </c>
      <c r="C128">
        <v>125</v>
      </c>
      <c r="D128">
        <v>0.47381261020826598</v>
      </c>
      <c r="E128">
        <v>114.87593849127848</v>
      </c>
      <c r="F128">
        <v>59.564687474933628</v>
      </c>
      <c r="G128">
        <v>72.139429542031564</v>
      </c>
      <c r="H128">
        <v>67.581911748803648</v>
      </c>
      <c r="J128">
        <v>73.236961784758208</v>
      </c>
      <c r="L128">
        <v>6.4160191269275382</v>
      </c>
      <c r="M128">
        <v>15.38013450269505</v>
      </c>
      <c r="N128">
        <v>1.9894585039593566</v>
      </c>
      <c r="O128">
        <v>32.04255133562976</v>
      </c>
      <c r="P128">
        <v>10.69848524084906</v>
      </c>
      <c r="R128">
        <v>18.634075135348425</v>
      </c>
      <c r="S128">
        <v>53.752669679370811</v>
      </c>
      <c r="U128">
        <v>3.3611853477352032</v>
      </c>
      <c r="V128">
        <v>48.082903587647145</v>
      </c>
      <c r="W128">
        <v>29.76689709822891</v>
      </c>
      <c r="X128">
        <v>43.119264157895124</v>
      </c>
      <c r="Y128">
        <v>7.5385032769951223</v>
      </c>
      <c r="Z128">
        <v>31.440355217729582</v>
      </c>
      <c r="AA128">
        <v>5.6627620500735354</v>
      </c>
      <c r="AB128">
        <v>39.628602460376051</v>
      </c>
      <c r="AD128">
        <v>7.9260764001423123</v>
      </c>
      <c r="AE128">
        <v>14.196606152649505</v>
      </c>
      <c r="AF128">
        <v>14.988126029584301</v>
      </c>
      <c r="AG128">
        <v>25.473473859405637</v>
      </c>
      <c r="AH128">
        <v>4.7027917824268073</v>
      </c>
      <c r="AI128">
        <v>1.9242419350901674</v>
      </c>
      <c r="AK128">
        <v>58.376862709141399</v>
      </c>
    </row>
    <row r="129" spans="1:37" x14ac:dyDescent="0.2">
      <c r="A129">
        <v>128</v>
      </c>
      <c r="B129">
        <v>775</v>
      </c>
      <c r="C129">
        <v>125</v>
      </c>
      <c r="D129">
        <v>0.473243810523307</v>
      </c>
      <c r="E129">
        <v>114.60730859802236</v>
      </c>
      <c r="F129">
        <v>58.055712966878374</v>
      </c>
      <c r="G129">
        <v>71.883231031937598</v>
      </c>
      <c r="H129">
        <v>67.323013959703573</v>
      </c>
      <c r="J129">
        <v>72.692130633329612</v>
      </c>
      <c r="L129">
        <v>5.9784690904776978</v>
      </c>
      <c r="M129">
        <v>15.408491297399499</v>
      </c>
      <c r="N129">
        <v>1.9914346400992946</v>
      </c>
      <c r="O129">
        <v>30.35838114744854</v>
      </c>
      <c r="P129">
        <v>10.209352705008698</v>
      </c>
      <c r="R129">
        <v>18.003723412182904</v>
      </c>
      <c r="S129">
        <v>52.777234996719088</v>
      </c>
      <c r="U129">
        <v>3.3698166834623713</v>
      </c>
      <c r="V129">
        <v>47.984275687829125</v>
      </c>
      <c r="W129">
        <v>29.558185049956368</v>
      </c>
      <c r="X129">
        <v>43.19008898725032</v>
      </c>
      <c r="Y129">
        <v>7.0651663744125308</v>
      </c>
      <c r="Z129">
        <v>30.550846255258307</v>
      </c>
      <c r="AA129">
        <v>5.2210436349135563</v>
      </c>
      <c r="AB129">
        <v>39.234786042761122</v>
      </c>
      <c r="AD129">
        <v>7.397210586680476</v>
      </c>
      <c r="AE129">
        <v>13.845939150041087</v>
      </c>
      <c r="AF129">
        <v>15.01534086774031</v>
      </c>
      <c r="AG129">
        <v>25.064818944196478</v>
      </c>
      <c r="AH129">
        <v>4.0021212693726724</v>
      </c>
      <c r="AI129">
        <v>1.9259531712539031</v>
      </c>
      <c r="AK129">
        <v>58.054084174932044</v>
      </c>
    </row>
    <row r="130" spans="1:37" x14ac:dyDescent="0.2">
      <c r="A130">
        <v>129</v>
      </c>
      <c r="B130">
        <v>774</v>
      </c>
      <c r="C130">
        <v>125</v>
      </c>
      <c r="D130">
        <v>0.47267392446163797</v>
      </c>
      <c r="E130">
        <v>114.03929578257599</v>
      </c>
      <c r="F130">
        <v>54.240358263917209</v>
      </c>
      <c r="G130">
        <v>71.294438195020987</v>
      </c>
      <c r="H130">
        <v>66.731534500632065</v>
      </c>
      <c r="J130">
        <v>70.958624326176107</v>
      </c>
      <c r="L130">
        <v>4.8890890146972303</v>
      </c>
      <c r="M130">
        <v>15.394218098574191</v>
      </c>
      <c r="N130">
        <v>1.9933954097503981</v>
      </c>
      <c r="O130">
        <v>26.340662217355987</v>
      </c>
      <c r="P130">
        <v>9.0550234582241806</v>
      </c>
      <c r="R130">
        <v>16.351039703277845</v>
      </c>
      <c r="S130">
        <v>49.945768032245859</v>
      </c>
      <c r="U130">
        <v>3.3908087924977579</v>
      </c>
      <c r="V130">
        <v>47.606369902471343</v>
      </c>
      <c r="W130">
        <v>29.373779701309445</v>
      </c>
      <c r="X130">
        <v>43.293064722391115</v>
      </c>
      <c r="Y130">
        <v>5.9205832761451589</v>
      </c>
      <c r="Z130">
        <v>28.049786006724148</v>
      </c>
      <c r="AA130">
        <v>4.1270781851614879</v>
      </c>
      <c r="AB130">
        <v>37.885424137140689</v>
      </c>
      <c r="AD130">
        <v>5.9413769093477811</v>
      </c>
      <c r="AE130">
        <v>12.785465186403369</v>
      </c>
      <c r="AF130">
        <v>14.999910574572599</v>
      </c>
      <c r="AG130">
        <v>23.700605586622171</v>
      </c>
      <c r="AH130">
        <v>2.2718699666277464</v>
      </c>
      <c r="AI130">
        <v>1.9276482448965495</v>
      </c>
      <c r="AK130">
        <v>57.020736201918758</v>
      </c>
    </row>
    <row r="131" spans="1:37" x14ac:dyDescent="0.2">
      <c r="A131">
        <v>130</v>
      </c>
      <c r="B131">
        <v>773</v>
      </c>
      <c r="C131">
        <v>125</v>
      </c>
      <c r="D131">
        <v>0.472102948907902</v>
      </c>
      <c r="E131">
        <v>113.33926049745901</v>
      </c>
      <c r="F131">
        <v>49.392594157601884</v>
      </c>
      <c r="G131">
        <v>70.562669860310166</v>
      </c>
      <c r="H131">
        <v>65.99709222070571</v>
      </c>
      <c r="J131">
        <v>68.718419472471155</v>
      </c>
      <c r="L131">
        <v>3.5150329170888215</v>
      </c>
      <c r="M131">
        <v>15.343718291793587</v>
      </c>
      <c r="N131">
        <v>1.9953509158030986</v>
      </c>
      <c r="O131">
        <v>21.304174757678744</v>
      </c>
      <c r="P131">
        <v>7.6147452830129527</v>
      </c>
      <c r="R131">
        <v>14.254518836570858</v>
      </c>
      <c r="S131">
        <v>46.445014256341906</v>
      </c>
      <c r="U131">
        <v>3.4051753381695677</v>
      </c>
      <c r="V131">
        <v>47.154970843957095</v>
      </c>
      <c r="W131">
        <v>29.20681651741836</v>
      </c>
      <c r="X131">
        <v>43.374463489390784</v>
      </c>
      <c r="Y131">
        <v>4.4849856229677769</v>
      </c>
      <c r="Z131">
        <v>24.783708234493112</v>
      </c>
      <c r="AA131">
        <v>2.7473668430975815</v>
      </c>
      <c r="AB131">
        <v>36.174209651929857</v>
      </c>
      <c r="AD131">
        <v>4.0421338370633704</v>
      </c>
      <c r="AE131">
        <v>11.385557426018295</v>
      </c>
      <c r="AF131">
        <v>14.948248643920264</v>
      </c>
      <c r="AG131">
        <v>21.974536803577362</v>
      </c>
      <c r="AH131">
        <v>7.8953732753288347E-2</v>
      </c>
      <c r="AI131">
        <v>1.9293372570773255</v>
      </c>
      <c r="AK131">
        <v>55.657026636580085</v>
      </c>
    </row>
    <row r="132" spans="1:37" x14ac:dyDescent="0.2">
      <c r="A132">
        <v>131</v>
      </c>
      <c r="B132">
        <v>772</v>
      </c>
      <c r="C132">
        <v>125</v>
      </c>
      <c r="D132">
        <v>0.47153088073482102</v>
      </c>
      <c r="E132">
        <v>113.87658607164808</v>
      </c>
      <c r="F132">
        <v>50.213688347577758</v>
      </c>
      <c r="G132">
        <v>70.961755620024405</v>
      </c>
      <c r="H132">
        <v>66.39351673227246</v>
      </c>
      <c r="J132">
        <v>60.129288374420661</v>
      </c>
      <c r="L132">
        <v>2.1356278340654207</v>
      </c>
      <c r="M132">
        <v>15.199903702986761</v>
      </c>
      <c r="N132">
        <v>1.9973674464982321</v>
      </c>
      <c r="O132">
        <v>13.035677702121873</v>
      </c>
      <c r="P132">
        <v>8.4362436736903241</v>
      </c>
      <c r="R132">
        <v>12.846455338087079</v>
      </c>
      <c r="S132">
        <v>40.948796937785936</v>
      </c>
      <c r="U132">
        <v>3.4782917721128217</v>
      </c>
      <c r="V132">
        <v>46.598756281419341</v>
      </c>
      <c r="W132">
        <v>28.901966403290039</v>
      </c>
      <c r="X132">
        <v>43.625190409463244</v>
      </c>
      <c r="Y132">
        <v>3.7782049197763792</v>
      </c>
      <c r="Z132">
        <v>22.567936575790128</v>
      </c>
      <c r="AA132">
        <v>1.0408026858159283</v>
      </c>
      <c r="AB132">
        <v>33.894047613332809</v>
      </c>
      <c r="AD132">
        <v>2.9323231362324798</v>
      </c>
      <c r="AE132">
        <v>9.7870955279662795</v>
      </c>
      <c r="AF132">
        <v>14.803333195342883</v>
      </c>
      <c r="AG132">
        <v>19.679583915106988</v>
      </c>
      <c r="AI132">
        <v>1.9310864942053885</v>
      </c>
      <c r="AK132">
        <v>50.184106517774147</v>
      </c>
    </row>
    <row r="133" spans="1:37" x14ac:dyDescent="0.2">
      <c r="A133">
        <v>132</v>
      </c>
      <c r="B133">
        <v>771</v>
      </c>
      <c r="C133">
        <v>125</v>
      </c>
      <c r="D133">
        <v>0.47095771680314102</v>
      </c>
      <c r="E133">
        <v>114.129544311762</v>
      </c>
      <c r="F133">
        <v>49.863395172857388</v>
      </c>
      <c r="G133">
        <v>71.083666123387289</v>
      </c>
      <c r="H133">
        <v>66.512778704722763</v>
      </c>
      <c r="J133">
        <v>53.747205441852365</v>
      </c>
      <c r="L133">
        <v>1.462356332639356</v>
      </c>
      <c r="M133">
        <v>14.964352303827281</v>
      </c>
      <c r="N133">
        <v>1.9993735715989986</v>
      </c>
      <c r="O133">
        <v>9.5347984528491398</v>
      </c>
      <c r="P133">
        <v>8.7033885201583274</v>
      </c>
      <c r="R133">
        <v>12.012108304232044</v>
      </c>
      <c r="S133">
        <v>38.599068118094849</v>
      </c>
      <c r="U133">
        <v>3.4992289849525275</v>
      </c>
      <c r="V133">
        <v>46.56374021683834</v>
      </c>
      <c r="W133">
        <v>28.547383268005674</v>
      </c>
      <c r="X133">
        <v>43.725863370405342</v>
      </c>
      <c r="Y133">
        <v>3.222955100594914</v>
      </c>
      <c r="Z133">
        <v>20.320303419281124</v>
      </c>
      <c r="AB133">
        <v>32.396496678803885</v>
      </c>
      <c r="AD133">
        <v>1.7575474290025674</v>
      </c>
      <c r="AE133">
        <v>8.4175211012552094</v>
      </c>
      <c r="AF133">
        <v>14.566670775675181</v>
      </c>
      <c r="AG133">
        <v>18.167234154053538</v>
      </c>
      <c r="AI133">
        <v>1.932824524211328</v>
      </c>
      <c r="AK133">
        <v>45.997943634744836</v>
      </c>
    </row>
    <row r="134" spans="1:37" x14ac:dyDescent="0.2">
      <c r="A134">
        <v>133</v>
      </c>
      <c r="B134">
        <v>770</v>
      </c>
      <c r="C134">
        <v>125</v>
      </c>
      <c r="D134">
        <v>0.47038345396155901</v>
      </c>
      <c r="E134">
        <v>114.39335982617564</v>
      </c>
      <c r="F134">
        <v>49.693708512854471</v>
      </c>
      <c r="G134">
        <v>71.18037233391567</v>
      </c>
      <c r="H134">
        <v>66.606849121778041</v>
      </c>
      <c r="J134">
        <v>48.184173067490136</v>
      </c>
      <c r="L134">
        <v>1.4823812478161635</v>
      </c>
      <c r="M134">
        <v>14.617611231085474</v>
      </c>
      <c r="N134">
        <v>2.0013797675620051</v>
      </c>
      <c r="O134">
        <v>9.3293199669652935</v>
      </c>
      <c r="P134">
        <v>8.9201322476593461</v>
      </c>
      <c r="R134">
        <v>11.806798848903913</v>
      </c>
      <c r="S134">
        <v>38.462121972805903</v>
      </c>
      <c r="U134">
        <v>3.5008979613392102</v>
      </c>
      <c r="V134">
        <v>46.894031046959746</v>
      </c>
      <c r="W134">
        <v>28.096389300792996</v>
      </c>
      <c r="X134">
        <v>43.77127832042833</v>
      </c>
      <c r="Y134">
        <v>3.0687257330880033</v>
      </c>
      <c r="Z134">
        <v>18.430751519670757</v>
      </c>
      <c r="AB134">
        <v>31.398288405713227</v>
      </c>
      <c r="AD134">
        <v>0.79005798933305715</v>
      </c>
      <c r="AE134">
        <v>7.2824449354043548</v>
      </c>
      <c r="AF134">
        <v>14.218819003555888</v>
      </c>
      <c r="AG134">
        <v>17.154229559883749</v>
      </c>
      <c r="AI134">
        <v>1.9345618217196066</v>
      </c>
      <c r="AK134">
        <v>42.269495889736454</v>
      </c>
    </row>
    <row r="135" spans="1:37" x14ac:dyDescent="0.2">
      <c r="A135">
        <v>134</v>
      </c>
      <c r="B135">
        <v>769</v>
      </c>
      <c r="C135">
        <v>125</v>
      </c>
      <c r="D135">
        <v>0.46980808904668597</v>
      </c>
      <c r="E135">
        <v>114.60527408743327</v>
      </c>
      <c r="F135">
        <v>49.774959751272981</v>
      </c>
      <c r="G135">
        <v>71.233848958459461</v>
      </c>
      <c r="H135">
        <v>66.657702710532362</v>
      </c>
      <c r="J135">
        <v>44.411405684913539</v>
      </c>
      <c r="L135">
        <v>1.4986775020288843</v>
      </c>
      <c r="M135">
        <v>14.260866534669745</v>
      </c>
      <c r="N135">
        <v>2.003383733987429</v>
      </c>
      <c r="O135">
        <v>9.176322064964328</v>
      </c>
      <c r="P135">
        <v>9.0504219913058677</v>
      </c>
      <c r="R135">
        <v>11.569970551758551</v>
      </c>
      <c r="S135">
        <v>38.548473981869897</v>
      </c>
      <c r="U135">
        <v>3.489041313269809</v>
      </c>
      <c r="V135">
        <v>47.306116591576505</v>
      </c>
      <c r="W135">
        <v>27.645355319973131</v>
      </c>
      <c r="X135">
        <v>43.77799597355142</v>
      </c>
      <c r="Y135">
        <v>2.8898354234385919</v>
      </c>
      <c r="Z135">
        <v>17.344988964156236</v>
      </c>
      <c r="AB135">
        <v>30.994985873903683</v>
      </c>
      <c r="AD135">
        <v>0.19997040620352771</v>
      </c>
      <c r="AE135">
        <v>6.6317959195184608</v>
      </c>
      <c r="AF135">
        <v>13.860961633920628</v>
      </c>
      <c r="AG135">
        <v>16.736130917697487</v>
      </c>
      <c r="AI135">
        <v>1.9362960844967447</v>
      </c>
      <c r="AK135">
        <v>39.69769566326228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274CC-7553-4057-BAA2-1848638D2D83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76.62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7.9000000000000001E-2</v>
      </c>
      <c r="D3" t="s">
        <v>23</v>
      </c>
      <c r="E3">
        <v>1</v>
      </c>
    </row>
    <row r="4" spans="1:8" x14ac:dyDescent="0.2">
      <c r="A4" t="s">
        <v>4</v>
      </c>
      <c r="B4">
        <v>12.48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0.62</v>
      </c>
      <c r="D7" t="s">
        <v>26</v>
      </c>
      <c r="E7">
        <v>25</v>
      </c>
    </row>
    <row r="8" spans="1:8" x14ac:dyDescent="0.2">
      <c r="A8" t="s">
        <v>8</v>
      </c>
      <c r="B8">
        <v>2.5999999999999999E-2</v>
      </c>
    </row>
    <row r="9" spans="1:8" x14ac:dyDescent="0.2">
      <c r="A9" t="s">
        <v>9</v>
      </c>
      <c r="B9">
        <v>0.06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0.53</v>
      </c>
    </row>
    <row r="13" spans="1:8" x14ac:dyDescent="0.2">
      <c r="A13" t="s">
        <v>13</v>
      </c>
      <c r="B13">
        <v>3.98</v>
      </c>
    </row>
    <row r="14" spans="1:8" x14ac:dyDescent="0.2">
      <c r="A14" t="s">
        <v>14</v>
      </c>
      <c r="B14">
        <v>4.46</v>
      </c>
    </row>
    <row r="15" spans="1:8" x14ac:dyDescent="0.2">
      <c r="A15" t="s">
        <v>15</v>
      </c>
      <c r="B15">
        <v>4.0000000000000001E-3</v>
      </c>
    </row>
    <row r="16" spans="1:8" x14ac:dyDescent="0.2">
      <c r="A16" t="s">
        <v>16</v>
      </c>
      <c r="B16">
        <v>10.87405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2025-06-12T06:38:28Z</dcterms:created>
  <dcterms:modified xsi:type="dcterms:W3CDTF">2025-06-12T06:39:47Z</dcterms:modified>
</cp:coreProperties>
</file>