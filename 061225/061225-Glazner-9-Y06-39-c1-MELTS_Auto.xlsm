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2C2F8384-5A48-4B42-85F5-71B2F8988DDC}" xr6:coauthVersionLast="47" xr6:coauthVersionMax="47" xr10:uidLastSave="{00000000-0000-0000-0000-000000000000}"/>
  <bookViews>
    <workbookView xWindow="28680" yWindow="4920" windowWidth="29040" windowHeight="15720" activeTab="1" xr2:uid="{DDE9F3AC-DF83-46C7-86F3-9673214F22EB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B1" i="17"/>
  <c r="C2" i="13"/>
  <c r="C4" i="13"/>
  <c r="C6" i="13"/>
  <c r="C8" i="13"/>
  <c r="C10" i="13"/>
  <c r="D4" i="13"/>
  <c r="D6" i="13"/>
  <c r="D8" i="13"/>
  <c r="D10" i="13"/>
  <c r="E2" i="13"/>
  <c r="E4" i="13"/>
  <c r="E8" i="13"/>
  <c r="E10" i="13"/>
  <c r="F2" i="13"/>
  <c r="F4" i="13"/>
  <c r="F6" i="13"/>
  <c r="G4" i="13"/>
  <c r="G6" i="13"/>
  <c r="G10" i="13"/>
  <c r="H6" i="13"/>
  <c r="H10" i="13"/>
  <c r="C7" i="13"/>
  <c r="D5" i="13"/>
  <c r="E7" i="13"/>
  <c r="F7" i="13"/>
  <c r="G7" i="13"/>
  <c r="H9" i="13"/>
  <c r="D2" i="13"/>
  <c r="F10" i="13"/>
  <c r="G8" i="13"/>
  <c r="H4" i="13"/>
  <c r="C5" i="13"/>
  <c r="C9" i="13"/>
  <c r="D7" i="13"/>
  <c r="E5" i="13"/>
  <c r="G5" i="13"/>
  <c r="H7" i="13"/>
  <c r="E6" i="13"/>
  <c r="F8" i="13"/>
  <c r="G2" i="13"/>
  <c r="H8" i="13"/>
  <c r="C3" i="13"/>
  <c r="D9" i="13"/>
  <c r="E9" i="13"/>
  <c r="F5" i="13"/>
  <c r="G9" i="13"/>
  <c r="H2" i="13"/>
  <c r="F9" i="13"/>
  <c r="H5" i="13"/>
  <c r="B10" i="13"/>
  <c r="B9" i="13"/>
  <c r="B8" i="13"/>
  <c r="B7" i="13"/>
  <c r="B6" i="13"/>
  <c r="B5" i="13"/>
  <c r="B4" i="13"/>
  <c r="B3" i="13"/>
  <c r="B2" i="13"/>
  <c r="H2" i="17" l="1"/>
  <c r="F2" i="17"/>
  <c r="E3" i="17"/>
  <c r="H4" i="17"/>
  <c r="D4" i="17"/>
  <c r="G2" i="17"/>
  <c r="G4" i="17"/>
  <c r="F4" i="17"/>
  <c r="E4" i="17"/>
  <c r="C4" i="17"/>
  <c r="H3" i="17"/>
  <c r="G3" i="17"/>
  <c r="F3" i="17"/>
  <c r="E2" i="17"/>
  <c r="D2" i="17"/>
  <c r="D3" i="17"/>
  <c r="C2" i="17"/>
  <c r="C3" i="17"/>
  <c r="B4" i="17"/>
  <c r="B3" i="17"/>
  <c r="B2" i="17"/>
  <c r="G6" i="17" l="1"/>
  <c r="G7" i="17"/>
  <c r="E7" i="17"/>
  <c r="E6" i="17"/>
  <c r="F7" i="17"/>
  <c r="F6" i="17"/>
  <c r="C6" i="17"/>
  <c r="C7" i="17"/>
  <c r="D6" i="17"/>
  <c r="D7" i="17"/>
  <c r="H7" i="17"/>
  <c r="H6" i="17"/>
  <c r="B6" i="17"/>
  <c r="B7" i="17"/>
  <c r="J7" i="17" l="1"/>
  <c r="J6" i="17"/>
  <c r="B13" i="17" s="1"/>
  <c r="K7" i="17"/>
  <c r="L7" i="17"/>
  <c r="K6" i="17"/>
  <c r="L6" i="17"/>
  <c r="N6" i="17" s="1" a="1"/>
  <c r="N7" i="17" a="1"/>
  <c r="O7" i="17" l="1"/>
  <c r="P7" i="17"/>
  <c r="N7" i="17"/>
  <c r="P6" i="17"/>
  <c r="O6" i="17"/>
  <c r="N6" i="17"/>
  <c r="B9" i="17"/>
  <c r="C9" i="17" l="1"/>
  <c r="D9" i="17"/>
  <c r="E9" i="17"/>
  <c r="G9" i="17"/>
  <c r="F9" i="17"/>
  <c r="H9" i="17"/>
  <c r="C14" i="17"/>
  <c r="E10" i="17"/>
  <c r="C10" i="17"/>
  <c r="D10" i="17"/>
  <c r="F10" i="17"/>
  <c r="G10" i="17"/>
  <c r="H10" i="17"/>
  <c r="B14" i="17"/>
  <c r="C13" i="17"/>
  <c r="B10" i="17"/>
</calcChain>
</file>

<file path=xl/sharedStrings.xml><?xml version="1.0" encoding="utf-8"?>
<sst xmlns="http://schemas.openxmlformats.org/spreadsheetml/2006/main" count="602" uniqueCount="150">
  <si>
    <t xml:space="preserve"> </t>
  </si>
  <si>
    <t>061225-Glazner-9-Y06-39-c1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</si>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</sst>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Phase_Data!$B$2:$H$2</c:f>
              <c:numCache>
                <c:formatCode>General</c:formatCode>
                <c:ptCount val="7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765</c:v>
                </c:pt>
                <c:pt idx="5">
                  <c:v>776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2B-413E-8536-661C4AF783FB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Phase_Data!$B$3:$H$3</c:f>
              <c:numCache>
                <c:formatCode>General</c:formatCode>
                <c:ptCount val="7"/>
                <c:pt idx="0">
                  <c:v>738</c:v>
                </c:pt>
                <c:pt idx="1">
                  <c:v>741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2B-413E-8536-661C4AF783FB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Phase_Data!$B$4:$H$4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771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2B-413E-8536-661C4AF783FB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Phase_Data!$B$5:$H$5</c:f>
              <c:numCache>
                <c:formatCode>General</c:formatCode>
                <c:ptCount val="7"/>
                <c:pt idx="0">
                  <c:v>739</c:v>
                </c:pt>
                <c:pt idx="1">
                  <c:v>742</c:v>
                </c:pt>
                <c:pt idx="2">
                  <c:v>746</c:v>
                </c:pt>
                <c:pt idx="3">
                  <c:v>751</c:v>
                </c:pt>
                <c:pt idx="4">
                  <c:v>756</c:v>
                </c:pt>
                <c:pt idx="5">
                  <c:v>762</c:v>
                </c:pt>
                <c:pt idx="6">
                  <c:v>770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2B-413E-8536-661C4AF783FB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Phase_Data!$B$6:$H$6</c:f>
              <c:numCache>
                <c:formatCode>General</c:formatCode>
                <c:ptCount val="7"/>
                <c:pt idx="0">
                  <c:v>741</c:v>
                </c:pt>
                <c:pt idx="1">
                  <c:v>744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2B-413E-8536-661C4AF783FB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Phase_Data!$B$7:$H$7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72B-413E-8536-661C4AF783FB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Phase_Data!$B$8:$H$8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762</c:v>
                </c:pt>
                <c:pt idx="5">
                  <c:v>768</c:v>
                </c:pt>
                <c:pt idx="6">
                  <c:v>777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72B-413E-8536-661C4AF783FB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Phase_Data!$B$9:$H$9</c:f>
              <c:numCache>
                <c:formatCode>General</c:formatCode>
                <c:ptCount val="7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765</c:v>
                </c:pt>
                <c:pt idx="5">
                  <c:v>776</c:v>
                </c:pt>
                <c:pt idx="6">
                  <c:v>788</c:v>
                </c:pt>
              </c:numCache>
            </c:numRef>
          </c:xVal>
          <c:yVal>
            <c:numRef>
              <c:f>Phase_Data!$B$1:$H$1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72B-413E-8536-661C4AF7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104496"/>
        <c:axId val="732099696"/>
      </c:scatterChart>
      <c:valAx>
        <c:axId val="732104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732099696"/>
        <c:crosses val="autoZero"/>
        <c:crossBetween val="midCat"/>
      </c:valAx>
      <c:valAx>
        <c:axId val="732099696"/>
        <c:scaling>
          <c:orientation val="minMax"/>
          <c:max val="275"/>
          <c:min val="12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732104496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762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8F-4AEE-98A2-00D4D132F4EF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744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8F-4AEE-98A2-00D4D132F4EF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P_Calc!$B$4:$H$4</c:f>
              <c:numCache>
                <c:formatCode>General</c:formatCode>
                <c:ptCount val="7"/>
                <c:pt idx="0">
                  <c:v>740</c:v>
                </c:pt>
                <c:pt idx="1">
                  <c:v>744</c:v>
                </c:pt>
                <c:pt idx="2">
                  <c:v>748</c:v>
                </c:pt>
                <c:pt idx="3">
                  <c:v>752</c:v>
                </c:pt>
                <c:pt idx="4">
                  <c:v>758</c:v>
                </c:pt>
                <c:pt idx="5">
                  <c:v>764</c:v>
                </c:pt>
                <c:pt idx="6">
                  <c:v>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8F-4AEE-98A2-00D4D132F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63520"/>
        <c:axId val="735407296"/>
      </c:scatterChart>
      <c:valAx>
        <c:axId val="1376635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735407296"/>
        <c:crosses val="autoZero"/>
        <c:crossBetween val="midCat"/>
      </c:valAx>
      <c:valAx>
        <c:axId val="7354072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76635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P_Calc!$B$2:$H$2</c:f>
              <c:numCache>
                <c:formatCode>General</c:formatCode>
                <c:ptCount val="7"/>
                <c:pt idx="0">
                  <c:v>757</c:v>
                </c:pt>
                <c:pt idx="1">
                  <c:v>757</c:v>
                </c:pt>
                <c:pt idx="2">
                  <c:v>758</c:v>
                </c:pt>
                <c:pt idx="3">
                  <c:v>759</c:v>
                </c:pt>
                <c:pt idx="4">
                  <c:v>762</c:v>
                </c:pt>
                <c:pt idx="5">
                  <c:v>768</c:v>
                </c:pt>
                <c:pt idx="6">
                  <c:v>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01-4621-9A69-B74F6D58615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P_Calc!$B$3:$H$3</c:f>
              <c:numCache>
                <c:formatCode>General</c:formatCode>
                <c:ptCount val="7"/>
                <c:pt idx="0">
                  <c:v>741</c:v>
                </c:pt>
                <c:pt idx="1">
                  <c:v>744</c:v>
                </c:pt>
                <c:pt idx="2">
                  <c:v>750</c:v>
                </c:pt>
                <c:pt idx="3">
                  <c:v>756</c:v>
                </c:pt>
                <c:pt idx="4">
                  <c:v>764</c:v>
                </c:pt>
                <c:pt idx="5">
                  <c:v>774</c:v>
                </c:pt>
                <c:pt idx="6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01-4621-9A69-B74F6D586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336240"/>
        <c:axId val="327331440"/>
      </c:scatterChart>
      <c:valAx>
        <c:axId val="3273362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27331440"/>
        <c:crosses val="autoZero"/>
        <c:crossBetween val="midCat"/>
      </c:valAx>
      <c:valAx>
        <c:axId val="32733144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273362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P_Calc!$B$6:$H$6</c:f>
              <c:numCache>
                <c:formatCode>General</c:formatCode>
                <c:ptCount val="7"/>
                <c:pt idx="0">
                  <c:v>17</c:v>
                </c:pt>
                <c:pt idx="1">
                  <c:v>13</c:v>
                </c:pt>
                <c:pt idx="2">
                  <c:v>10</c:v>
                </c:pt>
                <c:pt idx="3">
                  <c:v>7</c:v>
                </c:pt>
                <c:pt idx="4">
                  <c:v>6</c:v>
                </c:pt>
                <c:pt idx="5">
                  <c:v>10</c:v>
                </c:pt>
                <c:pt idx="6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06-4517-8614-843D36BEDB3E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P_Calc!$B$9:$H$9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06-4517-8614-843D36BEDB3E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06-4517-8614-843D36BED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329040"/>
        <c:axId val="327327600"/>
      </c:scatterChart>
      <c:valAx>
        <c:axId val="32732904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27327600"/>
        <c:crosses val="autoZero"/>
        <c:crossBetween val="midCat"/>
      </c:valAx>
      <c:valAx>
        <c:axId val="32732760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2732904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P_Calc!$B$7:$H$7</c:f>
              <c:numCache>
                <c:formatCode>General</c:formatCode>
                <c:ptCount val="7"/>
                <c:pt idx="0">
                  <c:v>16</c:v>
                </c:pt>
                <c:pt idx="1">
                  <c:v>13</c:v>
                </c:pt>
                <c:pt idx="2">
                  <c:v>8</c:v>
                </c:pt>
                <c:pt idx="3">
                  <c:v>3</c:v>
                </c:pt>
                <c:pt idx="4">
                  <c:v>2</c:v>
                </c:pt>
                <c:pt idx="5">
                  <c:v>6</c:v>
                </c:pt>
                <c:pt idx="6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E6-48E1-8F72-83AE39C7A8D4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P_Calc!$B$1:$H$1</c:f>
              <c:numCache>
                <c:formatCode>General</c:formatCode>
                <c:ptCount val="7"/>
                <c:pt idx="0">
                  <c:v>275</c:v>
                </c:pt>
                <c:pt idx="1">
                  <c:v>250</c:v>
                </c:pt>
                <c:pt idx="2">
                  <c:v>225</c:v>
                </c:pt>
                <c:pt idx="3">
                  <c:v>200</c:v>
                </c:pt>
                <c:pt idx="4">
                  <c:v>175</c:v>
                </c:pt>
                <c:pt idx="5">
                  <c:v>150</c:v>
                </c:pt>
                <c:pt idx="6">
                  <c:v>125</c:v>
                </c:pt>
              </c:numCache>
            </c:numRef>
          </c:xVal>
          <c:yVal>
            <c:numRef>
              <c:f>P_Calc!$B$10:$H$10</c:f>
              <c:numCache>
                <c:formatCode>General</c:formatCode>
                <c:ptCount val="7"/>
                <c:pt idx="0">
                  <c:v>26.000000000005656</c:v>
                </c:pt>
                <c:pt idx="1">
                  <c:v>15.200000000001893</c:v>
                </c:pt>
                <c:pt idx="2">
                  <c:v>7.6857142857134875</c:v>
                </c:pt>
                <c:pt idx="3">
                  <c:v>3.4571428571405107</c:v>
                </c:pt>
                <c:pt idx="4">
                  <c:v>2.5142857142829058</c:v>
                </c:pt>
                <c:pt idx="5">
                  <c:v>4.8571428571407012</c:v>
                </c:pt>
                <c:pt idx="6">
                  <c:v>10.485714285713868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E6-48E1-8F72-83AE39C7A8D4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180.32608695652064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2.4397204968915958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E6-48E1-8F72-83AE39C7A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338160"/>
        <c:axId val="327339120"/>
      </c:scatterChart>
      <c:valAx>
        <c:axId val="3273381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27339120"/>
        <c:crosses val="autoZero"/>
        <c:crossBetween val="midCat"/>
      </c:valAx>
      <c:valAx>
        <c:axId val="32733912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32733816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E4B098-D309-497E-AB96-68E50656A7EE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50B6E7-445B-BF92-69B9-A9A2F826DF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54130D-2092-962A-EA3F-4FBE2E483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113644-E482-D2AB-821E-B73870755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6887FE6-CE3D-B525-12F2-72F40E2965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11009D9-6D00-9B95-29F2-F27D89893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4C98-6746-4E60-B24D-92037BD67D9A}">
  <dimension ref="A1:P14"/>
  <sheetViews>
    <sheetView tabSelected="1" workbookViewId="0"/>
  </sheetViews>
  <sheetFormatPr defaultRowHeight="15" x14ac:dyDescent="0.2"/>
  <sheetData>
    <row r="1" spans="1:16" x14ac:dyDescent="0.2">
      <c r="A1" t="s">
        <v>135</v>
      </c>
      <c r="B1">
        <f>Phase_Data!B1</f>
        <v>275</v>
      </c>
      <c r="C1">
        <f>Phase_Data!C1</f>
        <v>250</v>
      </c>
      <c r="D1">
        <f>Phase_Data!D1</f>
        <v>225</v>
      </c>
      <c r="E1">
        <f>Phase_Data!E1</f>
        <v>200</v>
      </c>
      <c r="F1">
        <f>Phase_Data!F1</f>
        <v>175</v>
      </c>
      <c r="G1">
        <f>Phase_Data!G1</f>
        <v>150</v>
      </c>
      <c r="H1">
        <f>Phase_Data!H1</f>
        <v>125</v>
      </c>
      <c r="J1" t="s">
        <v>142</v>
      </c>
      <c r="K1" t="s">
        <v>143</v>
      </c>
      <c r="L1" t="s">
        <v>144</v>
      </c>
      <c r="N1" t="s">
        <v>145</v>
      </c>
      <c r="O1" t="s">
        <v>146</v>
      </c>
      <c r="P1" t="s">
        <v>147</v>
      </c>
    </row>
    <row r="2" spans="1:16" x14ac:dyDescent="0.2">
      <c r="A2" t="s">
        <v>96</v>
      </c>
      <c r="B2">
        <f ca="1">IFERROR(VLOOKUP($A2,Phase_Data!$1:$1048576,COLUMN(),0),"-")</f>
        <v>757</v>
      </c>
      <c r="C2">
        <f ca="1">IFERROR(VLOOKUP($A2,Phase_Data!$1:$1048576,COLUMN(),0),"-")</f>
        <v>757</v>
      </c>
      <c r="D2">
        <f ca="1">IFERROR(VLOOKUP($A2,Phase_Data!$1:$1048576,COLUMN(),0),"-")</f>
        <v>758</v>
      </c>
      <c r="E2">
        <f ca="1">IFERROR(VLOOKUP($A2,Phase_Data!$1:$1048576,COLUMN(),0),"-")</f>
        <v>759</v>
      </c>
      <c r="F2">
        <f ca="1">IFERROR(VLOOKUP($A2,Phase_Data!$1:$1048576,COLUMN(),0),"-")</f>
        <v>762</v>
      </c>
      <c r="G2">
        <f ca="1">IFERROR(VLOOKUP($A2,Phase_Data!$1:$1048576,COLUMN(),0),"-")</f>
        <v>768</v>
      </c>
      <c r="H2">
        <f ca="1">IFERROR(VLOOKUP($A2,Phase_Data!$1:$1048576,COLUMN(),0),"-")</f>
        <v>777</v>
      </c>
    </row>
    <row r="3" spans="1:16" x14ac:dyDescent="0.2">
      <c r="A3" t="s">
        <v>133</v>
      </c>
      <c r="B3">
        <f ca="1">IFERROR(VLOOKUP($A3,Phase_Data!$1:$1048576,COLUMN(),0),"-")</f>
        <v>741</v>
      </c>
      <c r="C3">
        <f ca="1">IFERROR(VLOOKUP($A3,Phase_Data!$1:$1048576,COLUMN(),0),"-")</f>
        <v>744</v>
      </c>
      <c r="D3">
        <f ca="1">IFERROR(VLOOKUP($A3,Phase_Data!$1:$1048576,COLUMN(),0),"-")</f>
        <v>750</v>
      </c>
      <c r="E3">
        <f ca="1">IFERROR(VLOOKUP($A3,Phase_Data!$1:$1048576,COLUMN(),0),"-")</f>
        <v>756</v>
      </c>
      <c r="F3">
        <f ca="1">IFERROR(VLOOKUP($A3,Phase_Data!$1:$1048576,COLUMN(),0),"-")</f>
        <v>764</v>
      </c>
      <c r="G3">
        <f ca="1">IFERROR(VLOOKUP($A3,Phase_Data!$1:$1048576,COLUMN(),0),"-")</f>
        <v>774</v>
      </c>
      <c r="H3">
        <f ca="1">IFERROR(VLOOKUP($A3,Phase_Data!$1:$1048576,COLUMN(),0),"-")</f>
        <v>787</v>
      </c>
    </row>
    <row r="4" spans="1:16" x14ac:dyDescent="0.2">
      <c r="A4" t="s">
        <v>134</v>
      </c>
      <c r="B4">
        <f ca="1">IFERROR(VLOOKUP($A4,Phase_Data!$1:$1048576,COLUMN(),0),"-")</f>
        <v>740</v>
      </c>
      <c r="C4">
        <f ca="1">IFERROR(VLOOKUP($A4,Phase_Data!$1:$1048576,COLUMN(),0),"-")</f>
        <v>744</v>
      </c>
      <c r="D4">
        <f ca="1">IFERROR(VLOOKUP($A4,Phase_Data!$1:$1048576,COLUMN(),0),"-")</f>
        <v>748</v>
      </c>
      <c r="E4">
        <f ca="1">IFERROR(VLOOKUP($A4,Phase_Data!$1:$1048576,COLUMN(),0),"-")</f>
        <v>752</v>
      </c>
      <c r="F4">
        <f ca="1">IFERROR(VLOOKUP($A4,Phase_Data!$1:$1048576,COLUMN(),0),"-")</f>
        <v>758</v>
      </c>
      <c r="G4">
        <f ca="1">IFERROR(VLOOKUP($A4,Phase_Data!$1:$1048576,COLUMN(),0),"-")</f>
        <v>764</v>
      </c>
      <c r="H4">
        <f ca="1">IFERROR(VLOOKUP($A4,Phase_Data!$1:$1048576,COLUMN(),0),"-")</f>
        <v>772</v>
      </c>
    </row>
    <row r="6" spans="1:16" x14ac:dyDescent="0.2">
      <c r="A6" t="s">
        <v>136</v>
      </c>
      <c r="B6">
        <f ca="1">IF(AND(B2&lt;&gt;0,B3&lt;&gt;0,B4&lt;&gt;0),MAX(B2:B4)-MIN(B2:B4),"-")</f>
        <v>17</v>
      </c>
      <c r="C6">
        <f t="shared" ref="C6:H6" ca="1" si="0">IF(AND(C2&lt;&gt;0,C3&lt;&gt;0,C4&lt;&gt;0),MAX(C2:C4)-MIN(C2:C4),"-")</f>
        <v>13</v>
      </c>
      <c r="D6">
        <f t="shared" ca="1" si="0"/>
        <v>10</v>
      </c>
      <c r="E6">
        <f t="shared" ca="1" si="0"/>
        <v>7</v>
      </c>
      <c r="F6">
        <f t="shared" ca="1" si="0"/>
        <v>6</v>
      </c>
      <c r="G6">
        <f t="shared" ca="1" si="0"/>
        <v>10</v>
      </c>
      <c r="H6">
        <f t="shared" ca="1" si="0"/>
        <v>15</v>
      </c>
      <c r="J6">
        <f ca="1">MIN(B6:H6)</f>
        <v>6</v>
      </c>
      <c r="K6" t="str">
        <f ca="1">IF(J6&lt;=5,INDEX(B$1:H$1,1,MATCH(J6,B6:H6,0)),"-")</f>
        <v>-</v>
      </c>
      <c r="L6" t="str">
        <f ca="1">IF(J6&lt;=5,MATCH(J6,B6:H6,0),"-")</f>
        <v>-</v>
      </c>
      <c r="N6" t="str">
        <f t="array" aca="1" ref="N6:P6" ca="1">IF(L6="-","-",TRANSPOSE(MMULT(MINVERSE(MMULT(TRANSPOSE(generate_matrix(TRANSPOSE(INDEX(B$1:H$1,1,MAX(L6-2,1)):INDEX(B$1:H$1,1,MIN(L6+2,COUNT(B$1:H$1)))))),generate_matrix(TRANSPOSE(INDEX(B$1:H$1,1,MAX(L6-2,1)):INDEX(B$1:H$1,1,MIN(L6+2,COUNT(B$1:H$1))))))),MMULT(TRANSPOSE(generate_matrix(TRANSPOSE(INDEX(B$1:H$1,1,MAX(L6-2,1)):INDEX(B$1:H$1,1,MIN(L6+2,COUNT(B$1:H$1)))))),TRANSPOSE(INDEX(B6:H6,1,MAX(L6-2,1)):INDEX(B6:H6,1,MIN(L6+2,COUNT(B$1:H$1))))))))</f>
        <v>-</v>
      </c>
      <c r="O6" t="str">
        <f ca="1"/>
        <v>-</v>
      </c>
      <c r="P6" t="str">
        <f ca="1"/>
        <v>-</v>
      </c>
    </row>
    <row r="7" spans="1:16" x14ac:dyDescent="0.2">
      <c r="A7" t="s">
        <v>137</v>
      </c>
      <c r="B7">
        <f ca="1">IF(AND(MAX(B2:B4)&lt;&gt;0,LARGE(B2:B4,2)&lt;&gt;0),MAX(B2:B4)-LARGE(B2:B4,2),"-")</f>
        <v>16</v>
      </c>
      <c r="C7">
        <f t="shared" ref="C7:H7" ca="1" si="1">IF(AND(MAX(C2:C4)&lt;&gt;0,LARGE(C2:C4,2)&lt;&gt;0),MAX(C2:C4)-LARGE(C2:C4,2),"-")</f>
        <v>13</v>
      </c>
      <c r="D7">
        <f t="shared" ca="1" si="1"/>
        <v>8</v>
      </c>
      <c r="E7">
        <f t="shared" ca="1" si="1"/>
        <v>3</v>
      </c>
      <c r="F7">
        <f t="shared" ca="1" si="1"/>
        <v>2</v>
      </c>
      <c r="G7">
        <f t="shared" ca="1" si="1"/>
        <v>6</v>
      </c>
      <c r="H7">
        <f t="shared" ca="1" si="1"/>
        <v>10</v>
      </c>
      <c r="J7">
        <f ca="1">MIN(B7:H7)</f>
        <v>2</v>
      </c>
      <c r="K7">
        <f ca="1">IF(J7&lt;=5,INDEX(B$1:H$1,1,MATCH(J7,B7:H7,0)),"-")</f>
        <v>175</v>
      </c>
      <c r="L7">
        <f ca="1">IF(J7&lt;=5,MATCH(J7,B7:H7,0),"-")</f>
        <v>5</v>
      </c>
      <c r="N7">
        <f t="array" aca="1" ref="N7:P7" ca="1">IF(L7="-","-",TRANSPOSE(MMULT(MINVERSE(MMULT(TRANSPOSE(generate_matrix(TRANSPOSE(INDEX(B$1:H$1,1,MAX(L7-2,1)):INDEX(B$1:H$1,1,MIN(L7+2,COUNT(B$1:H$1)))))),generate_matrix(TRANSPOSE(INDEX(B$1:H$1,1,MAX(L7-2,1)):INDEX(B$1:H$1,1,MIN(L7+2,COUNT(B$1:H$1))))))),MMULT(TRANSPOSE(generate_matrix(TRANSPOSE(INDEX(B$1:H$1,1,MAX(L7-2,1)):INDEX(B$1:H$1,1,MIN(L7+2,COUNT(B$1:H$1)))))),TRANSPOSE(INDEX(B7:H7,1,MAX(L7-2,1)):INDEX(B7:H7,1,MIN(L7+2,COUNT(B$1:H$1))))))))</f>
        <v>87.914285714310608</v>
      </c>
      <c r="O7">
        <f ca="1"/>
        <v>-0.94800000000031304</v>
      </c>
      <c r="P7">
        <f ca="1"/>
        <v>2.6285714285723127E-3</v>
      </c>
    </row>
    <row r="9" spans="1:16" x14ac:dyDescent="0.2">
      <c r="A9" t="s">
        <v>138</v>
      </c>
      <c r="B9" t="str">
        <f ca="1">IFERROR(IF($P6&gt;0,$P6*B$1^2+$O6*B$1+$N6,"-"),"-")</f>
        <v>-</v>
      </c>
      <c r="C9" t="str">
        <f ca="1">IFERROR(IF($P6&gt;0,$P6*C$1^2+$O6*C$1+$N6,"-"),"-")</f>
        <v>-</v>
      </c>
      <c r="D9" t="str">
        <f ca="1">IFERROR(IF($P6&gt;0,$P6*D$1^2+$O6*D$1+$N6,"-"),"-")</f>
        <v>-</v>
      </c>
      <c r="E9" t="str">
        <f ca="1">IFERROR(IF($P6&gt;0,$P6*E$1^2+$O6*E$1+$N6,"-"),"-")</f>
        <v>-</v>
      </c>
      <c r="F9" t="str">
        <f ca="1">IFERROR(IF($P6&gt;0,$P6*F$1^2+$O6*F$1+$N6,"-"),"-")</f>
        <v>-</v>
      </c>
      <c r="G9" t="str">
        <f ca="1">IFERROR(IF($P6&gt;0,$P6*G$1^2+$O6*G$1+$N6,"-"),"-")</f>
        <v>-</v>
      </c>
      <c r="H9" t="str">
        <f ca="1">IFERROR(IF($P6&gt;0,$P6*H$1^2+$O6*H$1+$N6,"-"),"-")</f>
        <v>-</v>
      </c>
    </row>
    <row r="10" spans="1:16" x14ac:dyDescent="0.2">
      <c r="A10" t="s">
        <v>139</v>
      </c>
      <c r="B10">
        <f ca="1">IFERROR(IF($P7&gt;0,$P7*B$1^2+$O7*B$1+$N7,"-"),"-")</f>
        <v>26.000000000005656</v>
      </c>
      <c r="C10">
        <f ca="1">IFERROR(IF($P7&gt;0,$P7*C$1^2+$O7*C$1+$N7,"-"),"-")</f>
        <v>15.200000000001893</v>
      </c>
      <c r="D10">
        <f ca="1">IFERROR(IF($P7&gt;0,$P7*D$1^2+$O7*D$1+$N7,"-"),"-")</f>
        <v>7.6857142857134875</v>
      </c>
      <c r="E10">
        <f ca="1">IFERROR(IF($P7&gt;0,$P7*E$1^2+$O7*E$1+$N7,"-"),"-")</f>
        <v>3.4571428571405107</v>
      </c>
      <c r="F10">
        <f ca="1">IFERROR(IF($P7&gt;0,$P7*F$1^2+$O7*F$1+$N7,"-"),"-")</f>
        <v>2.5142857142829058</v>
      </c>
      <c r="G10">
        <f ca="1">IFERROR(IF($P7&gt;0,$P7*G$1^2+$O7*G$1+$N7,"-"),"-")</f>
        <v>4.8571428571407012</v>
      </c>
      <c r="H10">
        <f ca="1">IFERROR(IF($P7&gt;0,$P7*H$1^2+$O7*H$1+$N7,"-"),"-")</f>
        <v>10.485714285713868</v>
      </c>
    </row>
    <row r="12" spans="1:16" x14ac:dyDescent="0.2">
      <c r="B12" t="s">
        <v>148</v>
      </c>
      <c r="C12" t="s">
        <v>149</v>
      </c>
    </row>
    <row r="13" spans="1:16" x14ac:dyDescent="0.2">
      <c r="A13" t="s">
        <v>140</v>
      </c>
      <c r="B13" s="2" t="str">
        <f ca="1">IFERROR(IF($J6&lt;=5,IF($P6&gt;0,-$O6/(2*$P6),"-"),"-"),"-")</f>
        <v>-</v>
      </c>
      <c r="C13" s="2" t="str">
        <f ca="1">IFERROR(IF($P6&gt;0,$P6*B13^2+$O6*B13+$N6,"-"),"-")</f>
        <v>-</v>
      </c>
    </row>
    <row r="14" spans="1:16" x14ac:dyDescent="0.2">
      <c r="A14" t="s">
        <v>141</v>
      </c>
      <c r="B14" s="2">
        <f ca="1">IFERROR(IF($J7&lt;=5,IF($P7&gt;0,-$O7/(2*$P7),"-"),"-"),"-")</f>
        <v>180.32608695652064</v>
      </c>
      <c r="C14" s="2">
        <f ca="1">IFERROR(IF($P7&gt;0,$P7*B14^2+$O7*B14+$N7,"-"),"-")</f>
        <v>2.4397204968915958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A0534-7DFC-4C4D-A110-E41FBCF20CE6}">
  <sheetPr codeName="Sheet2"/>
  <dimension ref="A1:H10"/>
  <sheetViews>
    <sheetView workbookViewId="0"/>
  </sheetViews>
  <sheetFormatPr defaultRowHeight="15" x14ac:dyDescent="0.2"/>
  <sheetData>
    <row r="1" spans="1:8" x14ac:dyDescent="0.2">
      <c r="A1">
        <v>275</v>
      </c>
      <c r="B1">
        <v>275</v>
      </c>
      <c r="C1">
        <v>250</v>
      </c>
      <c r="D1">
        <v>225</v>
      </c>
      <c r="E1">
        <v>200</v>
      </c>
      <c r="F1">
        <v>175</v>
      </c>
      <c r="G1">
        <v>150</v>
      </c>
      <c r="H1">
        <v>125</v>
      </c>
    </row>
    <row r="2" spans="1:8" x14ac:dyDescent="0.2">
      <c r="A2" t="s">
        <v>132</v>
      </c>
      <c r="B2">
        <f ca="1">_xlfn.IFNA(INDEX(INDIRECT("'"&amp;$A2&amp;"'!$B:$B"),MATCH(B$1,INDIRECT("'"&amp;$A2&amp;"'!$c:$c"),0)),"")</f>
        <v>759</v>
      </c>
      <c r="C2">
        <f t="shared" ref="C2:H10" ca="1" si="0">_xlfn.IFNA(INDEX(INDIRECT("'"&amp;$A2&amp;"'!$B:$B"),MATCH(C$1,INDIRECT("'"&amp;$A2&amp;"'!$c:$c"),0)),"")</f>
        <v>759</v>
      </c>
      <c r="D2">
        <f t="shared" ca="1" si="0"/>
        <v>759</v>
      </c>
      <c r="E2">
        <f t="shared" ca="1" si="0"/>
        <v>760</v>
      </c>
      <c r="F2">
        <f t="shared" ca="1" si="0"/>
        <v>765</v>
      </c>
      <c r="G2">
        <f t="shared" ca="1" si="0"/>
        <v>776</v>
      </c>
      <c r="H2">
        <f t="shared" ca="1" si="0"/>
        <v>788</v>
      </c>
    </row>
    <row r="3" spans="1:8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</row>
    <row r="4" spans="1:8" x14ac:dyDescent="0.2">
      <c r="A4" t="s">
        <v>101</v>
      </c>
      <c r="B4">
        <f ca="1">_xlfn.IFNA(INDEX(INDIRECT("'"&amp;$A4&amp;"'!$B:$B"),MATCH(B$1,INDIRECT("'"&amp;$A4&amp;"'!$c:$c"),0)),"")</f>
        <v>739</v>
      </c>
      <c r="C4">
        <f t="shared" ca="1" si="0"/>
        <v>742</v>
      </c>
      <c r="D4">
        <f t="shared" ca="1" si="0"/>
        <v>746</v>
      </c>
      <c r="E4">
        <f t="shared" ca="1" si="0"/>
        <v>751</v>
      </c>
      <c r="F4">
        <f t="shared" ca="1" si="0"/>
        <v>756</v>
      </c>
      <c r="G4">
        <f t="shared" ca="1" si="0"/>
        <v>762</v>
      </c>
      <c r="H4">
        <f t="shared" ca="1" si="0"/>
        <v>771</v>
      </c>
    </row>
    <row r="5" spans="1:8" x14ac:dyDescent="0.2">
      <c r="A5" t="s">
        <v>94</v>
      </c>
      <c r="B5">
        <f ca="1">_xlfn.IFNA(INDEX(INDIRECT("'"&amp;$A5&amp;"'!$B:$B"),MATCH(B$1,INDIRECT("'"&amp;$A5&amp;"'!$c:$c"),0)),"")</f>
        <v>739</v>
      </c>
      <c r="C5">
        <f t="shared" ca="1" si="0"/>
        <v>742</v>
      </c>
      <c r="D5">
        <f t="shared" ca="1" si="0"/>
        <v>746</v>
      </c>
      <c r="E5">
        <f t="shared" ca="1" si="0"/>
        <v>751</v>
      </c>
      <c r="F5">
        <f t="shared" ca="1" si="0"/>
        <v>756</v>
      </c>
      <c r="G5">
        <f t="shared" ca="1" si="0"/>
        <v>762</v>
      </c>
      <c r="H5">
        <f t="shared" ca="1" si="0"/>
        <v>770</v>
      </c>
    </row>
    <row r="6" spans="1:8" x14ac:dyDescent="0.2">
      <c r="A6" t="s">
        <v>133</v>
      </c>
      <c r="B6">
        <f ca="1">_xlfn.IFNA(INDEX(INDIRECT("'"&amp;$A6&amp;"'!$B:$B"),MATCH(B$1,INDIRECT("'"&amp;$A6&amp;"'!$c:$c"),0)),"")</f>
        <v>741</v>
      </c>
      <c r="C6">
        <f t="shared" ca="1" si="0"/>
        <v>744</v>
      </c>
      <c r="D6">
        <f t="shared" ca="1" si="0"/>
        <v>750</v>
      </c>
      <c r="E6">
        <f t="shared" ca="1" si="0"/>
        <v>756</v>
      </c>
      <c r="F6">
        <f t="shared" ca="1" si="0"/>
        <v>764</v>
      </c>
      <c r="G6">
        <f t="shared" ca="1" si="0"/>
        <v>774</v>
      </c>
      <c r="H6">
        <f t="shared" ca="1" si="0"/>
        <v>787</v>
      </c>
    </row>
    <row r="7" spans="1:8" x14ac:dyDescent="0.2">
      <c r="A7" t="s">
        <v>134</v>
      </c>
      <c r="B7">
        <f ca="1">_xlfn.IFNA(INDEX(INDIRECT("'"&amp;$A7&amp;"'!$B:$B"),MATCH(B$1,INDIRECT("'"&amp;$A7&amp;"'!$c:$c"),0)),"")</f>
        <v>740</v>
      </c>
      <c r="C7">
        <f t="shared" ca="1" si="0"/>
        <v>744</v>
      </c>
      <c r="D7">
        <f t="shared" ca="1" si="0"/>
        <v>748</v>
      </c>
      <c r="E7">
        <f t="shared" ca="1" si="0"/>
        <v>752</v>
      </c>
      <c r="F7">
        <f t="shared" ca="1" si="0"/>
        <v>758</v>
      </c>
      <c r="G7">
        <f t="shared" ca="1" si="0"/>
        <v>764</v>
      </c>
      <c r="H7">
        <f t="shared" ca="1" si="0"/>
        <v>772</v>
      </c>
    </row>
    <row r="8" spans="1:8" x14ac:dyDescent="0.2">
      <c r="A8" t="s">
        <v>96</v>
      </c>
      <c r="B8">
        <f ca="1">_xlfn.IFNA(INDEX(INDIRECT("'"&amp;$A8&amp;"'!$B:$B"),MATCH(B$1,INDIRECT("'"&amp;$A8&amp;"'!$c:$c"),0)),"")</f>
        <v>757</v>
      </c>
      <c r="C8">
        <f t="shared" ca="1" si="0"/>
        <v>757</v>
      </c>
      <c r="D8">
        <f t="shared" ca="1" si="0"/>
        <v>758</v>
      </c>
      <c r="E8">
        <f t="shared" ca="1" si="0"/>
        <v>759</v>
      </c>
      <c r="F8">
        <f t="shared" ca="1" si="0"/>
        <v>762</v>
      </c>
      <c r="G8">
        <f t="shared" ca="1" si="0"/>
        <v>768</v>
      </c>
      <c r="H8">
        <f t="shared" ca="1" si="0"/>
        <v>777</v>
      </c>
    </row>
    <row r="9" spans="1:8" x14ac:dyDescent="0.2">
      <c r="A9" t="s">
        <v>71</v>
      </c>
      <c r="B9">
        <f ca="1">_xlfn.IFNA(INDEX(INDIRECT("'"&amp;$A9&amp;"'!$B:$B"),MATCH(B$1,INDIRECT("'"&amp;$A9&amp;"'!$c:$c"),0)),"")</f>
        <v>759</v>
      </c>
      <c r="C9">
        <f t="shared" ca="1" si="0"/>
        <v>759</v>
      </c>
      <c r="D9">
        <f t="shared" ca="1" si="0"/>
        <v>759</v>
      </c>
      <c r="E9">
        <f t="shared" ca="1" si="0"/>
        <v>760</v>
      </c>
      <c r="F9">
        <f t="shared" ca="1" si="0"/>
        <v>765</v>
      </c>
      <c r="G9">
        <f t="shared" ca="1" si="0"/>
        <v>776</v>
      </c>
      <c r="H9">
        <f t="shared" ca="1" si="0"/>
        <v>788</v>
      </c>
    </row>
    <row r="10" spans="1:8" x14ac:dyDescent="0.2">
      <c r="A10" t="s">
        <v>84</v>
      </c>
      <c r="B10">
        <f ca="1">_xlfn.IFNA(INDEX(INDIRECT("'"&amp;$A10&amp;"'!$B:$B"),MATCH(B$1,INDIRECT("'"&amp;$A10&amp;"'!$c:$c"),0)),"")</f>
        <v>741</v>
      </c>
      <c r="C10">
        <f t="shared" ca="1" si="0"/>
        <v>744</v>
      </c>
      <c r="D10">
        <f t="shared" ca="1" si="0"/>
        <v>750</v>
      </c>
      <c r="E10">
        <f t="shared" ca="1" si="0"/>
        <v>756</v>
      </c>
      <c r="F10">
        <f t="shared" ca="1" si="0"/>
        <v>764</v>
      </c>
      <c r="G10">
        <f t="shared" ca="1" si="0"/>
        <v>774</v>
      </c>
      <c r="H10">
        <f t="shared" ca="1" si="0"/>
        <v>787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3A72A-F801-46C8-BE85-645EDEFB7083}">
  <sheetPr codeName="Sheet3"/>
  <dimension ref="A1:Q119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759</v>
      </c>
      <c r="C2">
        <v>275</v>
      </c>
      <c r="D2">
        <v>0.30413263576031102</v>
      </c>
      <c r="E2">
        <v>111.458410154924</v>
      </c>
      <c r="F2">
        <v>1.96784148431593</v>
      </c>
      <c r="G2">
        <v>-1843.8033249410398</v>
      </c>
      <c r="H2">
        <v>-1515.6779646293946</v>
      </c>
      <c r="I2">
        <v>317.90718140157298</v>
      </c>
      <c r="J2">
        <v>161.691409765477</v>
      </c>
      <c r="K2">
        <v>56.639933167010099</v>
      </c>
      <c r="L2">
        <v>0.85852929910213804</v>
      </c>
      <c r="M2">
        <v>-0.85833198787288412</v>
      </c>
      <c r="N2">
        <v>48.617436654176998</v>
      </c>
      <c r="O2">
        <v>48.617431787362897</v>
      </c>
      <c r="P2">
        <v>48.617425815334798</v>
      </c>
      <c r="Q2" t="s">
        <v>51</v>
      </c>
    </row>
    <row r="3" spans="1:17" x14ac:dyDescent="0.2">
      <c r="A3">
        <v>2</v>
      </c>
      <c r="B3">
        <v>758</v>
      </c>
      <c r="C3">
        <v>275</v>
      </c>
      <c r="D3">
        <v>0.303389904475587</v>
      </c>
      <c r="E3">
        <v>111.45844185570699</v>
      </c>
      <c r="F3">
        <v>1.9684026471623599</v>
      </c>
      <c r="G3">
        <v>-1843.4860054850312</v>
      </c>
      <c r="H3">
        <v>-1515.8402587053918</v>
      </c>
      <c r="I3">
        <v>317.75036076318901</v>
      </c>
      <c r="J3">
        <v>161.686580580194</v>
      </c>
      <c r="K3">
        <v>56.623802054109802</v>
      </c>
      <c r="L3">
        <v>0.85861683099342179</v>
      </c>
      <c r="M3">
        <v>-0.85841959713740257</v>
      </c>
      <c r="N3">
        <v>48.608547386612898</v>
      </c>
      <c r="O3">
        <v>48.608542466074603</v>
      </c>
      <c r="P3">
        <v>48.608536498784602</v>
      </c>
      <c r="Q3" t="s">
        <v>51</v>
      </c>
    </row>
    <row r="4" spans="1:17" x14ac:dyDescent="0.2">
      <c r="A4">
        <v>3</v>
      </c>
      <c r="B4">
        <v>757</v>
      </c>
      <c r="C4">
        <v>275</v>
      </c>
      <c r="D4">
        <v>0.30264573120419402</v>
      </c>
      <c r="E4">
        <v>111.458479954956</v>
      </c>
      <c r="F4">
        <v>1.9689638440813</v>
      </c>
      <c r="G4">
        <v>-1843.16896142101</v>
      </c>
      <c r="H4">
        <v>-1516.0352169196206</v>
      </c>
      <c r="I4">
        <v>317.56180069473601</v>
      </c>
      <c r="J4">
        <v>161.69204457948001</v>
      </c>
      <c r="K4">
        <v>56.607682406155099</v>
      </c>
      <c r="L4">
        <v>0.85701773917564772</v>
      </c>
      <c r="M4">
        <v>-0.85682011496398525</v>
      </c>
      <c r="N4">
        <v>48.504166593262802</v>
      </c>
      <c r="O4">
        <v>48.504161607123798</v>
      </c>
      <c r="P4">
        <v>48.504155630505601</v>
      </c>
      <c r="Q4" t="s">
        <v>51</v>
      </c>
    </row>
    <row r="5" spans="1:17" x14ac:dyDescent="0.2">
      <c r="A5">
        <v>4</v>
      </c>
      <c r="B5">
        <v>756</v>
      </c>
      <c r="C5">
        <v>275</v>
      </c>
      <c r="D5">
        <v>0.30190011174270298</v>
      </c>
      <c r="E5">
        <v>111.45851881743501</v>
      </c>
      <c r="F5">
        <v>1.96952641442448</v>
      </c>
      <c r="G5">
        <v>-1842.8521212285036</v>
      </c>
      <c r="H5">
        <v>-1516.2332091805124</v>
      </c>
      <c r="I5">
        <v>317.37012470885003</v>
      </c>
      <c r="J5">
        <v>161.69846618661001</v>
      </c>
      <c r="K5">
        <v>56.5915328685779</v>
      </c>
      <c r="L5">
        <v>0.85526261919854951</v>
      </c>
      <c r="M5">
        <v>-0.85506456339176118</v>
      </c>
      <c r="N5">
        <v>48.390979920323097</v>
      </c>
      <c r="O5">
        <v>48.390974867158</v>
      </c>
      <c r="P5">
        <v>48.390968880014199</v>
      </c>
      <c r="Q5" t="s">
        <v>51</v>
      </c>
    </row>
    <row r="6" spans="1:17" x14ac:dyDescent="0.2">
      <c r="A6">
        <v>5</v>
      </c>
      <c r="B6">
        <v>755</v>
      </c>
      <c r="C6">
        <v>275</v>
      </c>
      <c r="D6">
        <v>0.30115304187132302</v>
      </c>
      <c r="E6">
        <v>111.458557831798</v>
      </c>
      <c r="F6">
        <v>1.9700903617604799</v>
      </c>
      <c r="G6">
        <v>-1842.5354751103764</v>
      </c>
      <c r="H6">
        <v>-1516.4310315920773</v>
      </c>
      <c r="I6">
        <v>317.17842978738003</v>
      </c>
      <c r="J6">
        <v>161.70483573647201</v>
      </c>
      <c r="K6">
        <v>56.5753530879661</v>
      </c>
      <c r="L6">
        <v>0.85351687984457325</v>
      </c>
      <c r="M6">
        <v>-0.85331839716144275</v>
      </c>
      <c r="N6">
        <v>48.278355072809397</v>
      </c>
      <c r="O6">
        <v>48.278349952339198</v>
      </c>
      <c r="P6">
        <v>48.278343954858201</v>
      </c>
      <c r="Q6" t="s">
        <v>51</v>
      </c>
    </row>
    <row r="7" spans="1:17" x14ac:dyDescent="0.2">
      <c r="A7">
        <v>6</v>
      </c>
      <c r="B7">
        <v>754</v>
      </c>
      <c r="C7">
        <v>275</v>
      </c>
      <c r="D7">
        <v>0.30040451735384299</v>
      </c>
      <c r="E7">
        <v>111.458596998762</v>
      </c>
      <c r="F7">
        <v>1.9706556730279099</v>
      </c>
      <c r="G7">
        <v>-1842.2190230974977</v>
      </c>
      <c r="H7">
        <v>-1516.6286855602912</v>
      </c>
      <c r="I7">
        <v>316.98671453658898</v>
      </c>
      <c r="J7">
        <v>161.71115305972</v>
      </c>
      <c r="K7">
        <v>56.559143499435301</v>
      </c>
      <c r="L7">
        <v>0.85178043910355361</v>
      </c>
      <c r="M7">
        <v>-0.85158153423912342</v>
      </c>
      <c r="N7">
        <v>48.1662874848641</v>
      </c>
      <c r="O7">
        <v>48.166282296813598</v>
      </c>
      <c r="P7">
        <v>48.166276289183301</v>
      </c>
      <c r="Q7" t="s">
        <v>51</v>
      </c>
    </row>
    <row r="8" spans="1:17" x14ac:dyDescent="0.2">
      <c r="A8">
        <v>7</v>
      </c>
      <c r="B8">
        <v>753</v>
      </c>
      <c r="C8">
        <v>275</v>
      </c>
      <c r="D8">
        <v>0.29965453393753799</v>
      </c>
      <c r="E8">
        <v>111.458636319066</v>
      </c>
      <c r="F8">
        <v>1.9712223352585601</v>
      </c>
      <c r="G8">
        <v>-1841.9027652225157</v>
      </c>
      <c r="H8">
        <v>-1516.8261724756896</v>
      </c>
      <c r="I8">
        <v>316.79497757409001</v>
      </c>
      <c r="J8">
        <v>161.71741798341299</v>
      </c>
      <c r="K8">
        <v>56.542904534635397</v>
      </c>
      <c r="L8">
        <v>0.85005321587773086</v>
      </c>
      <c r="M8">
        <v>-0.84985389350355078</v>
      </c>
      <c r="N8">
        <v>48.054772639904101</v>
      </c>
      <c r="O8">
        <v>48.054767384001302</v>
      </c>
      <c r="P8">
        <v>48.054761366408997</v>
      </c>
      <c r="Q8" t="s">
        <v>51</v>
      </c>
    </row>
    <row r="9" spans="1:17" x14ac:dyDescent="0.2">
      <c r="A9">
        <v>8</v>
      </c>
      <c r="B9">
        <v>752</v>
      </c>
      <c r="C9">
        <v>275</v>
      </c>
      <c r="D9">
        <v>0.29890308735307097</v>
      </c>
      <c r="E9">
        <v>111.458675793411</v>
      </c>
      <c r="F9">
        <v>1.9717903355745801</v>
      </c>
      <c r="G9">
        <v>-1841.5867015188219</v>
      </c>
      <c r="H9">
        <v>-1517.0234937124601</v>
      </c>
      <c r="I9">
        <v>316.60321752876501</v>
      </c>
      <c r="J9">
        <v>161.72363033099501</v>
      </c>
      <c r="K9">
        <v>56.526636621804897</v>
      </c>
      <c r="L9">
        <v>0.84833512997919303</v>
      </c>
      <c r="M9">
        <v>-0.84813539474356692</v>
      </c>
      <c r="N9">
        <v>47.943806070540901</v>
      </c>
      <c r="O9">
        <v>47.943800746517603</v>
      </c>
      <c r="P9">
        <v>47.943794719150098</v>
      </c>
      <c r="Q9" t="s">
        <v>51</v>
      </c>
    </row>
    <row r="10" spans="1:17" x14ac:dyDescent="0.2">
      <c r="A10">
        <v>9</v>
      </c>
      <c r="B10">
        <v>751</v>
      </c>
      <c r="C10">
        <v>275</v>
      </c>
      <c r="D10">
        <v>0.29815017331445698</v>
      </c>
      <c r="E10">
        <v>111.458715422547</v>
      </c>
      <c r="F10">
        <v>1.97235966118789</v>
      </c>
      <c r="G10">
        <v>-1841.270832021962</v>
      </c>
      <c r="H10">
        <v>-1517.2206506298651</v>
      </c>
      <c r="I10">
        <v>316.41143304081697</v>
      </c>
      <c r="J10">
        <v>161.72978992240101</v>
      </c>
      <c r="K10">
        <v>56.510340185835702</v>
      </c>
      <c r="L10">
        <v>0.84662610211893385</v>
      </c>
      <c r="M10">
        <v>-0.8464259586471613</v>
      </c>
      <c r="N10">
        <v>47.833383358036201</v>
      </c>
      <c r="O10">
        <v>47.833377965627697</v>
      </c>
      <c r="P10">
        <v>47.833371928671198</v>
      </c>
      <c r="Q10" t="s">
        <v>51</v>
      </c>
    </row>
    <row r="11" spans="1:17" x14ac:dyDescent="0.2">
      <c r="A11">
        <v>10</v>
      </c>
      <c r="B11">
        <v>750</v>
      </c>
      <c r="C11">
        <v>275</v>
      </c>
      <c r="D11">
        <v>0.29739578751893703</v>
      </c>
      <c r="E11">
        <v>111.458755207178</v>
      </c>
      <c r="F11">
        <v>1.97293029939686</v>
      </c>
      <c r="G11">
        <v>-1840.9551567680915</v>
      </c>
      <c r="H11">
        <v>-1517.4176445714072</v>
      </c>
      <c r="I11">
        <v>316.21962276112703</v>
      </c>
      <c r="J11">
        <v>161.735896574186</v>
      </c>
      <c r="K11">
        <v>56.494015648323803</v>
      </c>
      <c r="L11">
        <v>0.84492605387744979</v>
      </c>
      <c r="M11">
        <v>-0.84472550677205838</v>
      </c>
      <c r="N11">
        <v>47.723500130699499</v>
      </c>
      <c r="O11">
        <v>47.723494669644801</v>
      </c>
      <c r="P11">
        <v>47.7234886232851</v>
      </c>
      <c r="Q11" t="s">
        <v>51</v>
      </c>
    </row>
    <row r="12" spans="1:17" x14ac:dyDescent="0.2">
      <c r="A12">
        <v>11</v>
      </c>
      <c r="B12">
        <v>749</v>
      </c>
      <c r="C12">
        <v>275</v>
      </c>
      <c r="D12">
        <v>0.29663992564692099</v>
      </c>
      <c r="E12">
        <v>111.458795148077</v>
      </c>
      <c r="F12">
        <v>1.97350223758917</v>
      </c>
      <c r="G12">
        <v>-1840.6396757958325</v>
      </c>
      <c r="H12">
        <v>-1517.6144768663805</v>
      </c>
      <c r="I12">
        <v>316.02778535161099</v>
      </c>
      <c r="J12">
        <v>161.74195009941701</v>
      </c>
      <c r="K12">
        <v>56.477663427549501</v>
      </c>
      <c r="L12">
        <v>0.84323490771040033</v>
      </c>
      <c r="M12">
        <v>-0.84303396155138022</v>
      </c>
      <c r="N12">
        <v>47.614152064209499</v>
      </c>
      <c r="O12">
        <v>47.614146534251098</v>
      </c>
      <c r="P12">
        <v>47.614140478673399</v>
      </c>
      <c r="Q12" t="s">
        <v>51</v>
      </c>
    </row>
    <row r="13" spans="1:17" x14ac:dyDescent="0.2">
      <c r="A13">
        <v>12</v>
      </c>
      <c r="B13">
        <v>748</v>
      </c>
      <c r="C13">
        <v>275</v>
      </c>
      <c r="D13">
        <v>0.29588258336189799</v>
      </c>
      <c r="E13">
        <v>111.45883524599201</v>
      </c>
      <c r="F13">
        <v>1.97407546323217</v>
      </c>
      <c r="G13">
        <v>-1840.3243891447366</v>
      </c>
      <c r="H13">
        <v>-1517.8111488287486</v>
      </c>
      <c r="I13">
        <v>315.83591948485599</v>
      </c>
      <c r="J13">
        <v>161.74795030803801</v>
      </c>
      <c r="K13">
        <v>56.461283938710103</v>
      </c>
      <c r="L13">
        <v>0.84155258692831825</v>
      </c>
      <c r="M13">
        <v>-0.84135124627334312</v>
      </c>
      <c r="N13">
        <v>47.505334880678902</v>
      </c>
      <c r="O13">
        <v>47.505329281563</v>
      </c>
      <c r="P13">
        <v>47.505323216952</v>
      </c>
      <c r="Q13" t="s">
        <v>51</v>
      </c>
    </row>
    <row r="14" spans="1:17" x14ac:dyDescent="0.2">
      <c r="A14">
        <v>13</v>
      </c>
      <c r="B14">
        <v>747</v>
      </c>
      <c r="C14">
        <v>275</v>
      </c>
      <c r="D14">
        <v>0.29512375631034898</v>
      </c>
      <c r="E14">
        <v>111.458875501647</v>
      </c>
      <c r="F14">
        <v>1.9746499638817201</v>
      </c>
      <c r="G14">
        <v>-1840.0092968552754</v>
      </c>
      <c r="H14">
        <v>-1518.007661757493</v>
      </c>
      <c r="I14">
        <v>315.64402384383698</v>
      </c>
      <c r="J14">
        <v>161.75389700643501</v>
      </c>
      <c r="K14">
        <v>56.444877593669602</v>
      </c>
      <c r="L14">
        <v>0.83987901568674506</v>
      </c>
      <c r="M14">
        <v>-0.83967728507139927</v>
      </c>
      <c r="N14">
        <v>47.397044347902202</v>
      </c>
      <c r="O14">
        <v>47.397038679378703</v>
      </c>
      <c r="P14">
        <v>47.397032605918497</v>
      </c>
      <c r="Q14" t="s">
        <v>51</v>
      </c>
    </row>
    <row r="15" spans="1:17" x14ac:dyDescent="0.2">
      <c r="A15">
        <v>14</v>
      </c>
      <c r="B15">
        <v>746</v>
      </c>
      <c r="C15">
        <v>275</v>
      </c>
      <c r="D15">
        <v>0.29436344012167098</v>
      </c>
      <c r="E15">
        <v>111.45891591580801</v>
      </c>
      <c r="F15">
        <v>1.97522572717278</v>
      </c>
      <c r="G15">
        <v>-1839.6943989699009</v>
      </c>
      <c r="H15">
        <v>-1518.2040169376548</v>
      </c>
      <c r="I15">
        <v>315.45209712197402</v>
      </c>
      <c r="J15">
        <v>161.759789997979</v>
      </c>
      <c r="K15">
        <v>56.428444801265101</v>
      </c>
      <c r="L15">
        <v>0.83821411897053577</v>
      </c>
      <c r="M15">
        <v>-0.83801200290852607</v>
      </c>
      <c r="N15">
        <v>47.289276278740999</v>
      </c>
      <c r="O15">
        <v>47.289270540563599</v>
      </c>
      <c r="P15">
        <v>47.289264458437799</v>
      </c>
      <c r="Q15" t="s">
        <v>51</v>
      </c>
    </row>
    <row r="16" spans="1:17" x14ac:dyDescent="0.2">
      <c r="A16">
        <v>15</v>
      </c>
      <c r="B16">
        <v>745</v>
      </c>
      <c r="C16">
        <v>275</v>
      </c>
      <c r="D16">
        <v>0.29360163040809401</v>
      </c>
      <c r="E16">
        <v>111.458956489211</v>
      </c>
      <c r="F16">
        <v>1.97580274082342</v>
      </c>
      <c r="G16">
        <v>-1839.3796955319115</v>
      </c>
      <c r="H16">
        <v>-1518.4002156394647</v>
      </c>
      <c r="I16">
        <v>315.26013802292999</v>
      </c>
      <c r="J16">
        <v>161.765629082678</v>
      </c>
      <c r="K16">
        <v>56.411985967162202</v>
      </c>
      <c r="L16">
        <v>0.83655782259190636</v>
      </c>
      <c r="M16">
        <v>-0.83635532557528069</v>
      </c>
      <c r="N16">
        <v>47.182026530907301</v>
      </c>
      <c r="O16">
        <v>47.182020722833201</v>
      </c>
      <c r="P16">
        <v>47.182014632224998</v>
      </c>
      <c r="Q16" t="s">
        <v>51</v>
      </c>
    </row>
    <row r="17" spans="1:17" x14ac:dyDescent="0.2">
      <c r="A17">
        <v>16</v>
      </c>
      <c r="B17">
        <v>744</v>
      </c>
      <c r="C17">
        <v>275</v>
      </c>
      <c r="D17">
        <v>0.29283832276459099</v>
      </c>
      <c r="E17">
        <v>111.458997222618</v>
      </c>
      <c r="F17">
        <v>1.9763809926284399</v>
      </c>
      <c r="G17">
        <v>-1839.0651865862828</v>
      </c>
      <c r="H17">
        <v>-1518.5962591193766</v>
      </c>
      <c r="I17">
        <v>315.06814526045798</v>
      </c>
      <c r="J17">
        <v>161.7714140576</v>
      </c>
      <c r="K17">
        <v>56.395501494064597</v>
      </c>
      <c r="L17">
        <v>0.83491005316815747</v>
      </c>
      <c r="M17">
        <v>-0.83470717966750685</v>
      </c>
      <c r="N17">
        <v>47.075291005893099</v>
      </c>
      <c r="O17">
        <v>47.075285127683401</v>
      </c>
      <c r="P17">
        <v>47.075279028775299</v>
      </c>
      <c r="Q17" t="s">
        <v>51</v>
      </c>
    </row>
    <row r="18" spans="1:17" x14ac:dyDescent="0.2">
      <c r="A18">
        <v>17</v>
      </c>
      <c r="B18">
        <v>743</v>
      </c>
      <c r="C18">
        <v>275</v>
      </c>
      <c r="D18">
        <v>0.29207351276878402</v>
      </c>
      <c r="E18">
        <v>111.459038116762</v>
      </c>
      <c r="F18">
        <v>1.97696047046295</v>
      </c>
      <c r="G18">
        <v>-1838.7508721788201</v>
      </c>
      <c r="H18">
        <v>-1518.7921486194343</v>
      </c>
      <c r="I18">
        <v>314.87611755824503</v>
      </c>
      <c r="J18">
        <v>161.777144716582</v>
      </c>
      <c r="K18">
        <v>56.378991781591402</v>
      </c>
      <c r="L18">
        <v>0.8332707381195521</v>
      </c>
      <c r="M18">
        <v>-0.83306749258421908</v>
      </c>
      <c r="N18">
        <v>46.969065648761301</v>
      </c>
      <c r="O18">
        <v>46.9690597001808</v>
      </c>
      <c r="P18">
        <v>46.969053593155003</v>
      </c>
      <c r="Q18" t="s">
        <v>51</v>
      </c>
    </row>
    <row r="19" spans="1:17" x14ac:dyDescent="0.2">
      <c r="A19">
        <v>18</v>
      </c>
      <c r="B19">
        <v>742</v>
      </c>
      <c r="C19">
        <v>275</v>
      </c>
      <c r="D19">
        <v>0.291307195980888</v>
      </c>
      <c r="E19">
        <v>111.45907917242999</v>
      </c>
      <c r="F19">
        <v>1.9775411622788801</v>
      </c>
      <c r="G19">
        <v>-1838.4367523574829</v>
      </c>
      <c r="H19">
        <v>-1518.9878853687467</v>
      </c>
      <c r="I19">
        <v>314.68405364980998</v>
      </c>
      <c r="J19">
        <v>161.78282085054599</v>
      </c>
      <c r="K19">
        <v>56.3624572264211</v>
      </c>
      <c r="L19">
        <v>0.83163980564925755</v>
      </c>
      <c r="M19">
        <v>-0.83143619250753387</v>
      </c>
      <c r="N19">
        <v>46.8633464471461</v>
      </c>
      <c r="O19">
        <v>46.863340427963401</v>
      </c>
      <c r="P19">
        <v>46.863334313001403</v>
      </c>
      <c r="Q19" t="s">
        <v>51</v>
      </c>
    </row>
    <row r="20" spans="1:17" x14ac:dyDescent="0.2">
      <c r="A20">
        <v>19</v>
      </c>
      <c r="B20">
        <v>741</v>
      </c>
      <c r="C20">
        <v>275</v>
      </c>
      <c r="D20">
        <v>0.29053936794360102</v>
      </c>
      <c r="E20">
        <v>111.45911583323399</v>
      </c>
      <c r="F20">
        <v>1.9775047218586499</v>
      </c>
      <c r="G20">
        <v>-1838.1227716827661</v>
      </c>
      <c r="H20">
        <v>-1519.3424091671427</v>
      </c>
      <c r="I20">
        <v>314.33520711750799</v>
      </c>
      <c r="J20">
        <v>161.78028914986999</v>
      </c>
      <c r="K20">
        <v>56.363514383153401</v>
      </c>
      <c r="L20">
        <v>0.82168525536232151</v>
      </c>
      <c r="M20">
        <v>-0.82147883075510575</v>
      </c>
      <c r="N20">
        <v>46.303011488216498</v>
      </c>
      <c r="O20">
        <v>46.303005332507297</v>
      </c>
      <c r="P20">
        <v>46.302999138440697</v>
      </c>
      <c r="Q20" t="s">
        <v>51</v>
      </c>
    </row>
    <row r="21" spans="1:17" x14ac:dyDescent="0.2">
      <c r="A21">
        <v>20</v>
      </c>
      <c r="B21">
        <v>740</v>
      </c>
      <c r="C21">
        <v>275</v>
      </c>
      <c r="D21">
        <v>0.28977002418201098</v>
      </c>
      <c r="E21">
        <v>111.45910905139</v>
      </c>
      <c r="F21">
        <v>1.96407020776566</v>
      </c>
      <c r="G21">
        <v>-1837.8094891259129</v>
      </c>
      <c r="H21">
        <v>-1522.3711626784225</v>
      </c>
      <c r="I21">
        <v>311.34740828279303</v>
      </c>
      <c r="J21">
        <v>161.78658453233399</v>
      </c>
      <c r="K21">
        <v>56.749045227964103</v>
      </c>
      <c r="L21">
        <v>0.67604612209095816</v>
      </c>
      <c r="M21">
        <v>-0.67579233720329746</v>
      </c>
      <c r="N21">
        <v>38.352510621754597</v>
      </c>
      <c r="O21">
        <v>38.352503136955498</v>
      </c>
      <c r="P21">
        <v>38.352495541648601</v>
      </c>
      <c r="Q21" t="s">
        <v>51</v>
      </c>
    </row>
    <row r="22" spans="1:17" x14ac:dyDescent="0.2">
      <c r="A22">
        <v>21</v>
      </c>
      <c r="B22">
        <v>739</v>
      </c>
      <c r="C22">
        <v>275</v>
      </c>
      <c r="D22">
        <v>0.28899916020352701</v>
      </c>
      <c r="E22">
        <v>111.466639167111</v>
      </c>
      <c r="F22">
        <v>1.91691802205523</v>
      </c>
      <c r="G22">
        <v>-1837.6245696358797</v>
      </c>
      <c r="H22">
        <v>-1532.5354535416789</v>
      </c>
      <c r="I22">
        <v>301.432122574461</v>
      </c>
      <c r="J22">
        <v>161.72994560108901</v>
      </c>
      <c r="K22">
        <v>58.148881634281899</v>
      </c>
      <c r="L22">
        <v>0.19952486625837138</v>
      </c>
      <c r="M22">
        <v>-0.19911325806203281</v>
      </c>
      <c r="N22">
        <v>11.5814088687852</v>
      </c>
      <c r="O22">
        <v>11.581396926512699</v>
      </c>
      <c r="P22">
        <v>11.5813845006951</v>
      </c>
      <c r="Q22" t="s">
        <v>51</v>
      </c>
    </row>
    <row r="23" spans="1:17" x14ac:dyDescent="0.2">
      <c r="A23">
        <v>22</v>
      </c>
      <c r="B23">
        <v>738</v>
      </c>
      <c r="C23">
        <v>275</v>
      </c>
      <c r="D23">
        <v>0.28822677149780002</v>
      </c>
      <c r="E23">
        <v>111.467491785753</v>
      </c>
      <c r="F23">
        <v>1.90522541413524</v>
      </c>
      <c r="G23">
        <v>-1837.3387444260372</v>
      </c>
      <c r="H23">
        <v>-1535.3847664177938</v>
      </c>
      <c r="I23">
        <v>298.63022489718202</v>
      </c>
      <c r="J23">
        <v>161.74077238228301</v>
      </c>
      <c r="K23">
        <v>58.5061961481059</v>
      </c>
      <c r="L23">
        <v>7.5192309235976015E-2</v>
      </c>
      <c r="M23">
        <v>-7.4739730598822676E-2</v>
      </c>
      <c r="N23">
        <v>4.3762615373737299</v>
      </c>
      <c r="O23">
        <v>4.3762483174123004</v>
      </c>
      <c r="P23">
        <v>4.3762346064662196</v>
      </c>
      <c r="Q23" t="s">
        <v>51</v>
      </c>
    </row>
    <row r="24" spans="1:17" x14ac:dyDescent="0.2">
      <c r="A24">
        <v>23</v>
      </c>
      <c r="B24">
        <v>759</v>
      </c>
      <c r="C24">
        <v>250</v>
      </c>
      <c r="D24">
        <v>0.33077604999273502</v>
      </c>
      <c r="E24">
        <v>111.45865490538699</v>
      </c>
      <c r="F24">
        <v>1.9339299922216699</v>
      </c>
      <c r="G24">
        <v>-1845.2353478746418</v>
      </c>
      <c r="H24">
        <v>-1516.669106947711</v>
      </c>
      <c r="I24">
        <v>318.33454769126303</v>
      </c>
      <c r="J24">
        <v>162.50095967608701</v>
      </c>
      <c r="K24">
        <v>57.633241820374998</v>
      </c>
      <c r="L24">
        <v>0.8404024457825453</v>
      </c>
      <c r="M24">
        <v>-0.8401590498992737</v>
      </c>
      <c r="N24">
        <v>48.423213191224299</v>
      </c>
      <c r="O24">
        <v>48.423208014535298</v>
      </c>
      <c r="P24">
        <v>48.423199528544302</v>
      </c>
      <c r="Q24" t="s">
        <v>51</v>
      </c>
    </row>
    <row r="25" spans="1:17" x14ac:dyDescent="0.2">
      <c r="A25">
        <v>24</v>
      </c>
      <c r="B25">
        <v>758</v>
      </c>
      <c r="C25">
        <v>250</v>
      </c>
      <c r="D25">
        <v>0.330059157251614</v>
      </c>
      <c r="E25">
        <v>111.45868700194799</v>
      </c>
      <c r="F25">
        <v>1.93453722580881</v>
      </c>
      <c r="G25">
        <v>-1844.9176082369534</v>
      </c>
      <c r="H25">
        <v>-1516.8322345140541</v>
      </c>
      <c r="I25">
        <v>318.17692572516103</v>
      </c>
      <c r="J25">
        <v>162.498394540384</v>
      </c>
      <c r="K25">
        <v>57.615167862871402</v>
      </c>
      <c r="L25">
        <v>0.84051472191043408</v>
      </c>
      <c r="M25">
        <v>-0.84027141995748578</v>
      </c>
      <c r="N25">
        <v>48.414496545833401</v>
      </c>
      <c r="O25">
        <v>48.414491291616201</v>
      </c>
      <c r="P25">
        <v>48.414482811053503</v>
      </c>
      <c r="Q25" t="s">
        <v>51</v>
      </c>
    </row>
    <row r="26" spans="1:17" x14ac:dyDescent="0.2">
      <c r="A26">
        <v>25</v>
      </c>
      <c r="B26">
        <v>757</v>
      </c>
      <c r="C26">
        <v>250</v>
      </c>
      <c r="D26">
        <v>0.32934087268844398</v>
      </c>
      <c r="E26">
        <v>111.458726069009</v>
      </c>
      <c r="F26">
        <v>1.9351363736057099</v>
      </c>
      <c r="G26">
        <v>-1844.6001562182867</v>
      </c>
      <c r="H26">
        <v>-1517.0295242039094</v>
      </c>
      <c r="I26">
        <v>317.98612060258</v>
      </c>
      <c r="J26">
        <v>162.506355710186</v>
      </c>
      <c r="K26">
        <v>57.597349514613001</v>
      </c>
      <c r="L26">
        <v>0.83885866654909547</v>
      </c>
      <c r="M26">
        <v>-0.83861492074892641</v>
      </c>
      <c r="N26">
        <v>48.3041132414088</v>
      </c>
      <c r="O26">
        <v>48.304107897663499</v>
      </c>
      <c r="P26">
        <v>48.304099403858501</v>
      </c>
      <c r="Q26" t="s">
        <v>51</v>
      </c>
    </row>
    <row r="27" spans="1:17" x14ac:dyDescent="0.2">
      <c r="A27">
        <v>26</v>
      </c>
      <c r="B27">
        <v>756</v>
      </c>
      <c r="C27">
        <v>250</v>
      </c>
      <c r="D27">
        <v>0.32862119224602798</v>
      </c>
      <c r="E27">
        <v>111.458765296945</v>
      </c>
      <c r="F27">
        <v>1.93573702474929</v>
      </c>
      <c r="G27">
        <v>-1844.2828975978532</v>
      </c>
      <c r="H27">
        <v>-1517.2266978167281</v>
      </c>
      <c r="I27">
        <v>317.795245360911</v>
      </c>
      <c r="J27">
        <v>162.51428887724799</v>
      </c>
      <c r="K27">
        <v>57.579497561855398</v>
      </c>
      <c r="L27">
        <v>0.83720918920948117</v>
      </c>
      <c r="M27">
        <v>-0.83696500400656781</v>
      </c>
      <c r="N27">
        <v>48.194139806193299</v>
      </c>
      <c r="O27">
        <v>48.194134372445099</v>
      </c>
      <c r="P27">
        <v>48.1941258656136</v>
      </c>
      <c r="Q27" t="s">
        <v>51</v>
      </c>
    </row>
    <row r="28" spans="1:17" x14ac:dyDescent="0.2">
      <c r="A28">
        <v>27</v>
      </c>
      <c r="B28">
        <v>755</v>
      </c>
      <c r="C28">
        <v>250</v>
      </c>
      <c r="D28">
        <v>0.32790011185138401</v>
      </c>
      <c r="E28">
        <v>111.458804678105</v>
      </c>
      <c r="F28">
        <v>1.9363391754008901</v>
      </c>
      <c r="G28">
        <v>-1843.965832280644</v>
      </c>
      <c r="H28">
        <v>-1517.4237143956907</v>
      </c>
      <c r="I28">
        <v>317.60433953154001</v>
      </c>
      <c r="J28">
        <v>162.522180713144</v>
      </c>
      <c r="K28">
        <v>57.561612187611203</v>
      </c>
      <c r="L28">
        <v>0.83556840165907575</v>
      </c>
      <c r="M28">
        <v>-0.83532378214430847</v>
      </c>
      <c r="N28">
        <v>48.0846977954713</v>
      </c>
      <c r="O28">
        <v>48.084692271264601</v>
      </c>
      <c r="P28">
        <v>48.0846837516455</v>
      </c>
      <c r="Q28" t="s">
        <v>51</v>
      </c>
    </row>
    <row r="29" spans="1:17" x14ac:dyDescent="0.2">
      <c r="A29">
        <v>28</v>
      </c>
      <c r="B29">
        <v>754</v>
      </c>
      <c r="C29">
        <v>250</v>
      </c>
      <c r="D29">
        <v>0.32717762741566497</v>
      </c>
      <c r="E29">
        <v>111.45884421317901</v>
      </c>
      <c r="F29">
        <v>1.93694281131636</v>
      </c>
      <c r="G29">
        <v>-1843.6489603087198</v>
      </c>
      <c r="H29">
        <v>-1517.6205752338487</v>
      </c>
      <c r="I29">
        <v>317.41340180750399</v>
      </c>
      <c r="J29">
        <v>162.53003090168201</v>
      </c>
      <c r="K29">
        <v>57.543693888118</v>
      </c>
      <c r="L29">
        <v>0.8339362287280766</v>
      </c>
      <c r="M29">
        <v>-0.83369117997196185</v>
      </c>
      <c r="N29">
        <v>47.975782994828599</v>
      </c>
      <c r="O29">
        <v>47.975777379712802</v>
      </c>
      <c r="P29">
        <v>47.975768847544899</v>
      </c>
      <c r="Q29" t="s">
        <v>51</v>
      </c>
    </row>
    <row r="30" spans="1:17" x14ac:dyDescent="0.2">
      <c r="A30">
        <v>29</v>
      </c>
      <c r="B30">
        <v>753</v>
      </c>
      <c r="C30">
        <v>250</v>
      </c>
      <c r="D30">
        <v>0.32645373483409301</v>
      </c>
      <c r="E30">
        <v>111.458883902905</v>
      </c>
      <c r="F30">
        <v>1.9375479183339199</v>
      </c>
      <c r="G30">
        <v>-1843.3322817262408</v>
      </c>
      <c r="H30">
        <v>-1517.8172816105816</v>
      </c>
      <c r="I30">
        <v>317.22243089211099</v>
      </c>
      <c r="J30">
        <v>162.53783912327401</v>
      </c>
      <c r="K30">
        <v>57.525743156198899</v>
      </c>
      <c r="L30">
        <v>0.83231259606501573</v>
      </c>
      <c r="M30">
        <v>-0.83206712311788167</v>
      </c>
      <c r="N30">
        <v>47.867391234525201</v>
      </c>
      <c r="O30">
        <v>47.867385528054598</v>
      </c>
      <c r="P30">
        <v>47.8673769835763</v>
      </c>
      <c r="Q30" t="s">
        <v>51</v>
      </c>
    </row>
    <row r="31" spans="1:17" x14ac:dyDescent="0.2">
      <c r="A31">
        <v>30</v>
      </c>
      <c r="B31">
        <v>752</v>
      </c>
      <c r="C31">
        <v>250</v>
      </c>
      <c r="D31">
        <v>0.32572842998585799</v>
      </c>
      <c r="E31">
        <v>111.45892374804799</v>
      </c>
      <c r="F31">
        <v>1.9381544823719401</v>
      </c>
      <c r="G31">
        <v>-1843.0157965791025</v>
      </c>
      <c r="H31">
        <v>-1518.0138347915145</v>
      </c>
      <c r="I31">
        <v>317.03142549871598</v>
      </c>
      <c r="J31">
        <v>162.54560505502801</v>
      </c>
      <c r="K31">
        <v>57.507760481323203</v>
      </c>
      <c r="L31">
        <v>0.83069743012286601</v>
      </c>
      <c r="M31">
        <v>-0.830451538015063</v>
      </c>
      <c r="N31">
        <v>47.759518388767603</v>
      </c>
      <c r="O31">
        <v>47.759512590501402</v>
      </c>
      <c r="P31">
        <v>47.759504033950897</v>
      </c>
      <c r="Q31" t="s">
        <v>51</v>
      </c>
    </row>
    <row r="32" spans="1:17" x14ac:dyDescent="0.2">
      <c r="A32">
        <v>31</v>
      </c>
      <c r="B32">
        <v>751</v>
      </c>
      <c r="C32">
        <v>250</v>
      </c>
      <c r="D32">
        <v>0.32500170873407402</v>
      </c>
      <c r="E32">
        <v>111.45896374929001</v>
      </c>
      <c r="F32">
        <v>1.9387624894300199</v>
      </c>
      <c r="G32">
        <v>-1842.6995049131076</v>
      </c>
      <c r="H32">
        <v>-1518.2102360267679</v>
      </c>
      <c r="I32">
        <v>316.840384350698</v>
      </c>
      <c r="J32">
        <v>162.553328370423</v>
      </c>
      <c r="K32">
        <v>57.489746349517297</v>
      </c>
      <c r="L32">
        <v>0.8290906581684836</v>
      </c>
      <c r="M32">
        <v>-0.82884435191058847</v>
      </c>
      <c r="N32">
        <v>47.652160376198097</v>
      </c>
      <c r="O32">
        <v>47.652154485700699</v>
      </c>
      <c r="P32">
        <v>47.652145917316098</v>
      </c>
      <c r="Q32" t="s">
        <v>51</v>
      </c>
    </row>
    <row r="33" spans="1:17" x14ac:dyDescent="0.2">
      <c r="A33">
        <v>32</v>
      </c>
      <c r="B33">
        <v>750</v>
      </c>
      <c r="C33">
        <v>250</v>
      </c>
      <c r="D33">
        <v>0.324273566925672</v>
      </c>
      <c r="E33">
        <v>111.459003907382</v>
      </c>
      <c r="F33">
        <v>1.9393719255831801</v>
      </c>
      <c r="G33">
        <v>-1842.3834067764626</v>
      </c>
      <c r="H33">
        <v>-1518.4064865537521</v>
      </c>
      <c r="I33">
        <v>316.649306181209</v>
      </c>
      <c r="J33">
        <v>162.56100873992301</v>
      </c>
      <c r="K33">
        <v>57.471701243620899</v>
      </c>
      <c r="L33">
        <v>0.82749220824468472</v>
      </c>
      <c r="M33">
        <v>-0.82724549282768634</v>
      </c>
      <c r="N33">
        <v>47.545313157945401</v>
      </c>
      <c r="O33">
        <v>47.545307174786103</v>
      </c>
      <c r="P33">
        <v>47.545298594805303</v>
      </c>
      <c r="Q33" t="s">
        <v>51</v>
      </c>
    </row>
    <row r="34" spans="1:17" x14ac:dyDescent="0.2">
      <c r="A34">
        <v>33</v>
      </c>
      <c r="B34">
        <v>749</v>
      </c>
      <c r="C34">
        <v>250</v>
      </c>
      <c r="D34">
        <v>0.32354400039133302</v>
      </c>
      <c r="E34">
        <v>111.459044223078</v>
      </c>
      <c r="F34">
        <v>1.93998277698469</v>
      </c>
      <c r="G34">
        <v>-1842.0675022186813</v>
      </c>
      <c r="H34">
        <v>-1518.6025875961827</v>
      </c>
      <c r="I34">
        <v>316.458189733121</v>
      </c>
      <c r="J34">
        <v>162.568645830679</v>
      </c>
      <c r="K34">
        <v>57.453625643171101</v>
      </c>
      <c r="L34">
        <v>0.82590200917458212</v>
      </c>
      <c r="M34">
        <v>-0.82565488957007094</v>
      </c>
      <c r="N34">
        <v>47.438972737796298</v>
      </c>
      <c r="O34">
        <v>47.438966661549799</v>
      </c>
      <c r="P34">
        <v>47.438958070210298</v>
      </c>
      <c r="Q34" t="s">
        <v>51</v>
      </c>
    </row>
    <row r="35" spans="1:17" x14ac:dyDescent="0.2">
      <c r="A35">
        <v>34</v>
      </c>
      <c r="B35">
        <v>748</v>
      </c>
      <c r="C35">
        <v>250</v>
      </c>
      <c r="D35">
        <v>0.32281300494540499</v>
      </c>
      <c r="E35">
        <v>111.459084697093</v>
      </c>
      <c r="F35">
        <v>1.9405950298619601</v>
      </c>
      <c r="G35">
        <v>-1841.7517912899004</v>
      </c>
      <c r="H35">
        <v>-1518.798540363513</v>
      </c>
      <c r="I35">
        <v>316.26703375895499</v>
      </c>
      <c r="J35">
        <v>162.57623930662899</v>
      </c>
      <c r="K35">
        <v>57.435520024505898</v>
      </c>
      <c r="L35">
        <v>0.8243199905566243</v>
      </c>
      <c r="M35">
        <v>-0.8240724717169764</v>
      </c>
      <c r="N35">
        <v>47.333135162013903</v>
      </c>
      <c r="O35">
        <v>47.333128992260001</v>
      </c>
      <c r="P35">
        <v>47.333120389799099</v>
      </c>
      <c r="Q35" t="s">
        <v>51</v>
      </c>
    </row>
    <row r="36" spans="1:17" x14ac:dyDescent="0.2">
      <c r="A36">
        <v>35</v>
      </c>
      <c r="B36">
        <v>747</v>
      </c>
      <c r="C36">
        <v>250</v>
      </c>
      <c r="D36">
        <v>0.32208057638582899</v>
      </c>
      <c r="E36">
        <v>111.459125330201</v>
      </c>
      <c r="F36">
        <v>1.94120867051641</v>
      </c>
      <c r="G36">
        <v>-1841.4362740424519</v>
      </c>
      <c r="H36">
        <v>-1518.9943460526722</v>
      </c>
      <c r="I36">
        <v>316.07583702076602</v>
      </c>
      <c r="J36">
        <v>162.58378882866899</v>
      </c>
      <c r="K36">
        <v>57.417384860819702</v>
      </c>
      <c r="L36">
        <v>0.82274608274500138</v>
      </c>
      <c r="M36">
        <v>-0.82249816960355537</v>
      </c>
      <c r="N36">
        <v>47.227796518273401</v>
      </c>
      <c r="O36">
        <v>47.227790254597103</v>
      </c>
      <c r="P36">
        <v>47.227781641252101</v>
      </c>
      <c r="Q36" t="s">
        <v>51</v>
      </c>
    </row>
    <row r="37" spans="1:17" x14ac:dyDescent="0.2">
      <c r="A37">
        <v>36</v>
      </c>
      <c r="B37">
        <v>746</v>
      </c>
      <c r="C37">
        <v>250</v>
      </c>
      <c r="D37">
        <v>0.32134671049404001</v>
      </c>
      <c r="E37">
        <v>111.459166123141</v>
      </c>
      <c r="F37">
        <v>1.94182368532185</v>
      </c>
      <c r="G37">
        <v>-1841.1209505293316</v>
      </c>
      <c r="H37">
        <v>-1519.1900058471635</v>
      </c>
      <c r="I37">
        <v>315.88459828957298</v>
      </c>
      <c r="J37">
        <v>162.591294054706</v>
      </c>
      <c r="K37">
        <v>57.399220622168301</v>
      </c>
      <c r="L37">
        <v>0.82118021682610221</v>
      </c>
      <c r="M37">
        <v>-0.8209319142973277</v>
      </c>
      <c r="N37">
        <v>47.1229529343303</v>
      </c>
      <c r="O37">
        <v>47.1229465763221</v>
      </c>
      <c r="P37">
        <v>47.122937952329998</v>
      </c>
      <c r="Q37" t="s">
        <v>51</v>
      </c>
    </row>
    <row r="38" spans="1:17" x14ac:dyDescent="0.2">
      <c r="A38">
        <v>37</v>
      </c>
      <c r="B38">
        <v>745</v>
      </c>
      <c r="C38">
        <v>250</v>
      </c>
      <c r="D38">
        <v>0.32061140303491598</v>
      </c>
      <c r="E38">
        <v>111.459207076669</v>
      </c>
      <c r="F38">
        <v>1.9424400607237</v>
      </c>
      <c r="G38">
        <v>-1840.8058208050275</v>
      </c>
      <c r="H38">
        <v>-1519.385520917225</v>
      </c>
      <c r="I38">
        <v>315.69331634606101</v>
      </c>
      <c r="J38">
        <v>162.59875463952201</v>
      </c>
      <c r="K38">
        <v>57.381027775519499</v>
      </c>
      <c r="L38">
        <v>0.8196223246469595</v>
      </c>
      <c r="M38">
        <v>-0.81937363762663207</v>
      </c>
      <c r="N38">
        <v>47.018600579711098</v>
      </c>
      <c r="O38">
        <v>47.018594126966597</v>
      </c>
      <c r="P38">
        <v>47.0185854925641</v>
      </c>
      <c r="Q38" t="s">
        <v>51</v>
      </c>
    </row>
    <row r="39" spans="1:17" x14ac:dyDescent="0.2">
      <c r="A39">
        <v>38</v>
      </c>
      <c r="B39">
        <v>744</v>
      </c>
      <c r="C39">
        <v>250</v>
      </c>
      <c r="D39">
        <v>0.31987464975667701</v>
      </c>
      <c r="E39">
        <v>111.459220024098</v>
      </c>
      <c r="F39">
        <v>1.93206789532209</v>
      </c>
      <c r="G39">
        <v>-1840.4909932176745</v>
      </c>
      <c r="H39">
        <v>-1521.67707095068</v>
      </c>
      <c r="I39">
        <v>313.44168729322701</v>
      </c>
      <c r="J39">
        <v>162.56847648505899</v>
      </c>
      <c r="K39">
        <v>57.689080334061998</v>
      </c>
      <c r="L39">
        <v>0.71261889549424196</v>
      </c>
      <c r="M39">
        <v>-0.71233196543995081</v>
      </c>
      <c r="N39">
        <v>41.096198711197999</v>
      </c>
      <c r="O39">
        <v>41.096191267405999</v>
      </c>
      <c r="P39">
        <v>41.096181311722098</v>
      </c>
      <c r="Q39" t="s">
        <v>51</v>
      </c>
    </row>
    <row r="40" spans="1:17" x14ac:dyDescent="0.2">
      <c r="A40">
        <v>39</v>
      </c>
      <c r="B40">
        <v>743</v>
      </c>
      <c r="C40">
        <v>250</v>
      </c>
      <c r="D40">
        <v>0.31913644639078897</v>
      </c>
      <c r="E40">
        <v>111.459195894514</v>
      </c>
      <c r="F40">
        <v>1.9176299970924899</v>
      </c>
      <c r="G40">
        <v>-1840.1788315095539</v>
      </c>
      <c r="H40">
        <v>-1524.866842288237</v>
      </c>
      <c r="I40">
        <v>310.30448075217203</v>
      </c>
      <c r="J40">
        <v>162.511954614443</v>
      </c>
      <c r="K40">
        <v>58.123410701495402</v>
      </c>
      <c r="L40">
        <v>0.56198811787583769</v>
      </c>
      <c r="M40">
        <v>-0.56164800086357269</v>
      </c>
      <c r="N40">
        <v>32.647776002627502</v>
      </c>
      <c r="O40">
        <v>32.647767171677401</v>
      </c>
      <c r="P40">
        <v>32.6477553564199</v>
      </c>
      <c r="Q40" t="s">
        <v>51</v>
      </c>
    </row>
    <row r="41" spans="1:17" x14ac:dyDescent="0.2">
      <c r="A41">
        <v>40</v>
      </c>
      <c r="B41">
        <v>742</v>
      </c>
      <c r="C41">
        <v>250</v>
      </c>
      <c r="D41">
        <v>0.318396788651924</v>
      </c>
      <c r="E41">
        <v>111.46813988750201</v>
      </c>
      <c r="F41">
        <v>1.8712319504819399</v>
      </c>
      <c r="G41">
        <v>-1840.0228295399727</v>
      </c>
      <c r="H41">
        <v>-1535.0429202142616</v>
      </c>
      <c r="I41">
        <v>300.43422313228598</v>
      </c>
      <c r="J41">
        <v>162.120423444549</v>
      </c>
      <c r="K41">
        <v>59.569386819626402</v>
      </c>
      <c r="L41">
        <v>9.7877961597312491E-2</v>
      </c>
      <c r="M41">
        <v>-9.7372677439112709E-2</v>
      </c>
      <c r="N41">
        <v>5.8047803159510201</v>
      </c>
      <c r="O41">
        <v>5.8047671775319003</v>
      </c>
      <c r="P41">
        <v>5.80474938799758</v>
      </c>
      <c r="Q41" t="s">
        <v>51</v>
      </c>
    </row>
    <row r="42" spans="1:17" x14ac:dyDescent="0.2">
      <c r="A42">
        <v>41</v>
      </c>
      <c r="B42">
        <v>741</v>
      </c>
      <c r="C42">
        <v>250</v>
      </c>
      <c r="D42">
        <v>0.31765567223783697</v>
      </c>
      <c r="E42">
        <v>111.468224494354</v>
      </c>
      <c r="F42">
        <v>1.8675850162768799</v>
      </c>
      <c r="G42">
        <v>-1839.7244385629376</v>
      </c>
      <c r="H42">
        <v>-1536.1956993408553</v>
      </c>
      <c r="I42">
        <v>299.299736786837</v>
      </c>
      <c r="J42">
        <v>162.111365096502</v>
      </c>
      <c r="K42">
        <v>59.685756483831</v>
      </c>
      <c r="L42">
        <v>5.2839071454255697E-2</v>
      </c>
      <c r="M42">
        <v>-5.2318116470960463E-2</v>
      </c>
      <c r="N42">
        <v>3.12712852156965</v>
      </c>
      <c r="O42">
        <v>3.1271148200302799</v>
      </c>
      <c r="P42">
        <v>3.1270964578308398</v>
      </c>
      <c r="Q42" t="s">
        <v>51</v>
      </c>
    </row>
    <row r="43" spans="1:17" x14ac:dyDescent="0.2">
      <c r="A43">
        <v>42</v>
      </c>
      <c r="B43">
        <v>759</v>
      </c>
      <c r="C43">
        <v>225</v>
      </c>
      <c r="D43">
        <v>0.35741946422516302</v>
      </c>
      <c r="E43">
        <v>111.458902456454</v>
      </c>
      <c r="F43">
        <v>1.8948113550180801</v>
      </c>
      <c r="G43">
        <v>-1846.6945461693495</v>
      </c>
      <c r="H43">
        <v>-1517.6284160279106</v>
      </c>
      <c r="I43">
        <v>318.819081016496</v>
      </c>
      <c r="J43">
        <v>163.32669083869899</v>
      </c>
      <c r="K43">
        <v>58.823218554857398</v>
      </c>
      <c r="L43">
        <v>0.82010764257096591</v>
      </c>
      <c r="M43">
        <v>-0.81980485224194188</v>
      </c>
      <c r="N43">
        <v>48.226499133746699</v>
      </c>
      <c r="O43">
        <v>48.226494594098902</v>
      </c>
      <c r="P43">
        <v>48.226482305418301</v>
      </c>
      <c r="Q43" t="s">
        <v>51</v>
      </c>
    </row>
    <row r="44" spans="1:17" x14ac:dyDescent="0.2">
      <c r="A44">
        <v>43</v>
      </c>
      <c r="B44">
        <v>758</v>
      </c>
      <c r="C44">
        <v>225</v>
      </c>
      <c r="D44">
        <v>0.356728410027642</v>
      </c>
      <c r="E44">
        <v>111.45893724350999</v>
      </c>
      <c r="F44">
        <v>1.8954734043797601</v>
      </c>
      <c r="G44">
        <v>-1846.376368368456</v>
      </c>
      <c r="H44">
        <v>-1517.8034283594982</v>
      </c>
      <c r="I44">
        <v>318.64998010063198</v>
      </c>
      <c r="J44">
        <v>163.33033035729301</v>
      </c>
      <c r="K44">
        <v>58.802691183093401</v>
      </c>
      <c r="L44">
        <v>0.8196802144402241</v>
      </c>
      <c r="M44">
        <v>-0.81937733699866866</v>
      </c>
      <c r="N44">
        <v>48.184525210819203</v>
      </c>
      <c r="O44">
        <v>48.184520555913998</v>
      </c>
      <c r="P44">
        <v>48.184508264301599</v>
      </c>
      <c r="Q44" t="s">
        <v>51</v>
      </c>
    </row>
    <row r="45" spans="1:17" x14ac:dyDescent="0.2">
      <c r="A45">
        <v>44</v>
      </c>
      <c r="B45">
        <v>757</v>
      </c>
      <c r="C45">
        <v>225</v>
      </c>
      <c r="D45">
        <v>0.35603601417269398</v>
      </c>
      <c r="E45">
        <v>111.45897665624901</v>
      </c>
      <c r="F45">
        <v>1.8961228422545999</v>
      </c>
      <c r="G45">
        <v>-1846.0584488556649</v>
      </c>
      <c r="H45">
        <v>-1517.9998219607971</v>
      </c>
      <c r="I45">
        <v>318.46004972881298</v>
      </c>
      <c r="J45">
        <v>163.34040062343399</v>
      </c>
      <c r="K45">
        <v>58.782571557293103</v>
      </c>
      <c r="L45">
        <v>0.81814350168833005</v>
      </c>
      <c r="M45">
        <v>-0.81784016343371979</v>
      </c>
      <c r="N45">
        <v>48.077677880547697</v>
      </c>
      <c r="O45">
        <v>48.077673103871497</v>
      </c>
      <c r="P45">
        <v>48.0776607941865</v>
      </c>
      <c r="Q45" t="s">
        <v>51</v>
      </c>
    </row>
    <row r="46" spans="1:17" x14ac:dyDescent="0.2">
      <c r="A46">
        <v>45</v>
      </c>
      <c r="B46">
        <v>756</v>
      </c>
      <c r="C46">
        <v>225</v>
      </c>
      <c r="D46">
        <v>0.35534227274935698</v>
      </c>
      <c r="E46">
        <v>111.459016222709</v>
      </c>
      <c r="F46">
        <v>1.8967739853371799</v>
      </c>
      <c r="G46">
        <v>-1845.740721717747</v>
      </c>
      <c r="H46">
        <v>-1518.1960719393264</v>
      </c>
      <c r="I46">
        <v>318.27007670628001</v>
      </c>
      <c r="J46">
        <v>163.350443448676</v>
      </c>
      <c r="K46">
        <v>58.762412962393803</v>
      </c>
      <c r="L46">
        <v>0.81661481114748868</v>
      </c>
      <c r="M46">
        <v>-0.81631101770179515</v>
      </c>
      <c r="N46">
        <v>47.971332258471598</v>
      </c>
      <c r="O46">
        <v>47.971327359221704</v>
      </c>
      <c r="P46">
        <v>47.971315031768</v>
      </c>
      <c r="Q46" t="s">
        <v>51</v>
      </c>
    </row>
    <row r="47" spans="1:17" x14ac:dyDescent="0.2">
      <c r="A47">
        <v>46</v>
      </c>
      <c r="B47">
        <v>755</v>
      </c>
      <c r="C47">
        <v>225</v>
      </c>
      <c r="D47">
        <v>0.354647181831445</v>
      </c>
      <c r="E47">
        <v>111.459055943575</v>
      </c>
      <c r="F47">
        <v>1.8974268182735201</v>
      </c>
      <c r="G47">
        <v>-1845.4231870087701</v>
      </c>
      <c r="H47">
        <v>-1518.3921794870917</v>
      </c>
      <c r="I47">
        <v>318.08005980206599</v>
      </c>
      <c r="J47">
        <v>163.36045831665001</v>
      </c>
      <c r="K47">
        <v>58.742215968567699</v>
      </c>
      <c r="L47">
        <v>0.81509407402231226</v>
      </c>
      <c r="M47">
        <v>-0.81478983099373703</v>
      </c>
      <c r="N47">
        <v>47.865484461097601</v>
      </c>
      <c r="O47">
        <v>47.8654794384776</v>
      </c>
      <c r="P47">
        <v>47.865467093559303</v>
      </c>
      <c r="Q47" t="s">
        <v>51</v>
      </c>
    </row>
    <row r="48" spans="1:17" x14ac:dyDescent="0.2">
      <c r="A48">
        <v>47</v>
      </c>
      <c r="B48">
        <v>754</v>
      </c>
      <c r="C48">
        <v>225</v>
      </c>
      <c r="D48">
        <v>0.35395073747748601</v>
      </c>
      <c r="E48">
        <v>111.459095819616</v>
      </c>
      <c r="F48">
        <v>1.8980813257832201</v>
      </c>
      <c r="G48">
        <v>-1845.1058447853388</v>
      </c>
      <c r="H48">
        <v>-1518.5881457839494</v>
      </c>
      <c r="I48">
        <v>317.88999779471101</v>
      </c>
      <c r="J48">
        <v>163.37044470612901</v>
      </c>
      <c r="K48">
        <v>58.721981142522502</v>
      </c>
      <c r="L48">
        <v>0.8135812222616029</v>
      </c>
      <c r="M48">
        <v>-0.81327653524476229</v>
      </c>
      <c r="N48">
        <v>47.760130646063899</v>
      </c>
      <c r="O48">
        <v>47.760125499283099</v>
      </c>
      <c r="P48">
        <v>47.760113137205302</v>
      </c>
      <c r="Q48" t="s">
        <v>51</v>
      </c>
    </row>
    <row r="49" spans="1:17" x14ac:dyDescent="0.2">
      <c r="A49">
        <v>48</v>
      </c>
      <c r="B49">
        <v>753</v>
      </c>
      <c r="C49">
        <v>225</v>
      </c>
      <c r="D49">
        <v>0.35325293573064698</v>
      </c>
      <c r="E49">
        <v>111.459135851516</v>
      </c>
      <c r="F49">
        <v>1.8987374926493099</v>
      </c>
      <c r="G49">
        <v>-1844.7886951038884</v>
      </c>
      <c r="H49">
        <v>-1518.7839719958824</v>
      </c>
      <c r="I49">
        <v>317.69988947134101</v>
      </c>
      <c r="J49">
        <v>163.38040209139101</v>
      </c>
      <c r="K49">
        <v>58.7017090477298</v>
      </c>
      <c r="L49">
        <v>0.81207618851751973</v>
      </c>
      <c r="M49">
        <v>-0.81177106309360414</v>
      </c>
      <c r="N49">
        <v>47.655267009949</v>
      </c>
      <c r="O49">
        <v>47.655261738223302</v>
      </c>
      <c r="P49">
        <v>47.655249359291297</v>
      </c>
      <c r="Q49" t="s">
        <v>51</v>
      </c>
    </row>
    <row r="50" spans="1:17" x14ac:dyDescent="0.2">
      <c r="A50">
        <v>49</v>
      </c>
      <c r="B50">
        <v>752</v>
      </c>
      <c r="C50">
        <v>225</v>
      </c>
      <c r="D50">
        <v>0.35255377261864101</v>
      </c>
      <c r="E50">
        <v>111.459176040025</v>
      </c>
      <c r="F50">
        <v>1.8993953037219999</v>
      </c>
      <c r="G50">
        <v>-1844.4717380232</v>
      </c>
      <c r="H50">
        <v>-1518.979659276765</v>
      </c>
      <c r="I50">
        <v>317.50973362845201</v>
      </c>
      <c r="J50">
        <v>163.390329942102</v>
      </c>
      <c r="K50">
        <v>58.681400244389799</v>
      </c>
      <c r="L50">
        <v>0.81057890617034611</v>
      </c>
      <c r="M50">
        <v>-0.81027334790728778</v>
      </c>
      <c r="N50">
        <v>47.550889789720401</v>
      </c>
      <c r="O50">
        <v>47.550884392271598</v>
      </c>
      <c r="P50">
        <v>47.550871996791699</v>
      </c>
      <c r="Q50" t="s">
        <v>51</v>
      </c>
    </row>
    <row r="51" spans="1:17" x14ac:dyDescent="0.2">
      <c r="A51">
        <v>50</v>
      </c>
      <c r="B51">
        <v>751</v>
      </c>
      <c r="C51">
        <v>225</v>
      </c>
      <c r="D51">
        <v>0.35185324415369101</v>
      </c>
      <c r="E51">
        <v>111.459216385883</v>
      </c>
      <c r="F51">
        <v>1.90005474391416</v>
      </c>
      <c r="G51">
        <v>-1844.1549736030174</v>
      </c>
      <c r="H51">
        <v>-1519.175208767839</v>
      </c>
      <c r="I51">
        <v>317.31952907110701</v>
      </c>
      <c r="J51">
        <v>163.40022772355999</v>
      </c>
      <c r="K51">
        <v>58.661055289530097</v>
      </c>
      <c r="L51">
        <v>0.80908930928957767</v>
      </c>
      <c r="M51">
        <v>-0.80878332374220063</v>
      </c>
      <c r="N51">
        <v>47.4469952605494</v>
      </c>
      <c r="O51">
        <v>47.446989736606298</v>
      </c>
      <c r="P51">
        <v>47.446977324884998</v>
      </c>
      <c r="Q51" t="s">
        <v>51</v>
      </c>
    </row>
    <row r="52" spans="1:17" x14ac:dyDescent="0.2">
      <c r="A52">
        <v>51</v>
      </c>
      <c r="B52">
        <v>750</v>
      </c>
      <c r="C52">
        <v>225</v>
      </c>
      <c r="D52">
        <v>0.35115134633240402</v>
      </c>
      <c r="E52">
        <v>111.45925835370799</v>
      </c>
      <c r="F52">
        <v>1.8999063970855301</v>
      </c>
      <c r="G52">
        <v>-1843.8384509917366</v>
      </c>
      <c r="H52">
        <v>-1519.4843231246321</v>
      </c>
      <c r="I52">
        <v>317.01821806696199</v>
      </c>
      <c r="J52">
        <v>163.41131730355301</v>
      </c>
      <c r="K52">
        <v>58.665657700130602</v>
      </c>
      <c r="L52">
        <v>0.80220250262185422</v>
      </c>
      <c r="M52">
        <v>-0.80189362614647353</v>
      </c>
      <c r="N52">
        <v>47.046549980522101</v>
      </c>
      <c r="O52">
        <v>47.046544289339302</v>
      </c>
      <c r="P52">
        <v>47.046531759672398</v>
      </c>
      <c r="Q52" t="s">
        <v>51</v>
      </c>
    </row>
    <row r="53" spans="1:17" x14ac:dyDescent="0.2">
      <c r="A53">
        <v>52</v>
      </c>
      <c r="B53">
        <v>749</v>
      </c>
      <c r="C53">
        <v>225</v>
      </c>
      <c r="D53">
        <v>0.350448075135744</v>
      </c>
      <c r="E53">
        <v>111.45930201051399</v>
      </c>
      <c r="F53">
        <v>1.8987937915299899</v>
      </c>
      <c r="G53">
        <v>-1843.5223539737267</v>
      </c>
      <c r="H53">
        <v>-1519.9298194049802</v>
      </c>
      <c r="I53">
        <v>316.58333668199202</v>
      </c>
      <c r="J53">
        <v>163.425531993193</v>
      </c>
      <c r="K53">
        <v>58.7000560606973</v>
      </c>
      <c r="L53">
        <v>0.78882252726071966</v>
      </c>
      <c r="M53">
        <v>-0.78850780296668865</v>
      </c>
      <c r="N53">
        <v>46.288435116882297</v>
      </c>
      <c r="O53">
        <v>46.288429207286498</v>
      </c>
      <c r="P53">
        <v>46.288416437426598</v>
      </c>
      <c r="Q53" t="s">
        <v>51</v>
      </c>
    </row>
    <row r="54" spans="1:17" x14ac:dyDescent="0.2">
      <c r="A54">
        <v>53</v>
      </c>
      <c r="B54">
        <v>748</v>
      </c>
      <c r="C54">
        <v>225</v>
      </c>
      <c r="D54">
        <v>0.34974342652891699</v>
      </c>
      <c r="E54">
        <v>111.45931685075099</v>
      </c>
      <c r="F54">
        <v>1.8895820413719</v>
      </c>
      <c r="G54">
        <v>-1843.2065538169179</v>
      </c>
      <c r="H54">
        <v>-1521.9319750437576</v>
      </c>
      <c r="I54">
        <v>314.62377039068298</v>
      </c>
      <c r="J54">
        <v>163.354016102679</v>
      </c>
      <c r="K54">
        <v>58.986227859060101</v>
      </c>
      <c r="L54">
        <v>0.6972862654035632</v>
      </c>
      <c r="M54">
        <v>-0.69693576860566031</v>
      </c>
      <c r="N54">
        <v>41.112935843963697</v>
      </c>
      <c r="O54">
        <v>41.112929187818203</v>
      </c>
      <c r="P54">
        <v>41.1129149516578</v>
      </c>
      <c r="Q54" t="s">
        <v>51</v>
      </c>
    </row>
    <row r="55" spans="1:17" x14ac:dyDescent="0.2">
      <c r="A55">
        <v>54</v>
      </c>
      <c r="B55">
        <v>747</v>
      </c>
      <c r="C55">
        <v>225</v>
      </c>
      <c r="D55">
        <v>0.34903739646130499</v>
      </c>
      <c r="E55">
        <v>111.45929198426199</v>
      </c>
      <c r="F55">
        <v>1.87516776055347</v>
      </c>
      <c r="G55">
        <v>-1842.8931305128397</v>
      </c>
      <c r="H55">
        <v>-1525.0134590666066</v>
      </c>
      <c r="I55">
        <v>311.60488395955099</v>
      </c>
      <c r="J55">
        <v>163.21834981331301</v>
      </c>
      <c r="K55">
        <v>59.439637524145802</v>
      </c>
      <c r="L55">
        <v>0.5533197396643712</v>
      </c>
      <c r="M55">
        <v>-0.55291374138682303</v>
      </c>
      <c r="N55">
        <v>32.868853498677602</v>
      </c>
      <c r="O55">
        <v>32.868845706134003</v>
      </c>
      <c r="P55">
        <v>32.868829168437202</v>
      </c>
      <c r="Q55" t="s">
        <v>51</v>
      </c>
    </row>
    <row r="56" spans="1:17" x14ac:dyDescent="0.2">
      <c r="A56">
        <v>55</v>
      </c>
      <c r="B56">
        <v>746</v>
      </c>
      <c r="C56">
        <v>225</v>
      </c>
      <c r="D56">
        <v>0.34832998086640898</v>
      </c>
      <c r="E56">
        <v>111.468760426934</v>
      </c>
      <c r="F56">
        <v>1.82866930272039</v>
      </c>
      <c r="G56">
        <v>-1842.7436858610824</v>
      </c>
      <c r="H56">
        <v>-1534.9320615027225</v>
      </c>
      <c r="I56">
        <v>302.03355814540402</v>
      </c>
      <c r="J56">
        <v>162.53312325367801</v>
      </c>
      <c r="K56">
        <v>60.956215681593903</v>
      </c>
      <c r="L56">
        <v>0.10640267706451749</v>
      </c>
      <c r="M56">
        <v>-0.1058234780656659</v>
      </c>
      <c r="N56">
        <v>6.4562070187265403</v>
      </c>
      <c r="O56">
        <v>6.4561957689548004</v>
      </c>
      <c r="P56">
        <v>6.4561717987684801</v>
      </c>
      <c r="Q56" t="s">
        <v>51</v>
      </c>
    </row>
    <row r="57" spans="1:17" x14ac:dyDescent="0.2">
      <c r="A57">
        <v>56</v>
      </c>
      <c r="B57">
        <v>745</v>
      </c>
      <c r="C57">
        <v>225</v>
      </c>
      <c r="D57">
        <v>0.347621175661739</v>
      </c>
      <c r="E57">
        <v>111.468831117376</v>
      </c>
      <c r="F57">
        <v>1.82458520033281</v>
      </c>
      <c r="G57">
        <v>-1842.443503963696</v>
      </c>
      <c r="H57">
        <v>-1536.1634896022538</v>
      </c>
      <c r="I57">
        <v>300.82609814063198</v>
      </c>
      <c r="J57">
        <v>162.48423927568501</v>
      </c>
      <c r="K57">
        <v>61.092697176894397</v>
      </c>
      <c r="L57">
        <v>5.8220173738218355E-2</v>
      </c>
      <c r="M57">
        <v>-5.7622680009437335E-2</v>
      </c>
      <c r="N57">
        <v>3.52610849034884</v>
      </c>
      <c r="O57">
        <v>3.5260966621863798</v>
      </c>
      <c r="P57">
        <v>3.5260718921557199</v>
      </c>
      <c r="Q57" t="s">
        <v>51</v>
      </c>
    </row>
    <row r="58" spans="1:17" x14ac:dyDescent="0.2">
      <c r="A58">
        <v>57</v>
      </c>
      <c r="B58">
        <v>760</v>
      </c>
      <c r="C58">
        <v>200</v>
      </c>
      <c r="D58">
        <v>0.38472680636887402</v>
      </c>
      <c r="E58">
        <v>111.45912070285701</v>
      </c>
      <c r="F58">
        <v>1.84726644289458</v>
      </c>
      <c r="G58">
        <v>-1848.5059579675253</v>
      </c>
      <c r="H58">
        <v>-1518.3746779831329</v>
      </c>
      <c r="I58">
        <v>319.541678841622</v>
      </c>
      <c r="J58">
        <v>164.15002995825901</v>
      </c>
      <c r="K58">
        <v>60.337327693890103</v>
      </c>
      <c r="L58">
        <v>0.79630220787163986</v>
      </c>
      <c r="M58">
        <v>-0.79592045934689093</v>
      </c>
      <c r="N58">
        <v>48.0279278617326</v>
      </c>
      <c r="O58">
        <v>48.0279264151227</v>
      </c>
      <c r="P58">
        <v>48.027908204313299</v>
      </c>
      <c r="Q58" t="s">
        <v>51</v>
      </c>
    </row>
    <row r="59" spans="1:17" x14ac:dyDescent="0.2">
      <c r="A59">
        <v>58</v>
      </c>
      <c r="B59">
        <v>759</v>
      </c>
      <c r="C59">
        <v>200</v>
      </c>
      <c r="D59">
        <v>0.38406287845759102</v>
      </c>
      <c r="E59">
        <v>111.45915411195701</v>
      </c>
      <c r="F59">
        <v>1.8480131401904101</v>
      </c>
      <c r="G59">
        <v>-1848.1870342104539</v>
      </c>
      <c r="H59">
        <v>-1518.5426118712064</v>
      </c>
      <c r="I59">
        <v>319.37957563270299</v>
      </c>
      <c r="J59">
        <v>164.15514530108399</v>
      </c>
      <c r="K59">
        <v>60.312966227325198</v>
      </c>
      <c r="L59">
        <v>0.79632861787462417</v>
      </c>
      <c r="M59">
        <v>-0.79594690657930434</v>
      </c>
      <c r="N59">
        <v>48.010121805052201</v>
      </c>
      <c r="O59">
        <v>48.010120199713</v>
      </c>
      <c r="P59">
        <v>48.010101986986399</v>
      </c>
      <c r="Q59" t="s">
        <v>51</v>
      </c>
    </row>
    <row r="60" spans="1:17" x14ac:dyDescent="0.2">
      <c r="A60">
        <v>59</v>
      </c>
      <c r="B60">
        <v>758</v>
      </c>
      <c r="C60">
        <v>200</v>
      </c>
      <c r="D60">
        <v>0.383397662803666</v>
      </c>
      <c r="E60">
        <v>111.45919367803999</v>
      </c>
      <c r="F60">
        <v>1.8487266631238399</v>
      </c>
      <c r="G60">
        <v>-1847.8683874686114</v>
      </c>
      <c r="H60">
        <v>-1518.7380313173519</v>
      </c>
      <c r="I60">
        <v>319.190775914271</v>
      </c>
      <c r="J60">
        <v>164.16824286745401</v>
      </c>
      <c r="K60">
        <v>60.289709615430198</v>
      </c>
      <c r="L60">
        <v>0.79492611570367788</v>
      </c>
      <c r="M60">
        <v>-0.79454389755843391</v>
      </c>
      <c r="N60">
        <v>47.907018526039202</v>
      </c>
      <c r="O60">
        <v>47.907016758390498</v>
      </c>
      <c r="P60">
        <v>47.906998517576199</v>
      </c>
      <c r="Q60" t="s">
        <v>51</v>
      </c>
    </row>
    <row r="61" spans="1:17" x14ac:dyDescent="0.2">
      <c r="A61">
        <v>60</v>
      </c>
      <c r="B61">
        <v>757</v>
      </c>
      <c r="C61">
        <v>200</v>
      </c>
      <c r="D61">
        <v>0.38273115565694399</v>
      </c>
      <c r="E61">
        <v>111.459233398254</v>
      </c>
      <c r="F61">
        <v>1.8494421932910701</v>
      </c>
      <c r="G61">
        <v>-1847.5499319872574</v>
      </c>
      <c r="H61">
        <v>-1518.9333228538733</v>
      </c>
      <c r="I61">
        <v>319.00191945081701</v>
      </c>
      <c r="J61">
        <v>164.18133520600199</v>
      </c>
      <c r="K61">
        <v>60.266405623586301</v>
      </c>
      <c r="L61">
        <v>0.79353090645726565</v>
      </c>
      <c r="M61">
        <v>-0.79314818770350848</v>
      </c>
      <c r="N61">
        <v>47.804382730105701</v>
      </c>
      <c r="O61">
        <v>47.804380798678899</v>
      </c>
      <c r="P61">
        <v>47.8043625301407</v>
      </c>
      <c r="Q61" t="s">
        <v>51</v>
      </c>
    </row>
    <row r="62" spans="1:17" x14ac:dyDescent="0.2">
      <c r="A62">
        <v>61</v>
      </c>
      <c r="B62">
        <v>756</v>
      </c>
      <c r="C62">
        <v>200</v>
      </c>
      <c r="D62">
        <v>0.38206335325268598</v>
      </c>
      <c r="E62">
        <v>111.45927444278099</v>
      </c>
      <c r="F62">
        <v>1.8494640620867799</v>
      </c>
      <c r="G62">
        <v>-1847.2317041052545</v>
      </c>
      <c r="H62">
        <v>-1519.2215157497012</v>
      </c>
      <c r="I62">
        <v>318.72266568971702</v>
      </c>
      <c r="J62">
        <v>164.19121270923901</v>
      </c>
      <c r="K62">
        <v>60.265715202392201</v>
      </c>
      <c r="L62">
        <v>0.7877826509318363</v>
      </c>
      <c r="M62">
        <v>-0.78739724255065702</v>
      </c>
      <c r="N62">
        <v>47.457270008411399</v>
      </c>
      <c r="O62">
        <v>47.457267903576998</v>
      </c>
      <c r="P62">
        <v>47.457249499186297</v>
      </c>
      <c r="Q62" t="s">
        <v>51</v>
      </c>
    </row>
    <row r="63" spans="1:17" x14ac:dyDescent="0.2">
      <c r="A63">
        <v>62</v>
      </c>
      <c r="B63">
        <v>755</v>
      </c>
      <c r="C63">
        <v>200</v>
      </c>
      <c r="D63">
        <v>0.38139425181150599</v>
      </c>
      <c r="E63">
        <v>111.459317343316</v>
      </c>
      <c r="F63">
        <v>1.84836710659505</v>
      </c>
      <c r="G63">
        <v>-1846.9138867512033</v>
      </c>
      <c r="H63">
        <v>-1519.6602602902387</v>
      </c>
      <c r="I63">
        <v>318.29686851625797</v>
      </c>
      <c r="J63">
        <v>164.19730957585401</v>
      </c>
      <c r="K63">
        <v>60.301504471500401</v>
      </c>
      <c r="L63">
        <v>0.77497107666308251</v>
      </c>
      <c r="M63">
        <v>-0.77457943038133747</v>
      </c>
      <c r="N63">
        <v>46.712577165105898</v>
      </c>
      <c r="O63">
        <v>46.712574869229499</v>
      </c>
      <c r="P63">
        <v>46.712556153335598</v>
      </c>
      <c r="Q63" t="s">
        <v>51</v>
      </c>
    </row>
    <row r="64" spans="1:17" x14ac:dyDescent="0.2">
      <c r="A64">
        <v>63</v>
      </c>
      <c r="B64">
        <v>754</v>
      </c>
      <c r="C64">
        <v>200</v>
      </c>
      <c r="D64">
        <v>0.38072384753930699</v>
      </c>
      <c r="E64">
        <v>111.45936010022101</v>
      </c>
      <c r="F64">
        <v>1.84727808325056</v>
      </c>
      <c r="G64">
        <v>-1846.5964930359082</v>
      </c>
      <c r="H64">
        <v>-1520.0993285231791</v>
      </c>
      <c r="I64">
        <v>317.87033972330602</v>
      </c>
      <c r="J64">
        <v>164.20544052411799</v>
      </c>
      <c r="K64">
        <v>60.3370770815905</v>
      </c>
      <c r="L64">
        <v>0.76212978789759922</v>
      </c>
      <c r="M64">
        <v>-0.76173190149665826</v>
      </c>
      <c r="N64">
        <v>45.965008539042302</v>
      </c>
      <c r="O64">
        <v>45.965006046337699</v>
      </c>
      <c r="P64">
        <v>45.964987018405999</v>
      </c>
      <c r="Q64" t="s">
        <v>51</v>
      </c>
    </row>
    <row r="65" spans="1:17" x14ac:dyDescent="0.2">
      <c r="A65">
        <v>64</v>
      </c>
      <c r="B65">
        <v>753</v>
      </c>
      <c r="C65">
        <v>200</v>
      </c>
      <c r="D65">
        <v>0.380052136627202</v>
      </c>
      <c r="E65">
        <v>111.45940268386801</v>
      </c>
      <c r="F65">
        <v>1.8461914816684799</v>
      </c>
      <c r="G65">
        <v>-1846.2795236201014</v>
      </c>
      <c r="H65">
        <v>-1520.5396125811983</v>
      </c>
      <c r="I65">
        <v>317.44220858973898</v>
      </c>
      <c r="J65">
        <v>164.21557446157499</v>
      </c>
      <c r="K65">
        <v>60.372612370162898</v>
      </c>
      <c r="L65">
        <v>0.7492106387085119</v>
      </c>
      <c r="M65">
        <v>-0.74880648966146435</v>
      </c>
      <c r="N65">
        <v>45.211795913885297</v>
      </c>
      <c r="O65">
        <v>45.211793218441201</v>
      </c>
      <c r="P65">
        <v>45.211773876951902</v>
      </c>
      <c r="Q65" t="s">
        <v>51</v>
      </c>
    </row>
    <row r="66" spans="1:17" x14ac:dyDescent="0.2">
      <c r="A66">
        <v>65</v>
      </c>
      <c r="B66">
        <v>752</v>
      </c>
      <c r="C66">
        <v>200</v>
      </c>
      <c r="D66">
        <v>0.37937911525142798</v>
      </c>
      <c r="E66">
        <v>111.45938835267</v>
      </c>
      <c r="F66">
        <v>1.8307272178576099</v>
      </c>
      <c r="G66">
        <v>-1845.9631941776772</v>
      </c>
      <c r="H66">
        <v>-1523.5706133177057</v>
      </c>
      <c r="I66">
        <v>314.487169440108</v>
      </c>
      <c r="J66">
        <v>163.996641652813</v>
      </c>
      <c r="K66">
        <v>60.882575659253497</v>
      </c>
      <c r="L66">
        <v>0.60803873630615202</v>
      </c>
      <c r="M66">
        <v>-0.60757403757311668</v>
      </c>
      <c r="N66">
        <v>36.995740321379998</v>
      </c>
      <c r="O66">
        <v>36.995737094511703</v>
      </c>
      <c r="P66">
        <v>36.995714757989901</v>
      </c>
      <c r="Q66" t="s">
        <v>51</v>
      </c>
    </row>
    <row r="67" spans="1:17" x14ac:dyDescent="0.2">
      <c r="A67">
        <v>66</v>
      </c>
      <c r="B67">
        <v>751</v>
      </c>
      <c r="C67">
        <v>200</v>
      </c>
      <c r="D67">
        <v>0.378704779573308</v>
      </c>
      <c r="E67">
        <v>111.468653348624</v>
      </c>
      <c r="F67">
        <v>1.7864599405217401</v>
      </c>
      <c r="G67">
        <v>-1845.8032118147194</v>
      </c>
      <c r="H67">
        <v>-1532.3197337416909</v>
      </c>
      <c r="I67">
        <v>306.09670734818002</v>
      </c>
      <c r="J67">
        <v>163.14756475792001</v>
      </c>
      <c r="K67">
        <v>62.396391220544103</v>
      </c>
      <c r="L67">
        <v>0.21473752811680311</v>
      </c>
      <c r="M67">
        <v>-0.21410413758890656</v>
      </c>
      <c r="N67">
        <v>13.3663561709568</v>
      </c>
      <c r="O67">
        <v>13.366351634017899</v>
      </c>
      <c r="P67">
        <v>13.366320671662301</v>
      </c>
      <c r="Q67" t="s">
        <v>51</v>
      </c>
    </row>
    <row r="68" spans="1:17" x14ac:dyDescent="0.2">
      <c r="A68">
        <v>67</v>
      </c>
      <c r="B68">
        <v>750</v>
      </c>
      <c r="C68">
        <v>200</v>
      </c>
      <c r="D68">
        <v>0.37802912573913899</v>
      </c>
      <c r="E68">
        <v>111.46944241005799</v>
      </c>
      <c r="F68">
        <v>1.7729763156137801</v>
      </c>
      <c r="G68">
        <v>-1845.5117866640205</v>
      </c>
      <c r="H68">
        <v>-1535.3611018483994</v>
      </c>
      <c r="I68">
        <v>303.13899304148799</v>
      </c>
      <c r="J68">
        <v>162.854838085328</v>
      </c>
      <c r="K68">
        <v>62.871365752829398</v>
      </c>
      <c r="L68">
        <v>8.6232774379576202E-2</v>
      </c>
      <c r="M68">
        <v>-8.5544737448670444E-2</v>
      </c>
      <c r="N68">
        <v>5.38598465938224</v>
      </c>
      <c r="O68">
        <v>5.38597945413738</v>
      </c>
      <c r="P68">
        <v>5.3859456077708003</v>
      </c>
      <c r="Q68" t="s">
        <v>51</v>
      </c>
    </row>
    <row r="69" spans="1:17" x14ac:dyDescent="0.2">
      <c r="A69">
        <v>68</v>
      </c>
      <c r="B69">
        <v>749</v>
      </c>
      <c r="C69">
        <v>200</v>
      </c>
      <c r="D69">
        <v>0.37735214988015597</v>
      </c>
      <c r="E69">
        <v>111.469400980434</v>
      </c>
      <c r="F69">
        <v>1.7701634456316899</v>
      </c>
      <c r="G69">
        <v>-1845.2084954303593</v>
      </c>
      <c r="H69">
        <v>-1536.3024644014204</v>
      </c>
      <c r="I69">
        <v>302.21801586884999</v>
      </c>
      <c r="J69">
        <v>162.80272751626899</v>
      </c>
      <c r="K69">
        <v>62.9712477994685</v>
      </c>
      <c r="L69">
        <v>5.1757400822604889E-2</v>
      </c>
      <c r="M69">
        <v>-5.1054922601451662E-2</v>
      </c>
      <c r="N69">
        <v>3.2228162221433401</v>
      </c>
      <c r="O69">
        <v>3.22281060924466</v>
      </c>
      <c r="P69">
        <v>3.2227759940881802</v>
      </c>
      <c r="Q69" t="s">
        <v>51</v>
      </c>
    </row>
    <row r="70" spans="1:17" x14ac:dyDescent="0.2">
      <c r="A70">
        <v>69</v>
      </c>
      <c r="B70">
        <v>765</v>
      </c>
      <c r="C70">
        <v>175</v>
      </c>
      <c r="D70">
        <v>0.41451668833983701</v>
      </c>
      <c r="E70">
        <v>111.45921221785601</v>
      </c>
      <c r="F70">
        <v>1.7845142138113601</v>
      </c>
      <c r="G70">
        <v>-1851.6423441401403</v>
      </c>
      <c r="H70">
        <v>-1518.3861599506088</v>
      </c>
      <c r="I70">
        <v>321.01296892091199</v>
      </c>
      <c r="J70">
        <v>164.87678891684499</v>
      </c>
      <c r="K70">
        <v>62.4591338949337</v>
      </c>
      <c r="L70">
        <v>0.76630901124461914</v>
      </c>
      <c r="M70">
        <v>-0.76581964449449924</v>
      </c>
      <c r="N70">
        <v>47.838806868226797</v>
      </c>
      <c r="O70">
        <v>47.838814517759801</v>
      </c>
      <c r="P70">
        <v>47.838786881569298</v>
      </c>
      <c r="Q70" t="s">
        <v>51</v>
      </c>
    </row>
    <row r="71" spans="1:17" x14ac:dyDescent="0.2">
      <c r="A71">
        <v>70</v>
      </c>
      <c r="B71">
        <v>764</v>
      </c>
      <c r="C71">
        <v>175</v>
      </c>
      <c r="D71">
        <v>0.41388468398978101</v>
      </c>
      <c r="E71">
        <v>111.45924302111401</v>
      </c>
      <c r="F71">
        <v>1.78516529740116</v>
      </c>
      <c r="G71">
        <v>-1851.3219097749791</v>
      </c>
      <c r="H71">
        <v>-1518.5704797054716</v>
      </c>
      <c r="I71">
        <v>320.83581335640002</v>
      </c>
      <c r="J71">
        <v>164.881277368659</v>
      </c>
      <c r="K71">
        <v>62.436371121137</v>
      </c>
      <c r="L71">
        <v>0.76573887578669941</v>
      </c>
      <c r="M71">
        <v>-0.7652490264435734</v>
      </c>
      <c r="N71">
        <v>47.785736982842899</v>
      </c>
      <c r="O71">
        <v>47.785744442871597</v>
      </c>
      <c r="P71">
        <v>47.785716765455199</v>
      </c>
      <c r="Q71" t="s">
        <v>51</v>
      </c>
    </row>
    <row r="72" spans="1:17" x14ac:dyDescent="0.2">
      <c r="A72">
        <v>71</v>
      </c>
      <c r="B72">
        <v>763</v>
      </c>
      <c r="C72">
        <v>175</v>
      </c>
      <c r="D72">
        <v>0.41325145973073701</v>
      </c>
      <c r="E72">
        <v>111.459270186936</v>
      </c>
      <c r="F72">
        <v>1.7853386893237499</v>
      </c>
      <c r="G72">
        <v>-1851.0016212833025</v>
      </c>
      <c r="H72">
        <v>-1518.7994333184581</v>
      </c>
      <c r="I72">
        <v>320.61538881581401</v>
      </c>
      <c r="J72">
        <v>164.87486792051399</v>
      </c>
      <c r="K72">
        <v>62.430322522811899</v>
      </c>
      <c r="L72">
        <v>0.76322893934564862</v>
      </c>
      <c r="M72">
        <v>-0.76273739417293585</v>
      </c>
      <c r="N72">
        <v>47.624312883256799</v>
      </c>
      <c r="O72">
        <v>47.624320173117397</v>
      </c>
      <c r="P72">
        <v>47.6242923808881</v>
      </c>
      <c r="Q72" t="s">
        <v>51</v>
      </c>
    </row>
    <row r="73" spans="1:17" x14ac:dyDescent="0.2">
      <c r="A73">
        <v>72</v>
      </c>
      <c r="B73">
        <v>762</v>
      </c>
      <c r="C73">
        <v>175</v>
      </c>
      <c r="D73">
        <v>0.41261701202724399</v>
      </c>
      <c r="E73">
        <v>111.45930343098701</v>
      </c>
      <c r="F73">
        <v>1.78498649057492</v>
      </c>
      <c r="G73">
        <v>-1850.6816685653041</v>
      </c>
      <c r="H73">
        <v>-1519.1109749583954</v>
      </c>
      <c r="I73">
        <v>320.315093863247</v>
      </c>
      <c r="J73">
        <v>164.87051519986201</v>
      </c>
      <c r="K73">
        <v>62.442659381185301</v>
      </c>
      <c r="L73">
        <v>0.75676848826522281</v>
      </c>
      <c r="M73">
        <v>-0.7562731830513385</v>
      </c>
      <c r="N73">
        <v>47.230114927105802</v>
      </c>
      <c r="O73">
        <v>47.230122077076999</v>
      </c>
      <c r="P73">
        <v>47.2300940472146</v>
      </c>
      <c r="Q73" t="s">
        <v>51</v>
      </c>
    </row>
    <row r="74" spans="1:17" x14ac:dyDescent="0.2">
      <c r="A74">
        <v>73</v>
      </c>
      <c r="B74">
        <v>761</v>
      </c>
      <c r="C74">
        <v>175</v>
      </c>
      <c r="D74">
        <v>0.411981337330175</v>
      </c>
      <c r="E74">
        <v>111.459345310221</v>
      </c>
      <c r="F74">
        <v>1.7838817336583299</v>
      </c>
      <c r="G74">
        <v>-1850.3622378042717</v>
      </c>
      <c r="H74">
        <v>-1519.5415106387597</v>
      </c>
      <c r="I74">
        <v>319.89967956241702</v>
      </c>
      <c r="J74">
        <v>164.86969884621001</v>
      </c>
      <c r="K74">
        <v>62.481353560162098</v>
      </c>
      <c r="L74">
        <v>0.74461411690819446</v>
      </c>
      <c r="M74">
        <v>-0.74411207916901334</v>
      </c>
      <c r="N74">
        <v>46.499611343417101</v>
      </c>
      <c r="O74">
        <v>46.499618395783997</v>
      </c>
      <c r="P74">
        <v>46.4995899509154</v>
      </c>
      <c r="Q74" t="s">
        <v>51</v>
      </c>
    </row>
    <row r="75" spans="1:17" x14ac:dyDescent="0.2">
      <c r="A75">
        <v>74</v>
      </c>
      <c r="B75">
        <v>760</v>
      </c>
      <c r="C75">
        <v>175</v>
      </c>
      <c r="D75">
        <v>0.41134443207665999</v>
      </c>
      <c r="E75">
        <v>111.459387049578</v>
      </c>
      <c r="F75">
        <v>1.78278814443113</v>
      </c>
      <c r="G75">
        <v>-1850.0432202296665</v>
      </c>
      <c r="H75">
        <v>-1519.9721022948163</v>
      </c>
      <c r="I75">
        <v>319.483806939359</v>
      </c>
      <c r="J75">
        <v>164.87072315143601</v>
      </c>
      <c r="K75">
        <v>62.519703980387099</v>
      </c>
      <c r="L75">
        <v>0.73244315994698961</v>
      </c>
      <c r="M75">
        <v>-0.73193439143064554</v>
      </c>
      <c r="N75">
        <v>45.766877820775598</v>
      </c>
      <c r="O75">
        <v>45.766884768365301</v>
      </c>
      <c r="P75">
        <v>45.766855907661999</v>
      </c>
      <c r="Q75" t="s">
        <v>51</v>
      </c>
    </row>
    <row r="76" spans="1:17" x14ac:dyDescent="0.2">
      <c r="A76">
        <v>75</v>
      </c>
      <c r="B76">
        <v>759</v>
      </c>
      <c r="C76">
        <v>175</v>
      </c>
      <c r="D76">
        <v>0.41070629269001901</v>
      </c>
      <c r="E76">
        <v>111.45942862132</v>
      </c>
      <c r="F76">
        <v>1.7817002367405801</v>
      </c>
      <c r="G76">
        <v>-1849.7246162156498</v>
      </c>
      <c r="H76">
        <v>-1520.4035502470265</v>
      </c>
      <c r="I76">
        <v>319.06669977727802</v>
      </c>
      <c r="J76">
        <v>164.87351234108101</v>
      </c>
      <c r="K76">
        <v>62.557901897809003</v>
      </c>
      <c r="L76">
        <v>0.72021284023321719</v>
      </c>
      <c r="M76">
        <v>-0.71969732252192575</v>
      </c>
      <c r="N76">
        <v>45.029385627043503</v>
      </c>
      <c r="O76">
        <v>45.029392462913201</v>
      </c>
      <c r="P76">
        <v>45.029363184355802</v>
      </c>
      <c r="Q76" t="s">
        <v>51</v>
      </c>
    </row>
    <row r="77" spans="1:17" x14ac:dyDescent="0.2">
      <c r="A77">
        <v>76</v>
      </c>
      <c r="B77">
        <v>758</v>
      </c>
      <c r="C77">
        <v>175</v>
      </c>
      <c r="D77">
        <v>0.41006691557969399</v>
      </c>
      <c r="E77">
        <v>111.459468165762</v>
      </c>
      <c r="F77">
        <v>1.78003519294753</v>
      </c>
      <c r="G77">
        <v>-1849.4063984707198</v>
      </c>
      <c r="H77">
        <v>-1520.928566176475</v>
      </c>
      <c r="I77">
        <v>318.55843265693102</v>
      </c>
      <c r="J77">
        <v>164.866234202962</v>
      </c>
      <c r="K77">
        <v>62.616440735195901</v>
      </c>
      <c r="L77">
        <v>0.70335028726239412</v>
      </c>
      <c r="M77">
        <v>-0.70282582292202433</v>
      </c>
      <c r="N77">
        <v>44.015186942268301</v>
      </c>
      <c r="O77">
        <v>44.015193690863903</v>
      </c>
      <c r="P77">
        <v>44.0151638626634</v>
      </c>
      <c r="Q77" t="s">
        <v>51</v>
      </c>
    </row>
    <row r="78" spans="1:17" x14ac:dyDescent="0.2">
      <c r="A78">
        <v>77</v>
      </c>
      <c r="B78">
        <v>757</v>
      </c>
      <c r="C78">
        <v>175</v>
      </c>
      <c r="D78">
        <v>0.40942629714119499</v>
      </c>
      <c r="E78">
        <v>111.459444614639</v>
      </c>
      <c r="F78">
        <v>1.76278786132479</v>
      </c>
      <c r="G78">
        <v>-1849.0890293897746</v>
      </c>
      <c r="H78">
        <v>-1523.9963888007987</v>
      </c>
      <c r="I78">
        <v>315.58204341540102</v>
      </c>
      <c r="J78">
        <v>164.528962098401</v>
      </c>
      <c r="K78">
        <v>63.229074274923498</v>
      </c>
      <c r="L78">
        <v>0.56265002505601325</v>
      </c>
      <c r="M78">
        <v>-0.56205787980063926</v>
      </c>
      <c r="N78">
        <v>35.546044617942499</v>
      </c>
      <c r="O78">
        <v>35.546052101831499</v>
      </c>
      <c r="P78">
        <v>35.546018183639603</v>
      </c>
      <c r="Q78" t="s">
        <v>51</v>
      </c>
    </row>
    <row r="79" spans="1:17" x14ac:dyDescent="0.2">
      <c r="A79">
        <v>78</v>
      </c>
      <c r="B79">
        <v>756</v>
      </c>
      <c r="C79">
        <v>175</v>
      </c>
      <c r="D79">
        <v>0.40878443375601398</v>
      </c>
      <c r="E79">
        <v>111.46935771867101</v>
      </c>
      <c r="F79">
        <v>1.7181437912100399</v>
      </c>
      <c r="G79">
        <v>-1848.938773465567</v>
      </c>
      <c r="H79">
        <v>-1532.0926898394139</v>
      </c>
      <c r="I79">
        <v>307.876992552155</v>
      </c>
      <c r="J79">
        <v>163.42152008161</v>
      </c>
      <c r="K79">
        <v>64.877781643739198</v>
      </c>
      <c r="L79">
        <v>0.20799016724059913</v>
      </c>
      <c r="M79">
        <v>-0.20722740691238617</v>
      </c>
      <c r="N79">
        <v>13.454498651364601</v>
      </c>
      <c r="O79">
        <v>13.4545083054605</v>
      </c>
      <c r="P79">
        <v>13.4544637079293</v>
      </c>
      <c r="Q79" t="s">
        <v>51</v>
      </c>
    </row>
    <row r="80" spans="1:17" x14ac:dyDescent="0.2">
      <c r="A80">
        <v>79</v>
      </c>
      <c r="B80">
        <v>755</v>
      </c>
      <c r="C80">
        <v>175</v>
      </c>
      <c r="D80">
        <v>0.40814132179156798</v>
      </c>
      <c r="E80">
        <v>111.47004751748899</v>
      </c>
      <c r="F80">
        <v>1.7041458627217201</v>
      </c>
      <c r="G80">
        <v>-1848.6438380763407</v>
      </c>
      <c r="H80">
        <v>-1535.0035939798734</v>
      </c>
      <c r="I80">
        <v>305.05882042120197</v>
      </c>
      <c r="J80">
        <v>163.02742930942901</v>
      </c>
      <c r="K80">
        <v>65.411095350405105</v>
      </c>
      <c r="L80">
        <v>8.8079059879461241E-2</v>
      </c>
      <c r="M80">
        <v>-8.7259030166882454E-2</v>
      </c>
      <c r="N80">
        <v>5.71856126532583</v>
      </c>
      <c r="O80">
        <v>5.7185713948894099</v>
      </c>
      <c r="P80">
        <v>5.7185230832539702</v>
      </c>
      <c r="Q80" t="s">
        <v>51</v>
      </c>
    </row>
    <row r="81" spans="1:17" x14ac:dyDescent="0.2">
      <c r="A81">
        <v>80</v>
      </c>
      <c r="B81">
        <v>754</v>
      </c>
      <c r="C81">
        <v>175</v>
      </c>
      <c r="D81">
        <v>0.40749695760112897</v>
      </c>
      <c r="E81">
        <v>111.469979264006</v>
      </c>
      <c r="F81">
        <v>1.7008963755892601</v>
      </c>
      <c r="G81">
        <v>-1848.3382069949121</v>
      </c>
      <c r="H81">
        <v>-1535.9816392081445</v>
      </c>
      <c r="I81">
        <v>304.10620229005502</v>
      </c>
      <c r="J81">
        <v>162.93903162800501</v>
      </c>
      <c r="K81">
        <v>65.536020220743296</v>
      </c>
      <c r="L81">
        <v>5.2832006167755227E-2</v>
      </c>
      <c r="M81">
        <v>-5.1995230112013652E-2</v>
      </c>
      <c r="N81">
        <v>3.41862782507163</v>
      </c>
      <c r="O81">
        <v>3.4186378198212499</v>
      </c>
      <c r="P81">
        <v>3.4185884026872899</v>
      </c>
      <c r="Q81" t="s">
        <v>51</v>
      </c>
    </row>
    <row r="82" spans="1:17" x14ac:dyDescent="0.2">
      <c r="A82">
        <v>81</v>
      </c>
      <c r="B82">
        <v>776</v>
      </c>
      <c r="C82">
        <v>150</v>
      </c>
      <c r="D82">
        <v>0.447600915026452</v>
      </c>
      <c r="E82">
        <v>111.459119688285</v>
      </c>
      <c r="F82">
        <v>1.6968041332637001</v>
      </c>
      <c r="G82">
        <v>-1856.7852690807258</v>
      </c>
      <c r="H82">
        <v>-1517.293994673573</v>
      </c>
      <c r="I82">
        <v>323.590467151555</v>
      </c>
      <c r="J82">
        <v>165.282996596228</v>
      </c>
      <c r="K82">
        <v>65.687675733026296</v>
      </c>
      <c r="L82">
        <v>0.72589957752256196</v>
      </c>
      <c r="M82">
        <v>-0.72526338224293407</v>
      </c>
      <c r="N82">
        <v>47.651171835070798</v>
      </c>
      <c r="O82">
        <v>47.651200077941503</v>
      </c>
      <c r="P82">
        <v>47.651157153582801</v>
      </c>
      <c r="Q82" t="s">
        <v>51</v>
      </c>
    </row>
    <row r="83" spans="1:17" x14ac:dyDescent="0.2">
      <c r="A83">
        <v>82</v>
      </c>
      <c r="B83">
        <v>775</v>
      </c>
      <c r="C83">
        <v>150</v>
      </c>
      <c r="D83">
        <v>0.44700710776129698</v>
      </c>
      <c r="E83">
        <v>111.45915089439499</v>
      </c>
      <c r="F83">
        <v>1.6977716354100401</v>
      </c>
      <c r="G83">
        <v>-1856.4622613422853</v>
      </c>
      <c r="H83">
        <v>-1517.4598020923827</v>
      </c>
      <c r="I83">
        <v>323.43283269034902</v>
      </c>
      <c r="J83">
        <v>165.29761351154599</v>
      </c>
      <c r="K83">
        <v>65.650260947771997</v>
      </c>
      <c r="L83">
        <v>0.72621334100111301</v>
      </c>
      <c r="M83">
        <v>-0.72557698584287433</v>
      </c>
      <c r="N83">
        <v>47.644599076739198</v>
      </c>
      <c r="O83">
        <v>47.644627141104799</v>
      </c>
      <c r="P83">
        <v>47.644584188344297</v>
      </c>
      <c r="Q83" t="s">
        <v>51</v>
      </c>
    </row>
    <row r="84" spans="1:17" x14ac:dyDescent="0.2">
      <c r="A84">
        <v>83</v>
      </c>
      <c r="B84">
        <v>774</v>
      </c>
      <c r="C84">
        <v>150</v>
      </c>
      <c r="D84">
        <v>0.44641216635630598</v>
      </c>
      <c r="E84">
        <v>111.459177689076</v>
      </c>
      <c r="F84">
        <v>1.6981440246368</v>
      </c>
      <c r="G84">
        <v>-1856.1393610134469</v>
      </c>
      <c r="H84">
        <v>-1517.6780297675105</v>
      </c>
      <c r="I84">
        <v>323.224949134241</v>
      </c>
      <c r="J84">
        <v>165.294238155291</v>
      </c>
      <c r="K84">
        <v>65.635880156228595</v>
      </c>
      <c r="L84">
        <v>0.724337606307631</v>
      </c>
      <c r="M84">
        <v>-0.72369957080369629</v>
      </c>
      <c r="N84">
        <v>47.510941056365802</v>
      </c>
      <c r="O84">
        <v>47.510969015714103</v>
      </c>
      <c r="P84">
        <v>47.510925919789699</v>
      </c>
      <c r="Q84" t="s">
        <v>51</v>
      </c>
    </row>
    <row r="85" spans="1:17" x14ac:dyDescent="0.2">
      <c r="A85">
        <v>84</v>
      </c>
      <c r="B85">
        <v>773</v>
      </c>
      <c r="C85">
        <v>150</v>
      </c>
      <c r="D85">
        <v>0.44581608755914398</v>
      </c>
      <c r="E85">
        <v>111.45920384306601</v>
      </c>
      <c r="F85">
        <v>1.69842873785193</v>
      </c>
      <c r="G85">
        <v>-1855.8166652993655</v>
      </c>
      <c r="H85">
        <v>-1517.9042135600482</v>
      </c>
      <c r="I85">
        <v>323.00926004309702</v>
      </c>
      <c r="J85">
        <v>165.28868860559899</v>
      </c>
      <c r="K85">
        <v>65.624892795933604</v>
      </c>
      <c r="L85">
        <v>0.72212494809442607</v>
      </c>
      <c r="M85">
        <v>-0.72148499924895027</v>
      </c>
      <c r="N85">
        <v>47.357664674659901</v>
      </c>
      <c r="O85">
        <v>47.357692536991301</v>
      </c>
      <c r="P85">
        <v>47.357649279944198</v>
      </c>
      <c r="Q85" t="s">
        <v>51</v>
      </c>
    </row>
    <row r="86" spans="1:17" x14ac:dyDescent="0.2">
      <c r="A86">
        <v>85</v>
      </c>
      <c r="B86">
        <v>772</v>
      </c>
      <c r="C86">
        <v>150</v>
      </c>
      <c r="D86">
        <v>0.44521886810505501</v>
      </c>
      <c r="E86">
        <v>111.45923004820401</v>
      </c>
      <c r="F86">
        <v>1.6987174256829101</v>
      </c>
      <c r="G86">
        <v>-1855.4941861219445</v>
      </c>
      <c r="H86">
        <v>-1518.1303083677487</v>
      </c>
      <c r="I86">
        <v>322.79345054238098</v>
      </c>
      <c r="J86">
        <v>165.283776582694</v>
      </c>
      <c r="K86">
        <v>65.613755627070205</v>
      </c>
      <c r="L86">
        <v>0.71991115543683815</v>
      </c>
      <c r="M86">
        <v>-0.7192692938044587</v>
      </c>
      <c r="N86">
        <v>47.204254620400803</v>
      </c>
      <c r="O86">
        <v>47.204282381898203</v>
      </c>
      <c r="P86">
        <v>47.204238963338398</v>
      </c>
      <c r="Q86" t="s">
        <v>51</v>
      </c>
    </row>
    <row r="87" spans="1:17" x14ac:dyDescent="0.2">
      <c r="A87">
        <v>86</v>
      </c>
      <c r="B87">
        <v>771</v>
      </c>
      <c r="C87">
        <v>150</v>
      </c>
      <c r="D87">
        <v>0.44462050471675502</v>
      </c>
      <c r="E87">
        <v>111.459256305228</v>
      </c>
      <c r="F87">
        <v>1.6990102229426001</v>
      </c>
      <c r="G87">
        <v>-1855.1719236095169</v>
      </c>
      <c r="H87">
        <v>-1518.356305803529</v>
      </c>
      <c r="I87">
        <v>322.57752843940301</v>
      </c>
      <c r="J87">
        <v>165.27950773736001</v>
      </c>
      <c r="K87">
        <v>65.602463599180695</v>
      </c>
      <c r="L87">
        <v>0.71769659565700039</v>
      </c>
      <c r="M87">
        <v>-0.71705282219384969</v>
      </c>
      <c r="N87">
        <v>47.050732422387597</v>
      </c>
      <c r="O87">
        <v>47.050760079163702</v>
      </c>
      <c r="P87">
        <v>47.050716498729599</v>
      </c>
      <c r="Q87" t="s">
        <v>51</v>
      </c>
    </row>
    <row r="88" spans="1:17" x14ac:dyDescent="0.2">
      <c r="A88">
        <v>87</v>
      </c>
      <c r="B88">
        <v>770</v>
      </c>
      <c r="C88">
        <v>150</v>
      </c>
      <c r="D88">
        <v>0.44402099410439499</v>
      </c>
      <c r="E88">
        <v>111.459282614808</v>
      </c>
      <c r="F88">
        <v>1.69930726173784</v>
      </c>
      <c r="G88">
        <v>-1854.8498778816106</v>
      </c>
      <c r="H88">
        <v>-1518.5821976251732</v>
      </c>
      <c r="I88">
        <v>322.36150142412203</v>
      </c>
      <c r="J88">
        <v>165.27588774452099</v>
      </c>
      <c r="K88">
        <v>65.591011775481107</v>
      </c>
      <c r="L88">
        <v>0.71548162777786239</v>
      </c>
      <c r="M88">
        <v>-0.71483594383872984</v>
      </c>
      <c r="N88">
        <v>46.897119175244903</v>
      </c>
      <c r="O88">
        <v>46.897146723342502</v>
      </c>
      <c r="P88">
        <v>46.8971029807009</v>
      </c>
      <c r="Q88" t="s">
        <v>51</v>
      </c>
    </row>
    <row r="89" spans="1:17" x14ac:dyDescent="0.2">
      <c r="A89">
        <v>88</v>
      </c>
      <c r="B89">
        <v>769</v>
      </c>
      <c r="C89">
        <v>150</v>
      </c>
      <c r="D89">
        <v>0.44342033296550898</v>
      </c>
      <c r="E89">
        <v>111.459308977737</v>
      </c>
      <c r="F89">
        <v>1.6996086711899001</v>
      </c>
      <c r="G89">
        <v>-1854.5280490521507</v>
      </c>
      <c r="H89">
        <v>-1518.8079757639821</v>
      </c>
      <c r="I89">
        <v>322.14537704416301</v>
      </c>
      <c r="J89">
        <v>165.27292231133799</v>
      </c>
      <c r="K89">
        <v>65.579395343814397</v>
      </c>
      <c r="L89">
        <v>0.71326660119140872</v>
      </c>
      <c r="M89">
        <v>-0.71261900852604942</v>
      </c>
      <c r="N89">
        <v>46.7434354585222</v>
      </c>
      <c r="O89">
        <v>46.743462893914703</v>
      </c>
      <c r="P89">
        <v>46.743418988760602</v>
      </c>
      <c r="Q89" t="s">
        <v>51</v>
      </c>
    </row>
    <row r="90" spans="1:17" x14ac:dyDescent="0.2">
      <c r="A90">
        <v>89</v>
      </c>
      <c r="B90">
        <v>768</v>
      </c>
      <c r="C90">
        <v>150</v>
      </c>
      <c r="D90">
        <v>0.442818517984921</v>
      </c>
      <c r="E90">
        <v>111.459349433158</v>
      </c>
      <c r="F90">
        <v>1.6984878580815901</v>
      </c>
      <c r="G90">
        <v>-1854.2067575023639</v>
      </c>
      <c r="H90">
        <v>-1519.2263328898334</v>
      </c>
      <c r="I90">
        <v>321.744418065594</v>
      </c>
      <c r="J90">
        <v>165.262979657854</v>
      </c>
      <c r="K90">
        <v>65.622694270566896</v>
      </c>
      <c r="L90">
        <v>0.70202249406925044</v>
      </c>
      <c r="M90">
        <v>-0.70136765147907909</v>
      </c>
      <c r="N90">
        <v>46.036044663269998</v>
      </c>
      <c r="O90">
        <v>46.036072229972397</v>
      </c>
      <c r="P90">
        <v>46.036027768656602</v>
      </c>
      <c r="Q90" t="s">
        <v>51</v>
      </c>
    </row>
    <row r="91" spans="1:17" x14ac:dyDescent="0.2">
      <c r="A91">
        <v>90</v>
      </c>
      <c r="B91">
        <v>767</v>
      </c>
      <c r="C91">
        <v>150</v>
      </c>
      <c r="D91">
        <v>0.44221554583473799</v>
      </c>
      <c r="E91">
        <v>111.459389891493</v>
      </c>
      <c r="F91">
        <v>1.6973649141650899</v>
      </c>
      <c r="G91">
        <v>-1853.8858688580524</v>
      </c>
      <c r="H91">
        <v>-1519.6466666627923</v>
      </c>
      <c r="I91">
        <v>321.34117554087402</v>
      </c>
      <c r="J91">
        <v>165.254611084902</v>
      </c>
      <c r="K91">
        <v>65.666132816418099</v>
      </c>
      <c r="L91">
        <v>0.69067121491113792</v>
      </c>
      <c r="M91">
        <v>-0.69000906555298602</v>
      </c>
      <c r="N91">
        <v>45.320735067743499</v>
      </c>
      <c r="O91">
        <v>45.320762761386</v>
      </c>
      <c r="P91">
        <v>45.320717738102402</v>
      </c>
      <c r="Q91" t="s">
        <v>51</v>
      </c>
    </row>
    <row r="92" spans="1:17" x14ac:dyDescent="0.2">
      <c r="A92">
        <v>91</v>
      </c>
      <c r="B92">
        <v>766</v>
      </c>
      <c r="C92">
        <v>150</v>
      </c>
      <c r="D92">
        <v>0.44161141317423203</v>
      </c>
      <c r="E92">
        <v>111.459430180002</v>
      </c>
      <c r="F92">
        <v>1.69624838493347</v>
      </c>
      <c r="G92">
        <v>-1853.5653810672425</v>
      </c>
      <c r="H92">
        <v>-1520.0677879455525</v>
      </c>
      <c r="I92">
        <v>320.93678504234703</v>
      </c>
      <c r="J92">
        <v>165.24777151929999</v>
      </c>
      <c r="K92">
        <v>65.709380282991106</v>
      </c>
      <c r="L92">
        <v>0.67926415545459562</v>
      </c>
      <c r="M92">
        <v>-0.67859467529901107</v>
      </c>
      <c r="N92">
        <v>44.600642046951002</v>
      </c>
      <c r="O92">
        <v>44.600669861476</v>
      </c>
      <c r="P92">
        <v>44.6006242728239</v>
      </c>
      <c r="Q92" t="s">
        <v>51</v>
      </c>
    </row>
    <row r="93" spans="1:17" x14ac:dyDescent="0.2">
      <c r="A93">
        <v>92</v>
      </c>
      <c r="B93">
        <v>765</v>
      </c>
      <c r="C93">
        <v>150</v>
      </c>
      <c r="D93">
        <v>0.44100611664981298</v>
      </c>
      <c r="E93">
        <v>111.45947025764499</v>
      </c>
      <c r="F93">
        <v>1.69513004313388</v>
      </c>
      <c r="G93">
        <v>-1853.2452950913828</v>
      </c>
      <c r="H93">
        <v>-1520.490758333837</v>
      </c>
      <c r="I93">
        <v>320.53022177466698</v>
      </c>
      <c r="J93">
        <v>165.242294354259</v>
      </c>
      <c r="K93">
        <v>65.752754904622805</v>
      </c>
      <c r="L93">
        <v>0.66774595390663616</v>
      </c>
      <c r="M93">
        <v>-0.66706908924159414</v>
      </c>
      <c r="N93">
        <v>43.872335572238399</v>
      </c>
      <c r="O93">
        <v>43.872363502788303</v>
      </c>
      <c r="P93">
        <v>43.8723173431597</v>
      </c>
      <c r="Q93" t="s">
        <v>51</v>
      </c>
    </row>
    <row r="94" spans="1:17" x14ac:dyDescent="0.2">
      <c r="A94">
        <v>93</v>
      </c>
      <c r="B94">
        <v>764</v>
      </c>
      <c r="C94">
        <v>150</v>
      </c>
      <c r="D94">
        <v>0.44039965289495597</v>
      </c>
      <c r="E94">
        <v>111.459484668961</v>
      </c>
      <c r="F94">
        <v>1.6863531193224901</v>
      </c>
      <c r="G94">
        <v>-1852.9254216602494</v>
      </c>
      <c r="H94">
        <v>-1521.9970177339665</v>
      </c>
      <c r="I94">
        <v>319.07876281760099</v>
      </c>
      <c r="J94">
        <v>165.03715047783001</v>
      </c>
      <c r="K94">
        <v>66.094985321781706</v>
      </c>
      <c r="L94">
        <v>0.60424470836424871</v>
      </c>
      <c r="M94">
        <v>-0.60353252338559393</v>
      </c>
      <c r="N94">
        <v>39.901760959190298</v>
      </c>
      <c r="O94">
        <v>39.901790263305699</v>
      </c>
      <c r="P94">
        <v>39.901741454137699</v>
      </c>
      <c r="Q94" t="s">
        <v>51</v>
      </c>
    </row>
    <row r="95" spans="1:17" x14ac:dyDescent="0.2">
      <c r="A95">
        <v>94</v>
      </c>
      <c r="B95">
        <v>763</v>
      </c>
      <c r="C95">
        <v>150</v>
      </c>
      <c r="D95">
        <v>0.43979201853014099</v>
      </c>
      <c r="E95">
        <v>111.45946313744599</v>
      </c>
      <c r="F95">
        <v>1.6715006764400899</v>
      </c>
      <c r="G95">
        <v>-1852.6072164844404</v>
      </c>
      <c r="H95">
        <v>-1524.4258492449289</v>
      </c>
      <c r="I95">
        <v>316.735870079601</v>
      </c>
      <c r="J95">
        <v>164.65576899480101</v>
      </c>
      <c r="K95">
        <v>66.682272229066001</v>
      </c>
      <c r="L95">
        <v>0.49801821569894317</v>
      </c>
      <c r="M95">
        <v>-0.49724804229752312</v>
      </c>
      <c r="N95">
        <v>33.169901514503998</v>
      </c>
      <c r="O95">
        <v>33.1699332168468</v>
      </c>
      <c r="P95">
        <v>33.169880010631601</v>
      </c>
      <c r="Q95" t="s">
        <v>51</v>
      </c>
    </row>
    <row r="96" spans="1:17" x14ac:dyDescent="0.2">
      <c r="A96">
        <v>95</v>
      </c>
      <c r="B96">
        <v>762</v>
      </c>
      <c r="C96">
        <v>150</v>
      </c>
      <c r="D96">
        <v>0.439183210162781</v>
      </c>
      <c r="E96">
        <v>111.47018478199</v>
      </c>
      <c r="F96">
        <v>1.6251135793048801</v>
      </c>
      <c r="G96">
        <v>-1852.4698428034376</v>
      </c>
      <c r="H96">
        <v>-1532.0114621670468</v>
      </c>
      <c r="I96">
        <v>309.58222054534002</v>
      </c>
      <c r="J96">
        <v>163.19982803254899</v>
      </c>
      <c r="K96">
        <v>68.592242537084601</v>
      </c>
      <c r="L96">
        <v>0.17928805338271142</v>
      </c>
      <c r="M96">
        <v>-0.17834440885886621</v>
      </c>
      <c r="N96">
        <v>12.248430963816601</v>
      </c>
      <c r="O96">
        <v>12.24847053988</v>
      </c>
      <c r="P96">
        <v>12.248403702657701</v>
      </c>
      <c r="Q96" t="s">
        <v>51</v>
      </c>
    </row>
    <row r="97" spans="1:17" x14ac:dyDescent="0.2">
      <c r="A97">
        <v>96</v>
      </c>
      <c r="B97">
        <v>761</v>
      </c>
      <c r="C97">
        <v>150</v>
      </c>
      <c r="D97">
        <v>0.43857322438717999</v>
      </c>
      <c r="E97">
        <v>111.470637167847</v>
      </c>
      <c r="F97">
        <v>1.61247286707239</v>
      </c>
      <c r="G97">
        <v>-1852.1690082595626</v>
      </c>
      <c r="H97">
        <v>-1534.4368412147917</v>
      </c>
      <c r="I97">
        <v>307.24573291218701</v>
      </c>
      <c r="J97">
        <v>162.75396468712501</v>
      </c>
      <c r="K97">
        <v>69.130240541804397</v>
      </c>
      <c r="L97">
        <v>8.4169115763622918E-2</v>
      </c>
      <c r="M97">
        <v>-8.3173848150167706E-2</v>
      </c>
      <c r="N97">
        <v>5.76613797267155</v>
      </c>
      <c r="O97">
        <v>5.76617968856426</v>
      </c>
      <c r="P97">
        <v>5.7661086371669796</v>
      </c>
      <c r="Q97" t="s">
        <v>51</v>
      </c>
    </row>
    <row r="98" spans="1:17" x14ac:dyDescent="0.2">
      <c r="A98">
        <v>97</v>
      </c>
      <c r="B98">
        <v>760</v>
      </c>
      <c r="C98">
        <v>150</v>
      </c>
      <c r="D98">
        <v>0.43796205778444602</v>
      </c>
      <c r="E98">
        <v>111.470540248719</v>
      </c>
      <c r="F98">
        <v>1.6090355815041999</v>
      </c>
      <c r="G98">
        <v>-1851.8606957411444</v>
      </c>
      <c r="H98">
        <v>-1535.3794915948222</v>
      </c>
      <c r="I98">
        <v>306.33241354146901</v>
      </c>
      <c r="J98">
        <v>162.63033381197701</v>
      </c>
      <c r="K98">
        <v>69.2778590666789</v>
      </c>
      <c r="L98">
        <v>5.1681332985018827E-2</v>
      </c>
      <c r="M98">
        <v>-5.0668255175992674E-2</v>
      </c>
      <c r="N98">
        <v>3.5267846937452698</v>
      </c>
      <c r="O98">
        <v>3.5268268954150499</v>
      </c>
      <c r="P98">
        <v>3.5267543631597</v>
      </c>
      <c r="Q98" t="s">
        <v>51</v>
      </c>
    </row>
    <row r="99" spans="1:17" x14ac:dyDescent="0.2">
      <c r="A99">
        <v>98</v>
      </c>
      <c r="B99">
        <v>788</v>
      </c>
      <c r="C99">
        <v>125</v>
      </c>
      <c r="D99">
        <v>0.48055458700466802</v>
      </c>
      <c r="E99">
        <v>111.45901271518299</v>
      </c>
      <c r="F99">
        <v>1.5773426566713999</v>
      </c>
      <c r="G99">
        <v>-1862.3836680748993</v>
      </c>
      <c r="H99">
        <v>-1515.8916970222219</v>
      </c>
      <c r="I99">
        <v>326.52866397395701</v>
      </c>
      <c r="J99">
        <v>165.175655171367</v>
      </c>
      <c r="K99">
        <v>70.662523608149201</v>
      </c>
      <c r="L99">
        <v>0.67142636160840419</v>
      </c>
      <c r="M99">
        <v>-0.67059113613449306</v>
      </c>
      <c r="N99">
        <v>47.403352917410999</v>
      </c>
      <c r="O99">
        <v>47.403418215351998</v>
      </c>
      <c r="P99">
        <v>47.403348441904498</v>
      </c>
      <c r="Q99" t="s">
        <v>51</v>
      </c>
    </row>
    <row r="100" spans="1:17" x14ac:dyDescent="0.2">
      <c r="A100">
        <v>99</v>
      </c>
      <c r="B100">
        <v>787</v>
      </c>
      <c r="C100">
        <v>125</v>
      </c>
      <c r="D100">
        <v>0.479998585105882</v>
      </c>
      <c r="E100">
        <v>111.45903937652101</v>
      </c>
      <c r="F100">
        <v>1.57796884247953</v>
      </c>
      <c r="G100">
        <v>-1862.0576589923762</v>
      </c>
      <c r="H100">
        <v>-1516.094160517976</v>
      </c>
      <c r="I100">
        <v>326.338183480721</v>
      </c>
      <c r="J100">
        <v>165.176855937938</v>
      </c>
      <c r="K100">
        <v>70.634499475529196</v>
      </c>
      <c r="L100">
        <v>0.67035218833660792</v>
      </c>
      <c r="M100">
        <v>-0.66951538058557347</v>
      </c>
      <c r="N100">
        <v>47.3085662312102</v>
      </c>
      <c r="O100">
        <v>47.308631568071199</v>
      </c>
      <c r="P100">
        <v>47.308561644917603</v>
      </c>
      <c r="Q100" t="s">
        <v>51</v>
      </c>
    </row>
    <row r="101" spans="1:17" x14ac:dyDescent="0.2">
      <c r="A101">
        <v>100</v>
      </c>
      <c r="B101">
        <v>786</v>
      </c>
      <c r="C101">
        <v>125</v>
      </c>
      <c r="D101">
        <v>0.47944153330501299</v>
      </c>
      <c r="E101">
        <v>111.459064233072</v>
      </c>
      <c r="F101">
        <v>1.57834965036924</v>
      </c>
      <c r="G101">
        <v>-1861.7318270052012</v>
      </c>
      <c r="H101">
        <v>-1516.3173422543553</v>
      </c>
      <c r="I101">
        <v>326.12795259334598</v>
      </c>
      <c r="J101">
        <v>165.16906072214601</v>
      </c>
      <c r="K101">
        <v>70.617473262022301</v>
      </c>
      <c r="L101">
        <v>0.6684591386363663</v>
      </c>
      <c r="M101">
        <v>-0.66762012031706675</v>
      </c>
      <c r="N101">
        <v>47.163335434705097</v>
      </c>
      <c r="O101">
        <v>47.163400866410903</v>
      </c>
      <c r="P101">
        <v>47.163330730967303</v>
      </c>
      <c r="Q101" t="s">
        <v>51</v>
      </c>
    </row>
    <row r="102" spans="1:17" x14ac:dyDescent="0.2">
      <c r="A102">
        <v>101</v>
      </c>
      <c r="B102">
        <v>785</v>
      </c>
      <c r="C102">
        <v>125</v>
      </c>
      <c r="D102">
        <v>0.47888342862543298</v>
      </c>
      <c r="E102">
        <v>111.459089142503</v>
      </c>
      <c r="F102">
        <v>1.5787347780358401</v>
      </c>
      <c r="G102">
        <v>-1861.4062061081756</v>
      </c>
      <c r="H102">
        <v>-1516.5404014231053</v>
      </c>
      <c r="I102">
        <v>325.917639677659</v>
      </c>
      <c r="J102">
        <v>165.16187402944999</v>
      </c>
      <c r="K102">
        <v>70.600262116967698</v>
      </c>
      <c r="L102">
        <v>0.66656600684534417</v>
      </c>
      <c r="M102">
        <v>-0.6657247751854275</v>
      </c>
      <c r="N102">
        <v>47.018039841354302</v>
      </c>
      <c r="O102">
        <v>47.018105365491799</v>
      </c>
      <c r="P102">
        <v>47.018035016928003</v>
      </c>
      <c r="Q102" t="s">
        <v>51</v>
      </c>
    </row>
    <row r="103" spans="1:17" x14ac:dyDescent="0.2">
      <c r="A103">
        <v>102</v>
      </c>
      <c r="B103">
        <v>784</v>
      </c>
      <c r="C103">
        <v>125</v>
      </c>
      <c r="D103">
        <v>0.47832426807926898</v>
      </c>
      <c r="E103">
        <v>111.45911410559501</v>
      </c>
      <c r="F103">
        <v>1.57912435140246</v>
      </c>
      <c r="G103">
        <v>-1861.0807963926923</v>
      </c>
      <c r="H103">
        <v>-1516.7633310821041</v>
      </c>
      <c r="I103">
        <v>325.70725115261001</v>
      </c>
      <c r="J103">
        <v>165.15530139345299</v>
      </c>
      <c r="K103">
        <v>70.582860688966903</v>
      </c>
      <c r="L103">
        <v>0.66467309205476188</v>
      </c>
      <c r="M103">
        <v>-0.66382964460568861</v>
      </c>
      <c r="N103">
        <v>46.872698079529002</v>
      </c>
      <c r="O103">
        <v>46.8727636935986</v>
      </c>
      <c r="P103">
        <v>46.872693131106502</v>
      </c>
      <c r="Q103" t="s">
        <v>51</v>
      </c>
    </row>
    <row r="104" spans="1:17" x14ac:dyDescent="0.2">
      <c r="A104">
        <v>103</v>
      </c>
      <c r="B104">
        <v>783</v>
      </c>
      <c r="C104">
        <v>125</v>
      </c>
      <c r="D104">
        <v>0.47776404866733202</v>
      </c>
      <c r="E104">
        <v>111.459139123146</v>
      </c>
      <c r="F104">
        <v>1.5795184941928999</v>
      </c>
      <c r="G104">
        <v>-1860.7555979440601</v>
      </c>
      <c r="H104">
        <v>-1516.9861244203178</v>
      </c>
      <c r="I104">
        <v>325.49679333159497</v>
      </c>
      <c r="J104">
        <v>165.14934833089501</v>
      </c>
      <c r="K104">
        <v>70.565263738870897</v>
      </c>
      <c r="L104">
        <v>0.66278068712844007</v>
      </c>
      <c r="M104">
        <v>-0.66193502176355334</v>
      </c>
      <c r="N104">
        <v>46.727328432049497</v>
      </c>
      <c r="O104">
        <v>46.727394133464301</v>
      </c>
      <c r="P104">
        <v>46.7273233562576</v>
      </c>
      <c r="Q104" t="s">
        <v>51</v>
      </c>
    </row>
    <row r="105" spans="1:17" x14ac:dyDescent="0.2">
      <c r="A105">
        <v>104</v>
      </c>
      <c r="B105">
        <v>782</v>
      </c>
      <c r="C105">
        <v>125</v>
      </c>
      <c r="D105">
        <v>0.47720276737904699</v>
      </c>
      <c r="E105">
        <v>111.45916419595</v>
      </c>
      <c r="F105">
        <v>1.57991732771257</v>
      </c>
      <c r="G105">
        <v>-1860.4306108412629</v>
      </c>
      <c r="H105">
        <v>-1517.2087747755954</v>
      </c>
      <c r="I105">
        <v>325.28627240487299</v>
      </c>
      <c r="J105">
        <v>165.14402034397901</v>
      </c>
      <c r="K105">
        <v>70.547466149587805</v>
      </c>
      <c r="L105">
        <v>0.66088907782905648</v>
      </c>
      <c r="M105">
        <v>-0.66004119274103135</v>
      </c>
      <c r="N105">
        <v>46.581948779883902</v>
      </c>
      <c r="O105">
        <v>46.582014565969203</v>
      </c>
      <c r="P105">
        <v>46.581943573283098</v>
      </c>
      <c r="Q105" t="s">
        <v>51</v>
      </c>
    </row>
    <row r="106" spans="1:17" x14ac:dyDescent="0.2">
      <c r="A106">
        <v>105</v>
      </c>
      <c r="B106">
        <v>781</v>
      </c>
      <c r="C106">
        <v>125</v>
      </c>
      <c r="D106">
        <v>0.476640421192431</v>
      </c>
      <c r="E106">
        <v>111.459189324788</v>
      </c>
      <c r="F106">
        <v>1.5803209706252299</v>
      </c>
      <c r="G106">
        <v>-1860.1058351569786</v>
      </c>
      <c r="H106">
        <v>-1517.4312756533359</v>
      </c>
      <c r="I106">
        <v>325.07569442128499</v>
      </c>
      <c r="J106">
        <v>165.13932292270701</v>
      </c>
      <c r="K106">
        <v>70.529462936058707</v>
      </c>
      <c r="L106">
        <v>0.65899854190455254</v>
      </c>
      <c r="M106">
        <v>-0.65814843560220004</v>
      </c>
      <c r="N106">
        <v>46.436576543117702</v>
      </c>
      <c r="O106">
        <v>46.436642411110299</v>
      </c>
      <c r="P106">
        <v>46.436571202201399</v>
      </c>
      <c r="Q106" t="s">
        <v>51</v>
      </c>
    </row>
    <row r="107" spans="1:17" x14ac:dyDescent="0.2">
      <c r="A107">
        <v>106</v>
      </c>
      <c r="B107">
        <v>780</v>
      </c>
      <c r="C107">
        <v>125</v>
      </c>
      <c r="D107">
        <v>0.47607700707401701</v>
      </c>
      <c r="E107">
        <v>111.459214510435</v>
      </c>
      <c r="F107">
        <v>1.5807295387445699</v>
      </c>
      <c r="G107">
        <v>-1859.7812709577777</v>
      </c>
      <c r="H107">
        <v>-1517.653620744612</v>
      </c>
      <c r="I107">
        <v>324.86506527057401</v>
      </c>
      <c r="J107">
        <v>165.13526154786899</v>
      </c>
      <c r="K107">
        <v>70.511249254541596</v>
      </c>
      <c r="L107">
        <v>0.6571093481930026</v>
      </c>
      <c r="M107">
        <v>-0.65625701949745774</v>
      </c>
      <c r="N107">
        <v>46.291228622753501</v>
      </c>
      <c r="O107">
        <v>46.291294569801302</v>
      </c>
      <c r="P107">
        <v>46.291223143946702</v>
      </c>
      <c r="Q107" t="s">
        <v>51</v>
      </c>
    </row>
    <row r="108" spans="1:17" x14ac:dyDescent="0.2">
      <c r="A108">
        <v>107</v>
      </c>
      <c r="B108">
        <v>779</v>
      </c>
      <c r="C108">
        <v>125</v>
      </c>
      <c r="D108">
        <v>0.475512521978807</v>
      </c>
      <c r="E108">
        <v>111.45923975367199</v>
      </c>
      <c r="F108">
        <v>1.58114314483711</v>
      </c>
      <c r="G108">
        <v>-1859.4569183045703</v>
      </c>
      <c r="H108">
        <v>-1517.8758039439358</v>
      </c>
      <c r="I108">
        <v>324.65439066616602</v>
      </c>
      <c r="J108">
        <v>165.13184169458401</v>
      </c>
      <c r="K108">
        <v>70.492820411370403</v>
      </c>
      <c r="L108">
        <v>0.65522175573909602</v>
      </c>
      <c r="M108">
        <v>-0.65436720377940261</v>
      </c>
      <c r="N108">
        <v>46.145921342978902</v>
      </c>
      <c r="O108">
        <v>46.145987366140403</v>
      </c>
      <c r="P108">
        <v>46.145915722637703</v>
      </c>
      <c r="Q108" t="s">
        <v>51</v>
      </c>
    </row>
    <row r="109" spans="1:17" x14ac:dyDescent="0.2">
      <c r="A109">
        <v>108</v>
      </c>
      <c r="B109">
        <v>778</v>
      </c>
      <c r="C109">
        <v>125</v>
      </c>
      <c r="D109">
        <v>0.47494696285021398</v>
      </c>
      <c r="E109">
        <v>111.459265055225</v>
      </c>
      <c r="F109">
        <v>1.58156189842274</v>
      </c>
      <c r="G109">
        <v>-1859.1327772517438</v>
      </c>
      <c r="H109">
        <v>-1518.0978193661069</v>
      </c>
      <c r="I109">
        <v>324.44367612748903</v>
      </c>
      <c r="J109">
        <v>165.12906883602599</v>
      </c>
      <c r="K109">
        <v>70.474171871731002</v>
      </c>
      <c r="L109">
        <v>0.65333601288527909</v>
      </c>
      <c r="M109">
        <v>-0.65247923709336042</v>
      </c>
      <c r="N109">
        <v>46.0006703916658</v>
      </c>
      <c r="O109">
        <v>46.000736487909599</v>
      </c>
      <c r="P109">
        <v>46.000664626076201</v>
      </c>
      <c r="Q109" t="s">
        <v>51</v>
      </c>
    </row>
    <row r="110" spans="1:17" x14ac:dyDescent="0.2">
      <c r="A110">
        <v>109</v>
      </c>
      <c r="B110">
        <v>777</v>
      </c>
      <c r="C110">
        <v>125</v>
      </c>
      <c r="D110">
        <v>0.47438032662001101</v>
      </c>
      <c r="E110">
        <v>111.45929971717101</v>
      </c>
      <c r="F110">
        <v>1.5808873433152</v>
      </c>
      <c r="G110">
        <v>-1858.8090410813459</v>
      </c>
      <c r="H110">
        <v>-1518.4472012659839</v>
      </c>
      <c r="I110">
        <v>324.111681271544</v>
      </c>
      <c r="J110">
        <v>165.111074377709</v>
      </c>
      <c r="K110">
        <v>70.504264702021601</v>
      </c>
      <c r="L110">
        <v>0.6456956985893868</v>
      </c>
      <c r="M110">
        <v>-0.64483285852965511</v>
      </c>
      <c r="N110">
        <v>45.481298568496499</v>
      </c>
      <c r="O110">
        <v>45.481365074180196</v>
      </c>
      <c r="P110">
        <v>45.481292625840403</v>
      </c>
      <c r="Q110" t="s">
        <v>51</v>
      </c>
    </row>
    <row r="111" spans="1:17" x14ac:dyDescent="0.2">
      <c r="A111">
        <v>110</v>
      </c>
      <c r="B111">
        <v>776</v>
      </c>
      <c r="C111">
        <v>125</v>
      </c>
      <c r="D111">
        <v>0.47381261020826598</v>
      </c>
      <c r="E111">
        <v>111.459338569851</v>
      </c>
      <c r="F111">
        <v>1.5797150801200199</v>
      </c>
      <c r="G111">
        <v>-1858.4857525579478</v>
      </c>
      <c r="H111">
        <v>-1518.8556421548187</v>
      </c>
      <c r="I111">
        <v>323.72319710361</v>
      </c>
      <c r="J111">
        <v>165.087006939617</v>
      </c>
      <c r="K111">
        <v>70.556608576138302</v>
      </c>
      <c r="L111">
        <v>0.6353756550166243</v>
      </c>
      <c r="M111">
        <v>-0.63450496280769708</v>
      </c>
      <c r="N111">
        <v>44.786487533556901</v>
      </c>
      <c r="O111">
        <v>44.7865546030825</v>
      </c>
      <c r="P111">
        <v>44.7864813953069</v>
      </c>
      <c r="Q111" t="s">
        <v>51</v>
      </c>
    </row>
    <row r="112" spans="1:17" x14ac:dyDescent="0.2">
      <c r="A112">
        <v>111</v>
      </c>
      <c r="B112">
        <v>775</v>
      </c>
      <c r="C112">
        <v>125</v>
      </c>
      <c r="D112">
        <v>0.473243810523307</v>
      </c>
      <c r="E112">
        <v>111.459377249374</v>
      </c>
      <c r="F112">
        <v>1.5785482727315201</v>
      </c>
      <c r="G112">
        <v>-1858.1628500598763</v>
      </c>
      <c r="H112">
        <v>-1519.2648594343159</v>
      </c>
      <c r="I112">
        <v>323.33359942776099</v>
      </c>
      <c r="J112">
        <v>165.06414941037801</v>
      </c>
      <c r="K112">
        <v>70.608786043967299</v>
      </c>
      <c r="L112">
        <v>0.62500138369022595</v>
      </c>
      <c r="M112">
        <v>-0.62412280532678888</v>
      </c>
      <c r="N112">
        <v>44.086660170866502</v>
      </c>
      <c r="O112">
        <v>44.086727803377798</v>
      </c>
      <c r="P112">
        <v>44.086653830842899</v>
      </c>
      <c r="Q112" t="s">
        <v>51</v>
      </c>
    </row>
    <row r="113" spans="1:17" x14ac:dyDescent="0.2">
      <c r="A113">
        <v>112</v>
      </c>
      <c r="B113">
        <v>774</v>
      </c>
      <c r="C113">
        <v>125</v>
      </c>
      <c r="D113">
        <v>0.47267392446163797</v>
      </c>
      <c r="E113">
        <v>111.459415713116</v>
      </c>
      <c r="F113">
        <v>1.57737775971677</v>
      </c>
      <c r="G113">
        <v>-1857.8403344719497</v>
      </c>
      <c r="H113">
        <v>-1519.6758877035334</v>
      </c>
      <c r="I113">
        <v>322.94189804577297</v>
      </c>
      <c r="J113">
        <v>165.042242208148</v>
      </c>
      <c r="K113">
        <v>70.661206566732005</v>
      </c>
      <c r="L113">
        <v>0.61452107436722858</v>
      </c>
      <c r="M113">
        <v>-0.61363454441651566</v>
      </c>
      <c r="N113">
        <v>43.378401990068902</v>
      </c>
      <c r="O113">
        <v>43.378470187353102</v>
      </c>
      <c r="P113">
        <v>43.378395441677903</v>
      </c>
      <c r="Q113" t="s">
        <v>51</v>
      </c>
    </row>
    <row r="114" spans="1:17" x14ac:dyDescent="0.2">
      <c r="A114">
        <v>113</v>
      </c>
      <c r="B114">
        <v>773</v>
      </c>
      <c r="C114">
        <v>125</v>
      </c>
      <c r="D114">
        <v>0.472102948907902</v>
      </c>
      <c r="E114">
        <v>111.45945389789399</v>
      </c>
      <c r="F114">
        <v>1.5761905220728001</v>
      </c>
      <c r="G114">
        <v>-1857.5182075295634</v>
      </c>
      <c r="H114">
        <v>-1520.0902055785868</v>
      </c>
      <c r="I114">
        <v>322.54667542694301</v>
      </c>
      <c r="J114">
        <v>165.020922210404</v>
      </c>
      <c r="K114">
        <v>70.714455097292102</v>
      </c>
      <c r="L114">
        <v>0.60386099993829323</v>
      </c>
      <c r="M114">
        <v>-0.60296640808554491</v>
      </c>
      <c r="N114">
        <v>42.656825712589203</v>
      </c>
      <c r="O114">
        <v>42.656894480268001</v>
      </c>
      <c r="P114">
        <v>42.656818948686897</v>
      </c>
      <c r="Q114" t="s">
        <v>51</v>
      </c>
    </row>
    <row r="115" spans="1:17" x14ac:dyDescent="0.2">
      <c r="A115">
        <v>114</v>
      </c>
      <c r="B115">
        <v>772</v>
      </c>
      <c r="C115">
        <v>125</v>
      </c>
      <c r="D115">
        <v>0.47153088073482102</v>
      </c>
      <c r="E115">
        <v>111.459451364644</v>
      </c>
      <c r="F115">
        <v>1.5629806599594001</v>
      </c>
      <c r="G115">
        <v>-1857.1963478019225</v>
      </c>
      <c r="H115">
        <v>-1521.9996961930283</v>
      </c>
      <c r="I115">
        <v>320.72058528923702</v>
      </c>
      <c r="J115">
        <v>164.600987496508</v>
      </c>
      <c r="K115">
        <v>71.312111672283606</v>
      </c>
      <c r="L115">
        <v>0.52458899369940815</v>
      </c>
      <c r="M115">
        <v>-0.52364480705288985</v>
      </c>
      <c r="N115">
        <v>37.3617278218263</v>
      </c>
      <c r="O115">
        <v>37.361800845893399</v>
      </c>
      <c r="P115">
        <v>37.361720483972697</v>
      </c>
      <c r="Q115" t="s">
        <v>51</v>
      </c>
    </row>
    <row r="116" spans="1:17" x14ac:dyDescent="0.2">
      <c r="A116">
        <v>115</v>
      </c>
      <c r="B116">
        <v>771</v>
      </c>
      <c r="C116">
        <v>125</v>
      </c>
      <c r="D116">
        <v>0.47095771680314102</v>
      </c>
      <c r="E116">
        <v>111.465387538728</v>
      </c>
      <c r="F116">
        <v>1.5355643683771401</v>
      </c>
      <c r="G116">
        <v>-1856.9739094313786</v>
      </c>
      <c r="H116">
        <v>-1525.9241441836414</v>
      </c>
      <c r="I116">
        <v>317.05672477647698</v>
      </c>
      <c r="J116">
        <v>163.63442738495601</v>
      </c>
      <c r="K116">
        <v>72.589199016470005</v>
      </c>
      <c r="L116">
        <v>0.36496543307307283</v>
      </c>
      <c r="M116">
        <v>-0.36392249254807529</v>
      </c>
      <c r="N116">
        <v>26.438701838711101</v>
      </c>
      <c r="O116">
        <v>26.438783697344</v>
      </c>
      <c r="P116">
        <v>26.438693453299798</v>
      </c>
      <c r="Q116" t="s">
        <v>51</v>
      </c>
    </row>
    <row r="117" spans="1:17" x14ac:dyDescent="0.2">
      <c r="A117">
        <v>116</v>
      </c>
      <c r="B117">
        <v>770</v>
      </c>
      <c r="C117">
        <v>125</v>
      </c>
      <c r="D117">
        <v>0.47038345396155901</v>
      </c>
      <c r="E117">
        <v>111.470563244581</v>
      </c>
      <c r="F117">
        <v>1.5053574822986799</v>
      </c>
      <c r="G117">
        <v>-1856.7433237178316</v>
      </c>
      <c r="H117">
        <v>-1530.4683744602262</v>
      </c>
      <c r="I117">
        <v>312.78396397784297</v>
      </c>
      <c r="J117">
        <v>162.43893008488701</v>
      </c>
      <c r="K117">
        <v>74.049230535171702</v>
      </c>
      <c r="L117">
        <v>0.18695870999326844</v>
      </c>
      <c r="M117">
        <v>-0.18580605413398951</v>
      </c>
      <c r="N117">
        <v>13.7833560979052</v>
      </c>
      <c r="O117">
        <v>13.783448116362299</v>
      </c>
      <c r="P117">
        <v>13.7833464799133</v>
      </c>
      <c r="Q117" t="s">
        <v>51</v>
      </c>
    </row>
    <row r="118" spans="1:17" x14ac:dyDescent="0.2">
      <c r="A118">
        <v>117</v>
      </c>
      <c r="B118">
        <v>769</v>
      </c>
      <c r="C118">
        <v>125</v>
      </c>
      <c r="D118">
        <v>0.46980808904668597</v>
      </c>
      <c r="E118">
        <v>111.47119688853</v>
      </c>
      <c r="F118">
        <v>1.4900780814566701</v>
      </c>
      <c r="G118">
        <v>-1856.4422793658214</v>
      </c>
      <c r="H118">
        <v>-1533.0293053359328</v>
      </c>
      <c r="I118">
        <v>310.33820612788998</v>
      </c>
      <c r="J118">
        <v>161.77357927137001</v>
      </c>
      <c r="K118">
        <v>74.808963554150495</v>
      </c>
      <c r="L118">
        <v>9.1612895176132858E-2</v>
      </c>
      <c r="M118">
        <v>-9.040132863092562E-2</v>
      </c>
      <c r="N118">
        <v>6.7888403682481604</v>
      </c>
      <c r="O118">
        <v>6.7889378666746003</v>
      </c>
      <c r="P118">
        <v>6.7888299415482001</v>
      </c>
      <c r="Q118" t="s">
        <v>51</v>
      </c>
    </row>
    <row r="119" spans="1:17" x14ac:dyDescent="0.2">
      <c r="A119">
        <v>118</v>
      </c>
      <c r="B119">
        <v>768</v>
      </c>
      <c r="C119">
        <v>125</v>
      </c>
      <c r="D119">
        <v>0.46923161888296799</v>
      </c>
      <c r="E119">
        <v>111.471127384258</v>
      </c>
      <c r="F119">
        <v>1.4851346648608099</v>
      </c>
      <c r="G119">
        <v>-1856.1313935395983</v>
      </c>
      <c r="H119">
        <v>-1534.1178446141814</v>
      </c>
      <c r="I119">
        <v>309.29229139149601</v>
      </c>
      <c r="J119">
        <v>161.543998122837</v>
      </c>
      <c r="K119">
        <v>75.0579257367922</v>
      </c>
      <c r="L119">
        <v>5.5238152692332433E-2</v>
      </c>
      <c r="M119">
        <v>-5.4003591648961229E-2</v>
      </c>
      <c r="N119">
        <v>4.0799290055583199</v>
      </c>
      <c r="O119">
        <v>4.0800285050863101</v>
      </c>
      <c r="P119">
        <v>4.0799181044216501</v>
      </c>
      <c r="Q119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A889-6F32-4920-A968-E927BBC6B527}">
  <sheetPr codeName="Sheet4"/>
  <dimension ref="A1:AI119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759</v>
      </c>
      <c r="C2">
        <v>275</v>
      </c>
      <c r="D2">
        <v>0.30413263576031102</v>
      </c>
      <c r="E2">
        <v>107.02517045440599</v>
      </c>
      <c r="F2">
        <v>2.2013744725612598</v>
      </c>
      <c r="G2">
        <v>-1747.6605468205835</v>
      </c>
      <c r="H2">
        <v>-1459.2772544214452</v>
      </c>
      <c r="I2">
        <v>279.40056425823599</v>
      </c>
      <c r="J2">
        <v>144.59023456201501</v>
      </c>
      <c r="K2">
        <v>48.617430513711902</v>
      </c>
      <c r="L2">
        <v>1.5582100859646962E-4</v>
      </c>
      <c r="M2">
        <v>1.7505598937295345E-5</v>
      </c>
      <c r="N2" s="1">
        <v>3.73070524537229E-6</v>
      </c>
      <c r="O2" s="1">
        <v>1.03146891128098E-7</v>
      </c>
      <c r="P2" s="1">
        <v>-5.2063779904148105E-7</v>
      </c>
      <c r="Q2">
        <v>72.328779922851197</v>
      </c>
      <c r="R2">
        <v>6.5405174972200206E-2</v>
      </c>
      <c r="S2">
        <v>11.922429037790099</v>
      </c>
      <c r="T2">
        <v>0.18770060807088401</v>
      </c>
      <c r="V2">
        <v>0.46165753071912202</v>
      </c>
      <c r="W2">
        <v>9.3435964245999394E-3</v>
      </c>
      <c r="X2">
        <v>8.4092367821401295E-2</v>
      </c>
      <c r="AA2">
        <v>0.90632885318620005</v>
      </c>
      <c r="AB2">
        <v>3.1487919950901899</v>
      </c>
      <c r="AC2">
        <v>4.6904854051491496</v>
      </c>
      <c r="AD2">
        <v>1.8687192849199601E-2</v>
      </c>
      <c r="AE2">
        <v>6.1762983150756297</v>
      </c>
    </row>
    <row r="3" spans="1:35" x14ac:dyDescent="0.2">
      <c r="A3">
        <v>2</v>
      </c>
      <c r="B3">
        <v>758</v>
      </c>
      <c r="C3">
        <v>275</v>
      </c>
      <c r="D3">
        <v>0.303389904475587</v>
      </c>
      <c r="E3">
        <v>107.02389272744399</v>
      </c>
      <c r="F3">
        <v>2.2017507642320502</v>
      </c>
      <c r="G3">
        <v>-1747.3533397684453</v>
      </c>
      <c r="H3">
        <v>-1459.405779774653</v>
      </c>
      <c r="I3">
        <v>279.248955044166</v>
      </c>
      <c r="J3">
        <v>144.57305393594001</v>
      </c>
      <c r="K3">
        <v>48.608541196429798</v>
      </c>
      <c r="L3">
        <v>1.5574892414830859E-4</v>
      </c>
      <c r="M3">
        <v>1.7496103295449945E-5</v>
      </c>
      <c r="N3" s="1">
        <v>3.7343473922937802E-6</v>
      </c>
      <c r="O3" s="1">
        <v>1.03043736333886E-7</v>
      </c>
      <c r="P3" s="1">
        <v>-5.2040115277949803E-7</v>
      </c>
      <c r="Q3">
        <v>72.329643435015797</v>
      </c>
      <c r="R3">
        <v>6.5405955825460105E-2</v>
      </c>
      <c r="S3">
        <v>11.9225713761846</v>
      </c>
      <c r="T3">
        <v>0.18799849300197599</v>
      </c>
      <c r="V3">
        <v>0.46139701856113102</v>
      </c>
      <c r="W3">
        <v>9.3437079750656096E-3</v>
      </c>
      <c r="X3">
        <v>8.4093371775593104E-2</v>
      </c>
      <c r="AA3">
        <v>0.90633967358137202</v>
      </c>
      <c r="AB3">
        <v>3.14882958759712</v>
      </c>
      <c r="AC3">
        <v>4.6905414034829098</v>
      </c>
      <c r="AD3">
        <v>1.8687415950130799E-2</v>
      </c>
      <c r="AE3">
        <v>6.17514856104874</v>
      </c>
    </row>
    <row r="4" spans="1:35" x14ac:dyDescent="0.2">
      <c r="A4">
        <v>3</v>
      </c>
      <c r="B4">
        <v>757</v>
      </c>
      <c r="C4">
        <v>275</v>
      </c>
      <c r="D4">
        <v>0.30264573120419402</v>
      </c>
      <c r="E4">
        <v>106.817428491001</v>
      </c>
      <c r="F4">
        <v>2.2022322981279001</v>
      </c>
      <c r="G4">
        <v>-1743.6440846130081</v>
      </c>
      <c r="H4">
        <v>-1456.6534453413515</v>
      </c>
      <c r="I4">
        <v>278.59111709135198</v>
      </c>
      <c r="J4">
        <v>144.29998590513401</v>
      </c>
      <c r="K4">
        <v>48.504160338491602</v>
      </c>
      <c r="L4">
        <v>1.5576656663120487E-4</v>
      </c>
      <c r="M4">
        <v>1.7487331723279668E-5</v>
      </c>
      <c r="N4" s="1">
        <v>3.7320429870238099E-6</v>
      </c>
      <c r="O4" s="1">
        <v>1.0277500802711E-7</v>
      </c>
      <c r="P4" s="1">
        <v>-5.19627734396215E-7</v>
      </c>
      <c r="Q4">
        <v>72.287188269954697</v>
      </c>
      <c r="R4">
        <v>6.5532377055770294E-2</v>
      </c>
      <c r="S4">
        <v>11.9456161604532</v>
      </c>
      <c r="T4">
        <v>0.18871787294603601</v>
      </c>
      <c r="V4">
        <v>0.461968503527034</v>
      </c>
      <c r="W4">
        <v>9.3617681508240992E-3</v>
      </c>
      <c r="X4">
        <v>8.4255913357421899E-2</v>
      </c>
      <c r="AA4">
        <v>0.90809151062995197</v>
      </c>
      <c r="AB4">
        <v>3.1549158668277402</v>
      </c>
      <c r="AC4">
        <v>4.6996076117136498</v>
      </c>
      <c r="AD4">
        <v>1.87235363016473E-2</v>
      </c>
      <c r="AE4">
        <v>6.1760206090819301</v>
      </c>
    </row>
    <row r="5" spans="1:35" x14ac:dyDescent="0.2">
      <c r="A5">
        <v>4</v>
      </c>
      <c r="B5">
        <v>756</v>
      </c>
      <c r="C5">
        <v>275</v>
      </c>
      <c r="D5">
        <v>0.30190011174270298</v>
      </c>
      <c r="E5">
        <v>106.59196615254</v>
      </c>
      <c r="F5">
        <v>2.2027241492430401</v>
      </c>
      <c r="G5">
        <v>-1739.621083922561</v>
      </c>
      <c r="H5">
        <v>-1453.6337867543218</v>
      </c>
      <c r="I5">
        <v>277.88689420224301</v>
      </c>
      <c r="J5">
        <v>144.003297379184</v>
      </c>
      <c r="K5">
        <v>48.390973599290902</v>
      </c>
      <c r="L5">
        <v>1.5579297715756193E-4</v>
      </c>
      <c r="M5">
        <v>1.7478625635795687E-5</v>
      </c>
      <c r="N5" s="1">
        <v>3.7291797003740399E-6</v>
      </c>
      <c r="O5" s="1">
        <v>1.02491460988523E-7</v>
      </c>
      <c r="P5" s="1">
        <v>-5.1880633178001496E-7</v>
      </c>
      <c r="Q5">
        <v>72.240520833207597</v>
      </c>
      <c r="R5">
        <v>6.56709905320874E-2</v>
      </c>
      <c r="S5">
        <v>11.9708834169939</v>
      </c>
      <c r="T5">
        <v>0.18948095030617401</v>
      </c>
      <c r="V5">
        <v>0.46261821103704398</v>
      </c>
      <c r="W5">
        <v>9.3815700760121502E-3</v>
      </c>
      <c r="X5">
        <v>8.4434130684116607E-2</v>
      </c>
      <c r="AA5">
        <v>0.9100122973732</v>
      </c>
      <c r="AB5">
        <v>3.1615891156161302</v>
      </c>
      <c r="AC5">
        <v>4.7095481781580402</v>
      </c>
      <c r="AD5">
        <v>1.87631401520231E-2</v>
      </c>
      <c r="AE5">
        <v>6.1770971658635698</v>
      </c>
    </row>
    <row r="6" spans="1:35" x14ac:dyDescent="0.2">
      <c r="A6">
        <v>5</v>
      </c>
      <c r="B6">
        <v>755</v>
      </c>
      <c r="C6">
        <v>275</v>
      </c>
      <c r="D6">
        <v>0.30115304187132302</v>
      </c>
      <c r="E6">
        <v>106.36763295640699</v>
      </c>
      <c r="F6">
        <v>2.2032160554992002</v>
      </c>
      <c r="G6">
        <v>-1735.6181016506014</v>
      </c>
      <c r="H6">
        <v>-1450.6293731015392</v>
      </c>
      <c r="I6">
        <v>277.18594421928901</v>
      </c>
      <c r="J6">
        <v>143.70808793859001</v>
      </c>
      <c r="K6">
        <v>48.278348685284399</v>
      </c>
      <c r="L6">
        <v>1.5581933748543087E-4</v>
      </c>
      <c r="M6">
        <v>1.7469911826870202E-5</v>
      </c>
      <c r="N6" s="1">
        <v>3.7263394603824602E-6</v>
      </c>
      <c r="O6" s="1">
        <v>1.02209333062578E-7</v>
      </c>
      <c r="P6" s="1">
        <v>-5.1798950573063897E-7</v>
      </c>
      <c r="Q6">
        <v>72.193884293990905</v>
      </c>
      <c r="R6">
        <v>6.5809493033176E-2</v>
      </c>
      <c r="S6">
        <v>11.9961304443359</v>
      </c>
      <c r="T6">
        <v>0.190246668218051</v>
      </c>
      <c r="V6">
        <v>0.46326447266903098</v>
      </c>
      <c r="W6">
        <v>9.4013561475961103E-3</v>
      </c>
      <c r="X6">
        <v>8.4612205328374795E-2</v>
      </c>
      <c r="AA6">
        <v>0.91193154631685203</v>
      </c>
      <c r="AB6">
        <v>3.1682570217399402</v>
      </c>
      <c r="AC6">
        <v>4.7194807860931602</v>
      </c>
      <c r="AD6">
        <v>1.88027122951906E-2</v>
      </c>
      <c r="AE6">
        <v>6.1781789998316601</v>
      </c>
    </row>
    <row r="7" spans="1:35" x14ac:dyDescent="0.2">
      <c r="A7">
        <v>6</v>
      </c>
      <c r="B7">
        <v>754</v>
      </c>
      <c r="C7">
        <v>275</v>
      </c>
      <c r="D7">
        <v>0.30040451735384299</v>
      </c>
      <c r="E7">
        <v>106.14441972385001</v>
      </c>
      <c r="F7">
        <v>2.20370801840353</v>
      </c>
      <c r="G7">
        <v>-1731.6349760704445</v>
      </c>
      <c r="H7">
        <v>-1447.6400801423399</v>
      </c>
      <c r="I7">
        <v>276.48824020649801</v>
      </c>
      <c r="J7">
        <v>143.41434557730301</v>
      </c>
      <c r="K7">
        <v>48.166281030617903</v>
      </c>
      <c r="L7">
        <v>1.5584564717413559E-4</v>
      </c>
      <c r="M7">
        <v>1.746119023776325E-5</v>
      </c>
      <c r="N7" s="1">
        <v>3.7235220712113501E-6</v>
      </c>
      <c r="O7" s="1">
        <v>1.01928612398113E-7</v>
      </c>
      <c r="P7" s="1">
        <v>-5.1717721716102599E-7</v>
      </c>
      <c r="Q7">
        <v>72.147278485053704</v>
      </c>
      <c r="R7">
        <v>6.5947885138113005E-2</v>
      </c>
      <c r="S7">
        <v>12.0213573480366</v>
      </c>
      <c r="T7">
        <v>0.19101504230080399</v>
      </c>
      <c r="V7">
        <v>0.46390727995146003</v>
      </c>
      <c r="W7">
        <v>9.4211264483012504E-3</v>
      </c>
      <c r="X7">
        <v>8.4790138034723905E-2</v>
      </c>
      <c r="AA7">
        <v>0.91384926548526002</v>
      </c>
      <c r="AB7">
        <v>3.1749196130775901</v>
      </c>
      <c r="AC7">
        <v>4.7294054770471297</v>
      </c>
      <c r="AD7">
        <v>1.8842252896600398E-2</v>
      </c>
      <c r="AE7">
        <v>6.1792660865295996</v>
      </c>
    </row>
    <row r="8" spans="1:35" x14ac:dyDescent="0.2">
      <c r="A8">
        <v>7</v>
      </c>
      <c r="B8">
        <v>753</v>
      </c>
      <c r="C8">
        <v>275</v>
      </c>
      <c r="D8">
        <v>0.29965453393753799</v>
      </c>
      <c r="E8">
        <v>105.92231737527101</v>
      </c>
      <c r="F8">
        <v>2.2042000394634802</v>
      </c>
      <c r="G8">
        <v>-1727.6715472013907</v>
      </c>
      <c r="H8">
        <v>-1444.6657849783928</v>
      </c>
      <c r="I8">
        <v>275.79375551624798</v>
      </c>
      <c r="J8">
        <v>143.122058418943</v>
      </c>
      <c r="K8">
        <v>48.054766118710901</v>
      </c>
      <c r="L8">
        <v>1.5587190578019312E-4</v>
      </c>
      <c r="M8">
        <v>1.7452460809622216E-5</v>
      </c>
      <c r="N8" s="1">
        <v>3.72072733895796E-6</v>
      </c>
      <c r="O8" s="1">
        <v>1.0164928726962701E-7</v>
      </c>
      <c r="P8" s="1">
        <v>-5.1636942738592398E-7</v>
      </c>
      <c r="Q8">
        <v>72.100703239913102</v>
      </c>
      <c r="R8">
        <v>6.6086167423999601E-2</v>
      </c>
      <c r="S8">
        <v>12.0465642332936</v>
      </c>
      <c r="T8">
        <v>0.191786088253001</v>
      </c>
      <c r="V8">
        <v>0.464546624322212</v>
      </c>
      <c r="W8">
        <v>9.4408810605705901E-3</v>
      </c>
      <c r="X8">
        <v>8.4967929545151699E-2</v>
      </c>
      <c r="AA8">
        <v>0.91576546287539795</v>
      </c>
      <c r="AB8">
        <v>3.18157691741238</v>
      </c>
      <c r="AC8">
        <v>4.7393222924063103</v>
      </c>
      <c r="AD8">
        <v>1.8881762121138498E-2</v>
      </c>
      <c r="AE8">
        <v>6.1803584013730601</v>
      </c>
    </row>
    <row r="9" spans="1:35" x14ac:dyDescent="0.2">
      <c r="A9">
        <v>8</v>
      </c>
      <c r="B9">
        <v>752</v>
      </c>
      <c r="C9">
        <v>275</v>
      </c>
      <c r="D9">
        <v>0.29890308735307097</v>
      </c>
      <c r="E9">
        <v>105.701316930191</v>
      </c>
      <c r="F9">
        <v>2.2046921201871301</v>
      </c>
      <c r="G9">
        <v>-1723.7276568066152</v>
      </c>
      <c r="H9">
        <v>-1441.7063660539857</v>
      </c>
      <c r="I9">
        <v>275.102463788352</v>
      </c>
      <c r="J9">
        <v>142.83121471663199</v>
      </c>
      <c r="K9">
        <v>47.943799482178498</v>
      </c>
      <c r="L9">
        <v>1.5589811285609189E-4</v>
      </c>
      <c r="M9">
        <v>1.7443723483429689E-5</v>
      </c>
      <c r="N9" s="1">
        <v>3.7179550716430801E-6</v>
      </c>
      <c r="O9" s="1">
        <v>1.01371346076072E-7</v>
      </c>
      <c r="P9" s="1">
        <v>-5.1556609811622005E-7</v>
      </c>
      <c r="Q9">
        <v>72.054158393170894</v>
      </c>
      <c r="R9">
        <v>6.6224340465155102E-2</v>
      </c>
      <c r="S9">
        <v>12.071751204796399</v>
      </c>
      <c r="T9">
        <v>0.19255982185032999</v>
      </c>
      <c r="V9">
        <v>0.46518249712308202</v>
      </c>
      <c r="W9">
        <v>9.4606200664498104E-3</v>
      </c>
      <c r="X9">
        <v>8.5145580598067497E-2</v>
      </c>
      <c r="AA9">
        <v>0.91768014644569096</v>
      </c>
      <c r="AB9">
        <v>3.1882289623936901</v>
      </c>
      <c r="AC9">
        <v>4.74923127335766</v>
      </c>
      <c r="AD9">
        <v>1.8921240132896502E-2</v>
      </c>
      <c r="AE9">
        <v>6.1814559195996104</v>
      </c>
    </row>
    <row r="10" spans="1:35" x14ac:dyDescent="0.2">
      <c r="A10">
        <v>9</v>
      </c>
      <c r="B10">
        <v>751</v>
      </c>
      <c r="C10">
        <v>275</v>
      </c>
      <c r="D10">
        <v>0.29815017331445698</v>
      </c>
      <c r="E10">
        <v>105.48140950614901</v>
      </c>
      <c r="F10">
        <v>2.2051842620826299</v>
      </c>
      <c r="G10">
        <v>-1719.8031483736165</v>
      </c>
      <c r="H10">
        <v>-1438.7617031411992</v>
      </c>
      <c r="I10">
        <v>274.41433894685099</v>
      </c>
      <c r="J10">
        <v>142.54180285155201</v>
      </c>
      <c r="K10">
        <v>47.8333767022852</v>
      </c>
      <c r="L10">
        <v>1.5592426795044945E-4</v>
      </c>
      <c r="M10">
        <v>1.7434978200023437E-5</v>
      </c>
      <c r="N10" s="1">
        <v>3.7152050791997701E-6</v>
      </c>
      <c r="O10" s="1">
        <v>1.01094777339598E-7</v>
      </c>
      <c r="P10" s="1">
        <v>-5.1476719145561396E-7</v>
      </c>
      <c r="Q10">
        <v>72.007643780545195</v>
      </c>
      <c r="R10">
        <v>6.6362404832978505E-2</v>
      </c>
      <c r="S10">
        <v>12.096918366703299</v>
      </c>
      <c r="T10">
        <v>0.19333625894533199</v>
      </c>
      <c r="V10">
        <v>0.46581488959842099</v>
      </c>
      <c r="W10">
        <v>9.4803435475672906E-3</v>
      </c>
      <c r="X10">
        <v>8.5323091928127898E-2</v>
      </c>
      <c r="AA10">
        <v>0.919593324114097</v>
      </c>
      <c r="AB10">
        <v>3.1948757755303001</v>
      </c>
      <c r="AC10">
        <v>4.7591324608786101</v>
      </c>
      <c r="AD10">
        <v>1.89606870951309E-2</v>
      </c>
      <c r="AE10">
        <v>6.1825586162808603</v>
      </c>
    </row>
    <row r="11" spans="1:35" x14ac:dyDescent="0.2">
      <c r="A11">
        <v>10</v>
      </c>
      <c r="B11">
        <v>750</v>
      </c>
      <c r="C11">
        <v>275</v>
      </c>
      <c r="D11">
        <v>0.29739578751893703</v>
      </c>
      <c r="E11">
        <v>105.262586315413</v>
      </c>
      <c r="F11">
        <v>2.2056764666606501</v>
      </c>
      <c r="G11">
        <v>-1715.8978670580718</v>
      </c>
      <c r="H11">
        <v>-1435.8316772944263</v>
      </c>
      <c r="I11">
        <v>273.72935519097399</v>
      </c>
      <c r="J11">
        <v>142.253811328702</v>
      </c>
      <c r="K11">
        <v>47.723493407344002</v>
      </c>
      <c r="L11">
        <v>1.5595037060801283E-4</v>
      </c>
      <c r="M11">
        <v>1.7426224900036879E-5</v>
      </c>
      <c r="N11" s="1">
        <v>3.7124771733583001E-6</v>
      </c>
      <c r="O11" s="1">
        <v>1.0081956970153199E-7</v>
      </c>
      <c r="P11" s="1">
        <v>-5.1397266988513697E-7</v>
      </c>
      <c r="Q11">
        <v>71.961159238492002</v>
      </c>
      <c r="R11">
        <v>6.6500361097201005E-2</v>
      </c>
      <c r="S11">
        <v>12.1220658228675</v>
      </c>
      <c r="T11">
        <v>0.19411541547206701</v>
      </c>
      <c r="V11">
        <v>0.46644379290329602</v>
      </c>
      <c r="W11">
        <v>9.5000515853133193E-3</v>
      </c>
      <c r="X11">
        <v>8.5500464267843093E-2</v>
      </c>
      <c r="AA11">
        <v>0.92150500377546496</v>
      </c>
      <c r="AB11">
        <v>3.2015173842507201</v>
      </c>
      <c r="AC11">
        <v>4.7690258958271103</v>
      </c>
      <c r="AD11">
        <v>1.9000103170622899E-2</v>
      </c>
      <c r="AE11">
        <v>6.1836664662907399</v>
      </c>
    </row>
    <row r="12" spans="1:35" x14ac:dyDescent="0.2">
      <c r="A12">
        <v>11</v>
      </c>
      <c r="B12">
        <v>749</v>
      </c>
      <c r="C12">
        <v>275</v>
      </c>
      <c r="D12">
        <v>0.29663992564692099</v>
      </c>
      <c r="E12">
        <v>105.044838665591</v>
      </c>
      <c r="F12">
        <v>2.2061687354299</v>
      </c>
      <c r="G12">
        <v>-1712.0116596933667</v>
      </c>
      <c r="H12">
        <v>-1432.9161708594429</v>
      </c>
      <c r="I12">
        <v>273.04748699694102</v>
      </c>
      <c r="J12">
        <v>141.967228777749</v>
      </c>
      <c r="K12">
        <v>47.614145273036598</v>
      </c>
      <c r="L12">
        <v>1.559764203709839E-4</v>
      </c>
      <c r="M12">
        <v>1.7417463524057244E-5</v>
      </c>
      <c r="N12" s="1">
        <v>3.7097711677501198E-6</v>
      </c>
      <c r="O12" s="1">
        <v>1.00545711924199E-7</v>
      </c>
      <c r="P12" s="1">
        <v>-5.13182496275128E-7</v>
      </c>
      <c r="Q12">
        <v>71.914704604485493</v>
      </c>
      <c r="R12">
        <v>6.6638209824708403E-2</v>
      </c>
      <c r="S12">
        <v>12.147193676624999</v>
      </c>
      <c r="T12">
        <v>0.19489730744224701</v>
      </c>
      <c r="V12">
        <v>0.46706919809527098</v>
      </c>
      <c r="W12">
        <v>9.5197442606714602E-3</v>
      </c>
      <c r="X12">
        <v>8.5677698346067699E-2</v>
      </c>
      <c r="AA12">
        <v>0.92341519328520805</v>
      </c>
      <c r="AB12">
        <v>3.20815381584642</v>
      </c>
      <c r="AC12">
        <v>4.7789116188568901</v>
      </c>
      <c r="AD12">
        <v>1.9039488521338899E-2</v>
      </c>
      <c r="AE12">
        <v>6.1847794444105597</v>
      </c>
    </row>
    <row r="13" spans="1:35" x14ac:dyDescent="0.2">
      <c r="A13">
        <v>12</v>
      </c>
      <c r="B13">
        <v>748</v>
      </c>
      <c r="C13">
        <v>275</v>
      </c>
      <c r="D13">
        <v>0.29588258336189799</v>
      </c>
      <c r="E13">
        <v>104.82815795805</v>
      </c>
      <c r="F13">
        <v>2.20666106990469</v>
      </c>
      <c r="G13">
        <v>-1708.1443747616327</v>
      </c>
      <c r="H13">
        <v>-1430.0150674522522</v>
      </c>
      <c r="I13">
        <v>272.36870911166801</v>
      </c>
      <c r="J13">
        <v>141.68204395062099</v>
      </c>
      <c r="K13">
        <v>47.505328021478903</v>
      </c>
      <c r="L13">
        <v>1.5600241677455199E-4</v>
      </c>
      <c r="M13">
        <v>1.7408694012280699E-5</v>
      </c>
      <c r="N13" s="1">
        <v>3.70708687771429E-6</v>
      </c>
      <c r="O13" s="1">
        <v>1.00273192885043E-7</v>
      </c>
      <c r="P13" s="1">
        <v>-5.1239663385336899E-7</v>
      </c>
      <c r="Q13">
        <v>71.868279717215302</v>
      </c>
      <c r="R13">
        <v>6.6775951579742199E-2</v>
      </c>
      <c r="S13">
        <v>12.172302030829</v>
      </c>
      <c r="T13">
        <v>0.195681950946478</v>
      </c>
      <c r="V13">
        <v>0.46769109613551402</v>
      </c>
      <c r="W13">
        <v>9.5394216542475999E-3</v>
      </c>
      <c r="X13">
        <v>8.5854794888255398E-2</v>
      </c>
      <c r="AA13">
        <v>0.925323900462101</v>
      </c>
      <c r="AB13">
        <v>3.2147850974815899</v>
      </c>
      <c r="AC13">
        <v>4.7887896704320898</v>
      </c>
      <c r="AD13">
        <v>1.90788433084907E-2</v>
      </c>
      <c r="AE13">
        <v>6.18589752506709</v>
      </c>
    </row>
    <row r="14" spans="1:35" x14ac:dyDescent="0.2">
      <c r="A14">
        <v>13</v>
      </c>
      <c r="B14">
        <v>747</v>
      </c>
      <c r="C14">
        <v>275</v>
      </c>
      <c r="D14">
        <v>0.29512375631034898</v>
      </c>
      <c r="E14">
        <v>104.61253568594201</v>
      </c>
      <c r="F14">
        <v>2.2071534715957601</v>
      </c>
      <c r="G14">
        <v>-1704.2958623615907</v>
      </c>
      <c r="H14">
        <v>-1427.1282519314184</v>
      </c>
      <c r="I14">
        <v>271.69299654969501</v>
      </c>
      <c r="J14">
        <v>141.398245719427</v>
      </c>
      <c r="K14">
        <v>47.397037420468699</v>
      </c>
      <c r="L14">
        <v>1.5602835935313116E-4</v>
      </c>
      <c r="M14">
        <v>1.7399916304960226E-5</v>
      </c>
      <c r="N14" s="1">
        <v>3.7044241204541701E-6</v>
      </c>
      <c r="O14" s="1">
        <v>1.00002001579644E-7</v>
      </c>
      <c r="P14" s="1">
        <v>-5.1161504623135599E-7</v>
      </c>
      <c r="Q14">
        <v>71.8218844160847</v>
      </c>
      <c r="R14">
        <v>6.6913586924373103E-2</v>
      </c>
      <c r="S14">
        <v>12.197390987936499</v>
      </c>
      <c r="T14">
        <v>0.19646936215594901</v>
      </c>
      <c r="V14">
        <v>0.46830947789183502</v>
      </c>
      <c r="W14">
        <v>9.5590838463376192E-3</v>
      </c>
      <c r="X14">
        <v>8.6031754617067593E-2</v>
      </c>
      <c r="AA14">
        <v>0.92723113309483995</v>
      </c>
      <c r="AB14">
        <v>3.2214112562159398</v>
      </c>
      <c r="AC14">
        <v>4.7986600908612704</v>
      </c>
      <c r="AD14">
        <v>1.9118167692670499E-2</v>
      </c>
      <c r="AE14">
        <v>6.1870206826784102</v>
      </c>
    </row>
    <row r="15" spans="1:35" x14ac:dyDescent="0.2">
      <c r="A15">
        <v>14</v>
      </c>
      <c r="B15">
        <v>746</v>
      </c>
      <c r="C15">
        <v>275</v>
      </c>
      <c r="D15">
        <v>0.29436344012167098</v>
      </c>
      <c r="E15">
        <v>104.39796343332701</v>
      </c>
      <c r="F15">
        <v>2.2076459420179999</v>
      </c>
      <c r="G15">
        <v>-1700.465974191276</v>
      </c>
      <c r="H15">
        <v>-1424.2556103868562</v>
      </c>
      <c r="I15">
        <v>271.02032458854899</v>
      </c>
      <c r="J15">
        <v>141.115823074915</v>
      </c>
      <c r="K15">
        <v>47.289269282871103</v>
      </c>
      <c r="L15">
        <v>1.5605424763531523E-4</v>
      </c>
      <c r="M15">
        <v>1.7391130342037355E-5</v>
      </c>
      <c r="N15" s="1">
        <v>3.7017827148543501E-6</v>
      </c>
      <c r="O15" s="1">
        <v>9.9732127116192095E-8</v>
      </c>
      <c r="P15" s="1">
        <v>-5.1083769737277496E-7</v>
      </c>
      <c r="Q15">
        <v>71.775518541564097</v>
      </c>
      <c r="R15">
        <v>6.7051116418289994E-2</v>
      </c>
      <c r="S15">
        <v>12.2224606499713</v>
      </c>
      <c r="T15">
        <v>0.19725955732214301</v>
      </c>
      <c r="V15">
        <v>0.46892433413672102</v>
      </c>
      <c r="W15">
        <v>9.5787309168970398E-3</v>
      </c>
      <c r="X15">
        <v>8.6208578252105303E-2</v>
      </c>
      <c r="AA15">
        <v>0.929136898939113</v>
      </c>
      <c r="AB15">
        <v>3.2280323189944902</v>
      </c>
      <c r="AC15">
        <v>4.8085229202820701</v>
      </c>
      <c r="AD15">
        <v>1.9157461833788799E-2</v>
      </c>
      <c r="AE15">
        <v>6.18814889136892</v>
      </c>
    </row>
    <row r="16" spans="1:35" x14ac:dyDescent="0.2">
      <c r="A16">
        <v>15</v>
      </c>
      <c r="B16">
        <v>745</v>
      </c>
      <c r="C16">
        <v>275</v>
      </c>
      <c r="D16">
        <v>0.29360163040809401</v>
      </c>
      <c r="E16">
        <v>104.18443287454799</v>
      </c>
      <c r="F16">
        <v>2.2081384826849</v>
      </c>
      <c r="G16">
        <v>-1696.6545635374052</v>
      </c>
      <c r="H16">
        <v>-1421.3970301313402</v>
      </c>
      <c r="I16">
        <v>270.350668767927</v>
      </c>
      <c r="J16">
        <v>140.834765125866</v>
      </c>
      <c r="K16">
        <v>47.182019466401101</v>
      </c>
      <c r="L16">
        <v>1.5608008114683476E-4</v>
      </c>
      <c r="M16">
        <v>1.738233606338358E-5</v>
      </c>
      <c r="N16" s="1">
        <v>3.69916248158388E-6</v>
      </c>
      <c r="O16" s="1">
        <v>9.9463558717244294E-8</v>
      </c>
      <c r="P16" s="1">
        <v>-5.1006455160819702E-7</v>
      </c>
      <c r="Q16">
        <v>71.7291819351328</v>
      </c>
      <c r="R16">
        <v>6.7188540618437098E-2</v>
      </c>
      <c r="S16">
        <v>12.2475111184559</v>
      </c>
      <c r="T16">
        <v>0.198052552775839</v>
      </c>
      <c r="V16">
        <v>0.46953565554493698</v>
      </c>
      <c r="W16">
        <v>9.59836294548937E-3</v>
      </c>
      <c r="X16">
        <v>8.6385266509438702E-2</v>
      </c>
      <c r="AA16">
        <v>0.93104120571257598</v>
      </c>
      <c r="AB16">
        <v>3.2346483126301102</v>
      </c>
      <c r="AC16">
        <v>4.8183781986353997</v>
      </c>
      <c r="AD16">
        <v>1.9196725890973099E-2</v>
      </c>
      <c r="AE16">
        <v>6.1892821251479599</v>
      </c>
    </row>
    <row r="17" spans="1:31" x14ac:dyDescent="0.2">
      <c r="A17">
        <v>16</v>
      </c>
      <c r="B17">
        <v>744</v>
      </c>
      <c r="C17">
        <v>275</v>
      </c>
      <c r="D17">
        <v>0.29283832276459099</v>
      </c>
      <c r="E17">
        <v>103.97193577223899</v>
      </c>
      <c r="F17">
        <v>2.2086310951139598</v>
      </c>
      <c r="G17">
        <v>-1692.8614852402015</v>
      </c>
      <c r="H17">
        <v>-1418.5523996734059</v>
      </c>
      <c r="I17">
        <v>269.68400488305099</v>
      </c>
      <c r="J17">
        <v>140.55506109629599</v>
      </c>
      <c r="K17">
        <v>47.075283872554003</v>
      </c>
      <c r="L17">
        <v>1.5610585940783187E-4</v>
      </c>
      <c r="M17">
        <v>1.7373533408571407E-5</v>
      </c>
      <c r="N17" s="1">
        <v>3.6965632429422498E-6</v>
      </c>
      <c r="O17" s="1">
        <v>9.9196285714907903E-8</v>
      </c>
      <c r="P17" s="1">
        <v>-5.0929557361088998E-7</v>
      </c>
      <c r="Q17">
        <v>71.682874439276304</v>
      </c>
      <c r="R17">
        <v>6.7325860079537503E-2</v>
      </c>
      <c r="S17">
        <v>12.2725424945087</v>
      </c>
      <c r="T17">
        <v>0.19884836492927199</v>
      </c>
      <c r="V17">
        <v>0.47014343269647901</v>
      </c>
      <c r="W17">
        <v>9.61798001136073E-3</v>
      </c>
      <c r="X17">
        <v>8.6561820102283693E-2</v>
      </c>
      <c r="AA17">
        <v>0.93294406110210604</v>
      </c>
      <c r="AB17">
        <v>3.2412592638287698</v>
      </c>
      <c r="AC17">
        <v>4.8282259657028002</v>
      </c>
      <c r="AD17">
        <v>1.9235960022715302E-2</v>
      </c>
      <c r="AE17">
        <v>6.1904203577395096</v>
      </c>
    </row>
    <row r="18" spans="1:31" x14ac:dyDescent="0.2">
      <c r="A18">
        <v>17</v>
      </c>
      <c r="B18">
        <v>743</v>
      </c>
      <c r="C18">
        <v>275</v>
      </c>
      <c r="D18">
        <v>0.29207351276878402</v>
      </c>
      <c r="E18">
        <v>103.760463976739</v>
      </c>
      <c r="F18">
        <v>2.2091237808217201</v>
      </c>
      <c r="G18">
        <v>-1689.086595683382</v>
      </c>
      <c r="H18">
        <v>-1415.7216087094585</v>
      </c>
      <c r="I18">
        <v>269.02030898383401</v>
      </c>
      <c r="J18">
        <v>140.276700324882</v>
      </c>
      <c r="K18">
        <v>46.969058446396303</v>
      </c>
      <c r="L18">
        <v>1.5613158193547686E-4</v>
      </c>
      <c r="M18">
        <v>1.7364722317089999E-5</v>
      </c>
      <c r="N18" s="1">
        <v>3.69398482295171E-6</v>
      </c>
      <c r="O18" s="1">
        <v>9.8930297552339695E-8</v>
      </c>
      <c r="P18" s="1">
        <v>-5.08530728409719E-7</v>
      </c>
      <c r="Q18">
        <v>71.636595897448402</v>
      </c>
      <c r="R18">
        <v>6.7463075353727101E-2</v>
      </c>
      <c r="S18">
        <v>12.2975548787756</v>
      </c>
      <c r="T18">
        <v>0.19964701027510801</v>
      </c>
      <c r="V18">
        <v>0.470747656074121</v>
      </c>
      <c r="W18">
        <v>9.6375821933877507E-3</v>
      </c>
      <c r="X18">
        <v>8.6738239740528203E-2</v>
      </c>
      <c r="AA18">
        <v>0.93484547275873098</v>
      </c>
      <c r="AB18">
        <v>3.2478651991718901</v>
      </c>
      <c r="AC18">
        <v>4.8380662610803604</v>
      </c>
      <c r="AD18">
        <v>1.92751643867691E-2</v>
      </c>
      <c r="AE18">
        <v>6.1915635627412602</v>
      </c>
    </row>
    <row r="19" spans="1:31" x14ac:dyDescent="0.2">
      <c r="A19">
        <v>18</v>
      </c>
      <c r="B19">
        <v>742</v>
      </c>
      <c r="C19">
        <v>275</v>
      </c>
      <c r="D19">
        <v>0.291307195980888</v>
      </c>
      <c r="E19">
        <v>103.550009424132</v>
      </c>
      <c r="F19">
        <v>2.2096165413266902</v>
      </c>
      <c r="G19">
        <v>-1685.32975276004</v>
      </c>
      <c r="H19">
        <v>-1412.9045480969535</v>
      </c>
      <c r="I19">
        <v>268.35955736894698</v>
      </c>
      <c r="J19">
        <v>139.999672262329</v>
      </c>
      <c r="K19">
        <v>46.8633391755654</v>
      </c>
      <c r="L19">
        <v>1.5615724824280777E-4</v>
      </c>
      <c r="M19">
        <v>1.7355902728233185E-5</v>
      </c>
      <c r="N19" s="1">
        <v>3.6914270472572298E-6</v>
      </c>
      <c r="O19" s="1">
        <v>9.8665583780326801E-8</v>
      </c>
      <c r="P19" s="1">
        <v>-5.0776998137379795E-7</v>
      </c>
      <c r="Q19">
        <v>71.590346153974096</v>
      </c>
      <c r="R19">
        <v>6.7600186991090105E-2</v>
      </c>
      <c r="S19">
        <v>12.322548371529701</v>
      </c>
      <c r="T19">
        <v>0.200448505388575</v>
      </c>
      <c r="V19">
        <v>0.47134831606641497</v>
      </c>
      <c r="W19">
        <v>9.6571695701538098E-3</v>
      </c>
      <c r="X19">
        <v>8.6914526131424502E-2</v>
      </c>
      <c r="AA19">
        <v>0.93674544830504503</v>
      </c>
      <c r="AB19">
        <v>3.25446614514206</v>
      </c>
      <c r="AC19">
        <v>4.8478991242169096</v>
      </c>
      <c r="AD19">
        <v>1.9314339140301E-2</v>
      </c>
      <c r="AE19">
        <v>6.1927117135440604</v>
      </c>
    </row>
    <row r="20" spans="1:31" x14ac:dyDescent="0.2">
      <c r="A20">
        <v>19</v>
      </c>
      <c r="B20">
        <v>741</v>
      </c>
      <c r="C20">
        <v>275</v>
      </c>
      <c r="D20">
        <v>0.29053936794360102</v>
      </c>
      <c r="E20">
        <v>102.332240176404</v>
      </c>
      <c r="F20">
        <v>2.2100561775308298</v>
      </c>
      <c r="G20">
        <v>-1665.2675741594871</v>
      </c>
      <c r="H20">
        <v>-1396.3560176559452</v>
      </c>
      <c r="I20">
        <v>265.159548886793</v>
      </c>
      <c r="J20">
        <v>138.383850688118</v>
      </c>
      <c r="K20">
        <v>46.303004066953001</v>
      </c>
      <c r="L20">
        <v>1.5633027530712786E-4</v>
      </c>
      <c r="M20">
        <v>1.7359048537504004E-5</v>
      </c>
      <c r="N20" s="1">
        <v>3.6577019478622699E-6</v>
      </c>
      <c r="O20" s="1">
        <v>9.7559728010046698E-8</v>
      </c>
      <c r="P20" s="1">
        <v>-5.0263748482147297E-7</v>
      </c>
      <c r="Q20">
        <v>71.528669134111198</v>
      </c>
      <c r="R20">
        <v>6.8404639514718493E-2</v>
      </c>
      <c r="S20">
        <v>12.3522657092303</v>
      </c>
      <c r="T20">
        <v>0.203191449425245</v>
      </c>
      <c r="V20">
        <v>0.476635681754979</v>
      </c>
      <c r="W20">
        <v>9.7720913592433192E-3</v>
      </c>
      <c r="X20">
        <v>8.7948822233235802E-2</v>
      </c>
      <c r="AA20">
        <v>0.94620150106129897</v>
      </c>
      <c r="AB20">
        <v>3.2705875524627999</v>
      </c>
      <c r="AC20">
        <v>4.8347657613411101</v>
      </c>
      <c r="AD20">
        <v>1.9544182718478999E-2</v>
      </c>
      <c r="AE20">
        <v>6.2020134747873303</v>
      </c>
    </row>
    <row r="21" spans="1:31" x14ac:dyDescent="0.2">
      <c r="A21">
        <v>20</v>
      </c>
      <c r="B21">
        <v>740</v>
      </c>
      <c r="C21">
        <v>275</v>
      </c>
      <c r="D21">
        <v>0.28977002418201098</v>
      </c>
      <c r="E21">
        <v>84.836893789482204</v>
      </c>
      <c r="F21">
        <v>2.2120302529226201</v>
      </c>
      <c r="G21">
        <v>-1379.3342496654254</v>
      </c>
      <c r="H21">
        <v>-1156.599688520628</v>
      </c>
      <c r="I21">
        <v>219.84361757370201</v>
      </c>
      <c r="J21">
        <v>114.777046153751</v>
      </c>
      <c r="K21">
        <v>38.352501588706602</v>
      </c>
      <c r="L21">
        <v>1.5682209803234947E-4</v>
      </c>
      <c r="M21">
        <v>1.7377385427443057E-5</v>
      </c>
      <c r="N21" s="1">
        <v>3.0443851883698998E-6</v>
      </c>
      <c r="O21" s="1">
        <v>8.1021373873115101E-8</v>
      </c>
      <c r="P21" s="1">
        <v>-4.1789695158199597E-7</v>
      </c>
      <c r="Q21">
        <v>71.366673834965397</v>
      </c>
      <c r="R21">
        <v>8.2511271774884695E-2</v>
      </c>
      <c r="S21">
        <v>12.3458900765244</v>
      </c>
      <c r="T21">
        <v>0.24501447279472799</v>
      </c>
      <c r="V21">
        <v>0.57500087594774596</v>
      </c>
      <c r="W21">
        <v>1.1787324539264701E-2</v>
      </c>
      <c r="X21">
        <v>0.106085920853479</v>
      </c>
      <c r="AA21">
        <v>0.958949024450371</v>
      </c>
      <c r="AB21">
        <v>3.2887727401317299</v>
      </c>
      <c r="AC21">
        <v>4.7762831318350996</v>
      </c>
      <c r="AD21">
        <v>2.3574649078514202E-2</v>
      </c>
      <c r="AE21">
        <v>6.2194566771042901</v>
      </c>
    </row>
    <row r="22" spans="1:31" x14ac:dyDescent="0.2">
      <c r="A22">
        <v>21</v>
      </c>
      <c r="B22">
        <v>739</v>
      </c>
      <c r="C22">
        <v>275</v>
      </c>
      <c r="D22">
        <v>0.28899916020352701</v>
      </c>
      <c r="E22">
        <v>25.642131657779299</v>
      </c>
      <c r="F22">
        <v>2.2140798226590799</v>
      </c>
      <c r="G22">
        <v>-416.70212306917563</v>
      </c>
      <c r="H22">
        <v>-349.47812143943469</v>
      </c>
      <c r="I22">
        <v>66.4170346586384</v>
      </c>
      <c r="J22">
        <v>34.719328121112397</v>
      </c>
      <c r="K22">
        <v>11.581394399314499</v>
      </c>
      <c r="L22">
        <v>1.570087624365884E-4</v>
      </c>
      <c r="M22">
        <v>1.737315041356602E-5</v>
      </c>
      <c r="N22" s="1">
        <v>9.2155015496213098E-7</v>
      </c>
      <c r="O22" s="1">
        <v>2.4474264677540301E-8</v>
      </c>
      <c r="P22" s="1">
        <v>-1.2631829580453399E-7</v>
      </c>
      <c r="Q22">
        <v>71.154388888687095</v>
      </c>
      <c r="R22">
        <v>0.13243416064671901</v>
      </c>
      <c r="S22">
        <v>12.3721646107506</v>
      </c>
      <c r="T22">
        <v>0.251518073509097</v>
      </c>
      <c r="V22">
        <v>0.58946199149857303</v>
      </c>
      <c r="W22">
        <v>3.8998317821059197E-2</v>
      </c>
      <c r="X22">
        <v>0.137578883511079</v>
      </c>
      <c r="AA22">
        <v>0.99438395904090704</v>
      </c>
      <c r="AB22">
        <v>3.2765334580418299</v>
      </c>
      <c r="AC22">
        <v>4.7529170115852697</v>
      </c>
      <c r="AD22">
        <v>7.7996635642033102E-2</v>
      </c>
      <c r="AE22">
        <v>6.2216240092656596</v>
      </c>
    </row>
    <row r="23" spans="1:31" x14ac:dyDescent="0.2">
      <c r="A23">
        <v>22</v>
      </c>
      <c r="B23">
        <v>738</v>
      </c>
      <c r="C23">
        <v>275</v>
      </c>
      <c r="D23">
        <v>0.28822677149780002</v>
      </c>
      <c r="E23">
        <v>9.6987932922518407</v>
      </c>
      <c r="F23">
        <v>2.2162360894964399</v>
      </c>
      <c r="G23">
        <v>-157.5470909048606</v>
      </c>
      <c r="H23">
        <v>-132.16675833283858</v>
      </c>
      <c r="I23">
        <v>25.1004624160826</v>
      </c>
      <c r="J23">
        <v>13.1507039928289</v>
      </c>
      <c r="K23">
        <v>4.3762455354905496</v>
      </c>
      <c r="L23">
        <v>1.5718439568493273E-4</v>
      </c>
      <c r="M23">
        <v>1.7376120515269318E-5</v>
      </c>
      <c r="N23" s="1">
        <v>3.4948839184332302E-7</v>
      </c>
      <c r="O23" s="1">
        <v>9.26063247581708E-9</v>
      </c>
      <c r="P23" s="1">
        <v>-4.7815488252017797E-8</v>
      </c>
      <c r="Q23">
        <v>70.796526551419603</v>
      </c>
      <c r="R23">
        <v>0.14630244571151499</v>
      </c>
      <c r="S23">
        <v>12.486853692281899</v>
      </c>
      <c r="T23">
        <v>0.24472050321226399</v>
      </c>
      <c r="V23">
        <v>0.57271385597383295</v>
      </c>
      <c r="W23">
        <v>0.10220306554344</v>
      </c>
      <c r="X23">
        <v>0.14089412661474299</v>
      </c>
      <c r="AA23">
        <v>1.1191606671322201</v>
      </c>
      <c r="AB23">
        <v>3.2043778048277201</v>
      </c>
      <c r="AC23">
        <v>4.7490634802972096</v>
      </c>
      <c r="AD23">
        <v>0.20621122027554301</v>
      </c>
      <c r="AE23">
        <v>6.2309725867098402</v>
      </c>
    </row>
    <row r="24" spans="1:31" x14ac:dyDescent="0.2">
      <c r="A24">
        <v>23</v>
      </c>
      <c r="B24">
        <v>759</v>
      </c>
      <c r="C24">
        <v>250</v>
      </c>
      <c r="D24">
        <v>0.33077604999273502</v>
      </c>
      <c r="E24">
        <v>106.631363439144</v>
      </c>
      <c r="F24">
        <v>2.2020715300232401</v>
      </c>
      <c r="G24">
        <v>-1740.3227426947537</v>
      </c>
      <c r="H24">
        <v>-1455.3190263840133</v>
      </c>
      <c r="I24">
        <v>276.12625714357398</v>
      </c>
      <c r="J24">
        <v>143.70075007202399</v>
      </c>
      <c r="K24">
        <v>48.423206051812002</v>
      </c>
      <c r="L24">
        <v>1.517484793658575E-4</v>
      </c>
      <c r="M24">
        <v>1.7475353052504066E-5</v>
      </c>
      <c r="N24" s="1">
        <v>3.5355674760544501E-6</v>
      </c>
      <c r="O24" s="1">
        <v>9.9414405318819502E-8</v>
      </c>
      <c r="P24" s="1">
        <v>-5.0443369627217703E-7</v>
      </c>
      <c r="Q24">
        <v>72.595901902913496</v>
      </c>
      <c r="R24">
        <v>6.5646726950039994E-2</v>
      </c>
      <c r="S24">
        <v>11.9664605126077</v>
      </c>
      <c r="T24">
        <v>0.19068478266245201</v>
      </c>
      <c r="V24">
        <v>0.46130107116510599</v>
      </c>
      <c r="W24">
        <v>9.3781038500056497E-3</v>
      </c>
      <c r="X24">
        <v>8.44029346500524E-2</v>
      </c>
      <c r="AA24">
        <v>0.90967607345055301</v>
      </c>
      <c r="AB24">
        <v>3.1604209974519102</v>
      </c>
      <c r="AC24">
        <v>4.7078081327028203</v>
      </c>
      <c r="AD24">
        <v>1.8756207700011001E-2</v>
      </c>
      <c r="AE24">
        <v>5.8295625538957099</v>
      </c>
    </row>
    <row r="25" spans="1:31" x14ac:dyDescent="0.2">
      <c r="A25">
        <v>24</v>
      </c>
      <c r="B25">
        <v>758</v>
      </c>
      <c r="C25">
        <v>250</v>
      </c>
      <c r="D25">
        <v>0.330059157251614</v>
      </c>
      <c r="E25">
        <v>106.63005699622499</v>
      </c>
      <c r="F25">
        <v>2.2024410142696298</v>
      </c>
      <c r="G25">
        <v>-1740.0181231591826</v>
      </c>
      <c r="H25">
        <v>-1455.4463323540167</v>
      </c>
      <c r="I25">
        <v>275.97516443307501</v>
      </c>
      <c r="J25">
        <v>143.68364152791699</v>
      </c>
      <c r="K25">
        <v>48.414489334955398</v>
      </c>
      <c r="L25">
        <v>1.5167766956036521E-4</v>
      </c>
      <c r="M25">
        <v>1.7465938968358097E-5</v>
      </c>
      <c r="N25" s="1">
        <v>3.53892607814934E-6</v>
      </c>
      <c r="O25" s="1">
        <v>9.9315386176061499E-8</v>
      </c>
      <c r="P25" s="1">
        <v>-5.0419704223924503E-7</v>
      </c>
      <c r="Q25">
        <v>72.596791355748394</v>
      </c>
      <c r="R25">
        <v>6.56475312607947E-2</v>
      </c>
      <c r="S25">
        <v>11.9666071269691</v>
      </c>
      <c r="T25">
        <v>0.19098755929384001</v>
      </c>
      <c r="V25">
        <v>0.46103638354822601</v>
      </c>
      <c r="W25">
        <v>9.3782187515418693E-3</v>
      </c>
      <c r="X25">
        <v>8.4403968763881801E-2</v>
      </c>
      <c r="AA25">
        <v>0.90968721889957604</v>
      </c>
      <c r="AB25">
        <v>3.16045971926963</v>
      </c>
      <c r="AC25">
        <v>4.7078658132739699</v>
      </c>
      <c r="AD25">
        <v>1.8756437503082899E-2</v>
      </c>
      <c r="AE25">
        <v>5.8283786667178497</v>
      </c>
    </row>
    <row r="26" spans="1:31" x14ac:dyDescent="0.2">
      <c r="A26">
        <v>25</v>
      </c>
      <c r="B26">
        <v>757</v>
      </c>
      <c r="C26">
        <v>250</v>
      </c>
      <c r="D26">
        <v>0.32934087268844398</v>
      </c>
      <c r="E26">
        <v>106.41062316040799</v>
      </c>
      <c r="F26">
        <v>2.2029312225861202</v>
      </c>
      <c r="G26">
        <v>-1736.0969083600837</v>
      </c>
      <c r="H26">
        <v>-1452.5078829147524</v>
      </c>
      <c r="I26">
        <v>275.28906027795</v>
      </c>
      <c r="J26">
        <v>143.39497790739301</v>
      </c>
      <c r="K26">
        <v>48.304105942757403</v>
      </c>
      <c r="L26">
        <v>1.51700505341355E-4</v>
      </c>
      <c r="M26">
        <v>1.745709958886915E-5</v>
      </c>
      <c r="N26" s="1">
        <v>3.5361862664885801E-6</v>
      </c>
      <c r="O26" s="1">
        <v>9.9043785822009606E-8</v>
      </c>
      <c r="P26" s="1">
        <v>-5.0340033654176203E-7</v>
      </c>
      <c r="Q26">
        <v>72.551552999414696</v>
      </c>
      <c r="R26">
        <v>6.5782905804883607E-2</v>
      </c>
      <c r="S26">
        <v>11.991283972435401</v>
      </c>
      <c r="T26">
        <v>0.191747844798272</v>
      </c>
      <c r="V26">
        <v>0.46165737758049102</v>
      </c>
      <c r="W26">
        <v>9.3975579721258494E-3</v>
      </c>
      <c r="X26">
        <v>8.4578021749141002E-2</v>
      </c>
      <c r="AA26">
        <v>0.91156312329623101</v>
      </c>
      <c r="AB26">
        <v>3.16697703660645</v>
      </c>
      <c r="AC26">
        <v>4.7175741020070898</v>
      </c>
      <c r="AD26">
        <v>1.87951159442502E-2</v>
      </c>
      <c r="AE26">
        <v>5.82908994239087</v>
      </c>
    </row>
    <row r="27" spans="1:31" x14ac:dyDescent="0.2">
      <c r="A27">
        <v>26</v>
      </c>
      <c r="B27">
        <v>756</v>
      </c>
      <c r="C27">
        <v>250</v>
      </c>
      <c r="D27">
        <v>0.32862119224602798</v>
      </c>
      <c r="E27">
        <v>106.191996876555</v>
      </c>
      <c r="F27">
        <v>2.2034216935900401</v>
      </c>
      <c r="G27">
        <v>-1732.1903322361575</v>
      </c>
      <c r="H27">
        <v>-1449.5801934295134</v>
      </c>
      <c r="I27">
        <v>274.60539164032798</v>
      </c>
      <c r="J27">
        <v>143.107383761389</v>
      </c>
      <c r="K27">
        <v>48.1941324193537</v>
      </c>
      <c r="L27">
        <v>1.5172337029580952E-4</v>
      </c>
      <c r="M27">
        <v>1.7448250961803791E-5</v>
      </c>
      <c r="N27" s="1">
        <v>3.5334585135184802E-6</v>
      </c>
      <c r="O27" s="1">
        <v>9.8773270951033301E-8</v>
      </c>
      <c r="P27" s="1">
        <v>-5.0260703360169203E-7</v>
      </c>
      <c r="Q27">
        <v>72.506290394604505</v>
      </c>
      <c r="R27">
        <v>6.5918338536729904E-2</v>
      </c>
      <c r="S27">
        <v>12.015971424698</v>
      </c>
      <c r="T27">
        <v>0.19251132079639399</v>
      </c>
      <c r="V27">
        <v>0.46227606174302799</v>
      </c>
      <c r="W27">
        <v>9.4169055052466706E-3</v>
      </c>
      <c r="X27">
        <v>8.4752149547229899E-2</v>
      </c>
      <c r="AA27">
        <v>0.91343983400895601</v>
      </c>
      <c r="AB27">
        <v>3.1734971552681799</v>
      </c>
      <c r="AC27">
        <v>4.72728656363374</v>
      </c>
      <c r="AD27">
        <v>1.88338110104917E-2</v>
      </c>
      <c r="AE27">
        <v>5.8298060406473198</v>
      </c>
    </row>
    <row r="28" spans="1:31" x14ac:dyDescent="0.2">
      <c r="A28">
        <v>27</v>
      </c>
      <c r="B28">
        <v>755</v>
      </c>
      <c r="C28">
        <v>250</v>
      </c>
      <c r="D28">
        <v>0.32790011185138401</v>
      </c>
      <c r="E28">
        <v>105.974439505218</v>
      </c>
      <c r="F28">
        <v>2.2039122806001301</v>
      </c>
      <c r="G28">
        <v>-1728.3027198992716</v>
      </c>
      <c r="H28">
        <v>-1446.6669413624531</v>
      </c>
      <c r="I28">
        <v>273.92479554230198</v>
      </c>
      <c r="J28">
        <v>142.82118393168199</v>
      </c>
      <c r="K28">
        <v>48.0846903200528</v>
      </c>
      <c r="L28">
        <v>1.517461476443832E-4</v>
      </c>
      <c r="M28">
        <v>1.7439392271491379E-5</v>
      </c>
      <c r="N28" s="1">
        <v>3.5307501629811898E-6</v>
      </c>
      <c r="O28" s="1">
        <v>9.8504044218396097E-8</v>
      </c>
      <c r="P28" s="1">
        <v>-5.0181778866924703E-7</v>
      </c>
      <c r="Q28">
        <v>72.461060385630205</v>
      </c>
      <c r="R28">
        <v>6.6053663814427899E-2</v>
      </c>
      <c r="S28">
        <v>12.040639289604901</v>
      </c>
      <c r="T28">
        <v>0.193277440378468</v>
      </c>
      <c r="V28">
        <v>0.46289133124481202</v>
      </c>
      <c r="W28">
        <v>9.4362376877748008E-3</v>
      </c>
      <c r="X28">
        <v>8.4926139189986205E-2</v>
      </c>
      <c r="AA28">
        <v>0.91531505571419602</v>
      </c>
      <c r="AB28">
        <v>3.1800121007801798</v>
      </c>
      <c r="AC28">
        <v>4.7369913192628497</v>
      </c>
      <c r="AD28">
        <v>1.8872475375547499E-2</v>
      </c>
      <c r="AE28">
        <v>5.8305245613165004</v>
      </c>
    </row>
    <row r="29" spans="1:31" x14ac:dyDescent="0.2">
      <c r="A29">
        <v>28</v>
      </c>
      <c r="B29">
        <v>754</v>
      </c>
      <c r="C29">
        <v>250</v>
      </c>
      <c r="D29">
        <v>0.32717762741566497</v>
      </c>
      <c r="E29">
        <v>105.757942590176</v>
      </c>
      <c r="F29">
        <v>2.20440298549221</v>
      </c>
      <c r="G29">
        <v>-1724.4339221586424</v>
      </c>
      <c r="H29">
        <v>-1443.7680122400095</v>
      </c>
      <c r="I29">
        <v>273.24724715828501</v>
      </c>
      <c r="J29">
        <v>142.536367361304</v>
      </c>
      <c r="K29">
        <v>47.975775430444799</v>
      </c>
      <c r="L29">
        <v>1.5176883659604457E-4</v>
      </c>
      <c r="M29">
        <v>1.7430523438906325E-5</v>
      </c>
      <c r="N29" s="1">
        <v>3.5280610315767099E-6</v>
      </c>
      <c r="O29" s="1">
        <v>9.8236094801524094E-8</v>
      </c>
      <c r="P29" s="1">
        <v>-5.0103256516289197E-7</v>
      </c>
      <c r="Q29">
        <v>72.415862844797402</v>
      </c>
      <c r="R29">
        <v>6.6188882163923296E-2</v>
      </c>
      <c r="S29">
        <v>12.065287663027799</v>
      </c>
      <c r="T29">
        <v>0.19404621898222299</v>
      </c>
      <c r="V29">
        <v>0.46350317726539703</v>
      </c>
      <c r="W29">
        <v>9.4555545948454695E-3</v>
      </c>
      <c r="X29">
        <v>8.5099991353624199E-2</v>
      </c>
      <c r="AA29">
        <v>0.91718879570005696</v>
      </c>
      <c r="AB29">
        <v>3.1865218984630101</v>
      </c>
      <c r="AC29">
        <v>4.7466884066123098</v>
      </c>
      <c r="AD29">
        <v>1.89111091896886E-2</v>
      </c>
      <c r="AE29">
        <v>5.8312454578496302</v>
      </c>
    </row>
    <row r="30" spans="1:31" x14ac:dyDescent="0.2">
      <c r="A30">
        <v>29</v>
      </c>
      <c r="B30">
        <v>753</v>
      </c>
      <c r="C30">
        <v>250</v>
      </c>
      <c r="D30">
        <v>0.32645373483409301</v>
      </c>
      <c r="E30">
        <v>105.542497765216</v>
      </c>
      <c r="F30">
        <v>2.2048938101468001</v>
      </c>
      <c r="G30">
        <v>-1720.5837914083852</v>
      </c>
      <c r="H30">
        <v>-1440.8832928081952</v>
      </c>
      <c r="I30">
        <v>272.57272192193102</v>
      </c>
      <c r="J30">
        <v>142.25292311043199</v>
      </c>
      <c r="K30">
        <v>47.867383580794296</v>
      </c>
      <c r="L30">
        <v>1.5179143635256359E-4</v>
      </c>
      <c r="M30">
        <v>1.742164438467138E-5</v>
      </c>
      <c r="N30" s="1">
        <v>3.5253909375283501E-6</v>
      </c>
      <c r="O30" s="1">
        <v>9.7969411986793295E-8</v>
      </c>
      <c r="P30" s="1">
        <v>-5.0025132683902196E-7</v>
      </c>
      <c r="Q30">
        <v>72.370697645606</v>
      </c>
      <c r="R30">
        <v>6.6323994108723805E-2</v>
      </c>
      <c r="S30">
        <v>12.0899166403947</v>
      </c>
      <c r="T30">
        <v>0.19481767212121301</v>
      </c>
      <c r="V30">
        <v>0.464111590892477</v>
      </c>
      <c r="W30">
        <v>9.4748563012454906E-3</v>
      </c>
      <c r="X30">
        <v>8.5273706711225805E-2</v>
      </c>
      <c r="AA30">
        <v>0.91906106122086195</v>
      </c>
      <c r="AB30">
        <v>3.1930265735198202</v>
      </c>
      <c r="AC30">
        <v>4.7563778632250999</v>
      </c>
      <c r="AD30">
        <v>1.8949712602488299E-2</v>
      </c>
      <c r="AE30">
        <v>5.8319686832960196</v>
      </c>
    </row>
    <row r="31" spans="1:31" x14ac:dyDescent="0.2">
      <c r="A31">
        <v>30</v>
      </c>
      <c r="B31">
        <v>752</v>
      </c>
      <c r="C31">
        <v>250</v>
      </c>
      <c r="D31">
        <v>0.32572842998585799</v>
      </c>
      <c r="E31">
        <v>105.328096752684</v>
      </c>
      <c r="F31">
        <v>2.2053847564500302</v>
      </c>
      <c r="G31">
        <v>-1716.7521816020956</v>
      </c>
      <c r="H31">
        <v>-1438.0126710128513</v>
      </c>
      <c r="I31">
        <v>271.90119552186798</v>
      </c>
      <c r="J31">
        <v>141.97084035448901</v>
      </c>
      <c r="K31">
        <v>47.759510645312098</v>
      </c>
      <c r="L31">
        <v>1.5181394610815505E-4</v>
      </c>
      <c r="M31">
        <v>1.7412755029023402E-5</v>
      </c>
      <c r="N31" s="1">
        <v>3.5227397005363999E-6</v>
      </c>
      <c r="O31" s="1">
        <v>9.7703985167475604E-8</v>
      </c>
      <c r="P31" s="1">
        <v>-4.9947403778400702E-7</v>
      </c>
      <c r="Q31">
        <v>72.325564662717895</v>
      </c>
      <c r="R31">
        <v>6.6459000170074195E-2</v>
      </c>
      <c r="S31">
        <v>12.114526316721999</v>
      </c>
      <c r="T31">
        <v>0.195591815385743</v>
      </c>
      <c r="V31">
        <v>0.46471656312279302</v>
      </c>
      <c r="W31">
        <v>9.4941428814382198E-3</v>
      </c>
      <c r="X31">
        <v>8.5447285932964301E-2</v>
      </c>
      <c r="AA31">
        <v>0.92093185949956802</v>
      </c>
      <c r="AB31">
        <v>3.1995261510447799</v>
      </c>
      <c r="AC31">
        <v>4.7660597264818101</v>
      </c>
      <c r="AD31">
        <v>1.8988285762873001E-2</v>
      </c>
      <c r="AE31">
        <v>5.8326941902778797</v>
      </c>
    </row>
    <row r="32" spans="1:31" x14ac:dyDescent="0.2">
      <c r="A32">
        <v>31</v>
      </c>
      <c r="B32">
        <v>751</v>
      </c>
      <c r="C32">
        <v>250</v>
      </c>
      <c r="D32">
        <v>0.32500170873407402</v>
      </c>
      <c r="E32">
        <v>105.11473136449</v>
      </c>
      <c r="F32">
        <v>2.2058758262897</v>
      </c>
      <c r="G32">
        <v>-1712.9389482687382</v>
      </c>
      <c r="H32">
        <v>-1435.1560360141755</v>
      </c>
      <c r="I32">
        <v>271.23264390427403</v>
      </c>
      <c r="J32">
        <v>141.69010838543201</v>
      </c>
      <c r="K32">
        <v>47.652152542645098</v>
      </c>
      <c r="L32">
        <v>1.5183636505016748E-4</v>
      </c>
      <c r="M32">
        <v>1.7403855291936981E-5</v>
      </c>
      <c r="N32" s="1">
        <v>3.5201071418717798E-6</v>
      </c>
      <c r="O32" s="1">
        <v>9.7439803845470004E-8</v>
      </c>
      <c r="P32" s="1">
        <v>-4.9870066242451296E-7</v>
      </c>
      <c r="Q32">
        <v>72.280463772336105</v>
      </c>
      <c r="R32">
        <v>6.65939008655929E-2</v>
      </c>
      <c r="S32">
        <v>12.139116786362999</v>
      </c>
      <c r="T32">
        <v>0.19636866443852199</v>
      </c>
      <c r="V32">
        <v>0.46531808485323001</v>
      </c>
      <c r="W32">
        <v>9.5134144093693505E-3</v>
      </c>
      <c r="X32">
        <v>8.5620729684347002E-2</v>
      </c>
      <c r="AA32">
        <v>0.92280119770889502</v>
      </c>
      <c r="AB32">
        <v>3.2060206559575901</v>
      </c>
      <c r="AC32">
        <v>4.7757340335032197</v>
      </c>
      <c r="AD32">
        <v>1.9026828818734898E-2</v>
      </c>
      <c r="AE32">
        <v>5.8334219310613697</v>
      </c>
    </row>
    <row r="33" spans="1:31" x14ac:dyDescent="0.2">
      <c r="A33">
        <v>32</v>
      </c>
      <c r="B33">
        <v>750</v>
      </c>
      <c r="C33">
        <v>250</v>
      </c>
      <c r="D33">
        <v>0.324273566925672</v>
      </c>
      <c r="E33">
        <v>104.902393498208</v>
      </c>
      <c r="F33">
        <v>2.2063670215614599</v>
      </c>
      <c r="G33">
        <v>-1709.1439484460384</v>
      </c>
      <c r="H33">
        <v>-1432.3132781328304</v>
      </c>
      <c r="I33">
        <v>270.56704326169898</v>
      </c>
      <c r="J33">
        <v>141.41071660662899</v>
      </c>
      <c r="K33">
        <v>47.545305233926399</v>
      </c>
      <c r="L33">
        <v>1.5185869235739924E-4</v>
      </c>
      <c r="M33">
        <v>1.7394945092909897E-5</v>
      </c>
      <c r="N33" s="1">
        <v>3.5174930841796702E-6</v>
      </c>
      <c r="O33" s="1">
        <v>9.7176857625234202E-8</v>
      </c>
      <c r="P33" s="1">
        <v>-4.9793116549967903E-7</v>
      </c>
      <c r="Q33">
        <v>72.235394851770096</v>
      </c>
      <c r="R33">
        <v>6.6728696711003399E-2</v>
      </c>
      <c r="S33">
        <v>12.163688143326899</v>
      </c>
      <c r="T33">
        <v>0.19714823502083301</v>
      </c>
      <c r="V33">
        <v>0.46591614689150901</v>
      </c>
      <c r="W33">
        <v>9.5326709587136103E-3</v>
      </c>
      <c r="X33">
        <v>8.5794038628447297E-2</v>
      </c>
      <c r="AA33">
        <v>0.92466908299529404</v>
      </c>
      <c r="AB33">
        <v>3.2125101130866098</v>
      </c>
      <c r="AC33">
        <v>4.7854008212740196</v>
      </c>
      <c r="AD33">
        <v>1.9065341917423002E-2</v>
      </c>
      <c r="AE33">
        <v>5.8341518574189797</v>
      </c>
    </row>
    <row r="34" spans="1:31" x14ac:dyDescent="0.2">
      <c r="A34">
        <v>33</v>
      </c>
      <c r="B34">
        <v>749</v>
      </c>
      <c r="C34">
        <v>250</v>
      </c>
      <c r="D34">
        <v>0.32354400039133302</v>
      </c>
      <c r="E34">
        <v>104.691075137339</v>
      </c>
      <c r="F34">
        <v>2.206858344164</v>
      </c>
      <c r="G34">
        <v>-1705.3670406843062</v>
      </c>
      <c r="H34">
        <v>-1429.4842888538922</v>
      </c>
      <c r="I34">
        <v>269.90437003415701</v>
      </c>
      <c r="J34">
        <v>141.13265453329001</v>
      </c>
      <c r="K34">
        <v>47.438964722947702</v>
      </c>
      <c r="L34">
        <v>1.5188092720196182E-4</v>
      </c>
      <c r="M34">
        <v>1.7386024351152845E-5</v>
      </c>
      <c r="N34" s="1">
        <v>3.5148973515797401E-6</v>
      </c>
      <c r="O34" s="1">
        <v>9.6915136215666601E-8</v>
      </c>
      <c r="P34" s="1">
        <v>-4.9716551207426597E-7</v>
      </c>
      <c r="Q34">
        <v>72.190357779598997</v>
      </c>
      <c r="R34">
        <v>6.6863388219266795E-2</v>
      </c>
      <c r="S34">
        <v>12.1882404811196</v>
      </c>
      <c r="T34">
        <v>0.19793054294981299</v>
      </c>
      <c r="V34">
        <v>0.46651073995046999</v>
      </c>
      <c r="W34">
        <v>9.5519126027511295E-3</v>
      </c>
      <c r="X34">
        <v>8.59672134247874E-2</v>
      </c>
      <c r="AA34">
        <v>0.92653552246694004</v>
      </c>
      <c r="AB34">
        <v>3.2189945471272701</v>
      </c>
      <c r="AC34">
        <v>4.7950601265808297</v>
      </c>
      <c r="AD34">
        <v>1.9103825205497599E-2</v>
      </c>
      <c r="AE34">
        <v>5.83488392075368</v>
      </c>
    </row>
    <row r="35" spans="1:31" x14ac:dyDescent="0.2">
      <c r="A35">
        <v>34</v>
      </c>
      <c r="B35">
        <v>748</v>
      </c>
      <c r="C35">
        <v>250</v>
      </c>
      <c r="D35">
        <v>0.32281300494540499</v>
      </c>
      <c r="E35">
        <v>104.480768351096</v>
      </c>
      <c r="F35">
        <v>2.2073497960009401</v>
      </c>
      <c r="G35">
        <v>-1701.6080850413853</v>
      </c>
      <c r="H35">
        <v>-1426.6689608246688</v>
      </c>
      <c r="I35">
        <v>269.244600907522</v>
      </c>
      <c r="J35">
        <v>140.85591179203001</v>
      </c>
      <c r="K35">
        <v>47.333127055976597</v>
      </c>
      <c r="L35">
        <v>1.5190306874734801E-4</v>
      </c>
      <c r="M35">
        <v>1.7377092985471485E-5</v>
      </c>
      <c r="N35" s="1">
        <v>3.5123197696190501E-6</v>
      </c>
      <c r="O35" s="1">
        <v>9.6654629428151099E-8</v>
      </c>
      <c r="P35" s="1">
        <v>-4.9640366752806499E-7</v>
      </c>
      <c r="Q35">
        <v>72.145352435956099</v>
      </c>
      <c r="R35">
        <v>6.6997975900000895E-2</v>
      </c>
      <c r="S35">
        <v>12.2127738926365</v>
      </c>
      <c r="T35">
        <v>0.198715604116811</v>
      </c>
      <c r="V35">
        <v>0.46710185464406001</v>
      </c>
      <c r="W35">
        <v>9.5711394142845296E-3</v>
      </c>
      <c r="X35">
        <v>8.6140254728588897E-2</v>
      </c>
      <c r="AA35">
        <v>0.928400523185684</v>
      </c>
      <c r="AB35">
        <v>3.2254739826140302</v>
      </c>
      <c r="AC35">
        <v>4.8047119859705898</v>
      </c>
      <c r="AD35">
        <v>1.9142278828564299E-2</v>
      </c>
      <c r="AE35">
        <v>5.83561807200467</v>
      </c>
    </row>
    <row r="36" spans="1:31" x14ac:dyDescent="0.2">
      <c r="A36">
        <v>35</v>
      </c>
      <c r="B36">
        <v>747</v>
      </c>
      <c r="C36">
        <v>250</v>
      </c>
      <c r="D36">
        <v>0.32208057638582899</v>
      </c>
      <c r="E36">
        <v>104.27146529216699</v>
      </c>
      <c r="F36">
        <v>2.2078413789806999</v>
      </c>
      <c r="G36">
        <v>-1697.8669430444531</v>
      </c>
      <c r="H36">
        <v>-1423.8671878236617</v>
      </c>
      <c r="I36">
        <v>268.58771280771498</v>
      </c>
      <c r="J36">
        <v>140.58047811804201</v>
      </c>
      <c r="K36">
        <v>47.227788320693101</v>
      </c>
      <c r="L36">
        <v>1.5192511614936852E-4</v>
      </c>
      <c r="M36">
        <v>1.7368150914304732E-5</v>
      </c>
      <c r="N36" s="1">
        <v>3.5097601652330599E-6</v>
      </c>
      <c r="O36" s="1">
        <v>9.6395327174705104E-8</v>
      </c>
      <c r="P36" s="1">
        <v>-4.9564559755114802E-7</v>
      </c>
      <c r="Q36">
        <v>72.100378702255298</v>
      </c>
      <c r="R36">
        <v>6.71324602602104E-2</v>
      </c>
      <c r="S36">
        <v>12.237288470297999</v>
      </c>
      <c r="T36">
        <v>0.199503434490062</v>
      </c>
      <c r="V36">
        <v>0.46768948149169398</v>
      </c>
      <c r="W36">
        <v>9.5903514657429707E-3</v>
      </c>
      <c r="X36">
        <v>8.6313163191716294E-2</v>
      </c>
      <c r="AA36">
        <v>0.930264092177156</v>
      </c>
      <c r="AB36">
        <v>3.2319484439555302</v>
      </c>
      <c r="AC36">
        <v>4.8143564358027202</v>
      </c>
      <c r="AD36">
        <v>1.9180702931481001E-2</v>
      </c>
      <c r="AE36">
        <v>5.8363542616803299</v>
      </c>
    </row>
    <row r="37" spans="1:31" x14ac:dyDescent="0.2">
      <c r="A37">
        <v>36</v>
      </c>
      <c r="B37">
        <v>746</v>
      </c>
      <c r="C37">
        <v>250</v>
      </c>
      <c r="D37">
        <v>0.32134671049404001</v>
      </c>
      <c r="E37">
        <v>104.06315819392201</v>
      </c>
      <c r="F37">
        <v>2.2083330950176099</v>
      </c>
      <c r="G37">
        <v>-1694.1434776426906</v>
      </c>
      <c r="H37">
        <v>-1421.0788647218872</v>
      </c>
      <c r="I37">
        <v>267.93368289339401</v>
      </c>
      <c r="J37">
        <v>140.30634335156401</v>
      </c>
      <c r="K37">
        <v>47.122944644857597</v>
      </c>
      <c r="L37">
        <v>1.5194706855687116E-4</v>
      </c>
      <c r="M37">
        <v>1.7359198055726781E-5</v>
      </c>
      <c r="N37" s="1">
        <v>3.50721836667489E-6</v>
      </c>
      <c r="O37" s="1">
        <v>9.6137219465299705E-8</v>
      </c>
      <c r="P37" s="1">
        <v>-4.9489126813506502E-7</v>
      </c>
      <c r="Q37">
        <v>72.055436460816196</v>
      </c>
      <c r="R37">
        <v>6.7266841805395203E-2</v>
      </c>
      <c r="S37">
        <v>12.261784306249099</v>
      </c>
      <c r="T37">
        <v>0.20029405011889201</v>
      </c>
      <c r="V37">
        <v>0.46827361092542003</v>
      </c>
      <c r="W37">
        <v>9.6095488293407305E-3</v>
      </c>
      <c r="X37">
        <v>8.6485939464097397E-2</v>
      </c>
      <c r="AA37">
        <v>0.93212623644614401</v>
      </c>
      <c r="AB37">
        <v>3.2384179554879902</v>
      </c>
      <c r="AC37">
        <v>4.8239935123287898</v>
      </c>
      <c r="AD37">
        <v>1.9219097658676298E-2</v>
      </c>
      <c r="AE37">
        <v>5.8370924398698198</v>
      </c>
    </row>
    <row r="38" spans="1:31" x14ac:dyDescent="0.2">
      <c r="A38">
        <v>37</v>
      </c>
      <c r="B38">
        <v>745</v>
      </c>
      <c r="C38">
        <v>250</v>
      </c>
      <c r="D38">
        <v>0.32061140303491598</v>
      </c>
      <c r="E38">
        <v>103.855839374101</v>
      </c>
      <c r="F38">
        <v>2.2088249460288298</v>
      </c>
      <c r="G38">
        <v>-1690.4375532673064</v>
      </c>
      <c r="H38">
        <v>-1418.3038875353393</v>
      </c>
      <c r="I38">
        <v>267.28248856452097</v>
      </c>
      <c r="J38">
        <v>140.03349744240501</v>
      </c>
      <c r="K38">
        <v>47.018592198001201</v>
      </c>
      <c r="L38">
        <v>1.5196892510973406E-4</v>
      </c>
      <c r="M38">
        <v>1.7350234327448089E-5</v>
      </c>
      <c r="N38" s="1">
        <v>3.50469420363308E-6</v>
      </c>
      <c r="O38" s="1">
        <v>9.5880296410411495E-8</v>
      </c>
      <c r="P38" s="1">
        <v>-4.9414064558156002E-7</v>
      </c>
      <c r="Q38">
        <v>72.010525595905705</v>
      </c>
      <c r="R38">
        <v>6.74011210364929E-2</v>
      </c>
      <c r="S38">
        <v>12.286261491803799</v>
      </c>
      <c r="T38">
        <v>0.20108746712334699</v>
      </c>
      <c r="V38">
        <v>0.46885423326962999</v>
      </c>
      <c r="W38">
        <v>9.6287315766403394E-3</v>
      </c>
      <c r="X38">
        <v>8.6658584189794996E-2</v>
      </c>
      <c r="AA38">
        <v>0.93398696293421002</v>
      </c>
      <c r="AB38">
        <v>3.24488254132797</v>
      </c>
      <c r="AC38">
        <v>4.8336232514731901</v>
      </c>
      <c r="AD38">
        <v>1.9257463153275398E-2</v>
      </c>
      <c r="AE38">
        <v>5.8378325562058304</v>
      </c>
    </row>
    <row r="39" spans="1:31" x14ac:dyDescent="0.2">
      <c r="A39">
        <v>38</v>
      </c>
      <c r="B39">
        <v>744</v>
      </c>
      <c r="C39">
        <v>250</v>
      </c>
      <c r="D39">
        <v>0.31987464975667701</v>
      </c>
      <c r="E39">
        <v>90.854211398019004</v>
      </c>
      <c r="F39">
        <v>2.2107697453480002</v>
      </c>
      <c r="G39">
        <v>-1477.4559019848559</v>
      </c>
      <c r="H39">
        <v>-1239.8244817694724</v>
      </c>
      <c r="I39">
        <v>233.624755655885</v>
      </c>
      <c r="J39">
        <v>122.488987666692</v>
      </c>
      <c r="K39">
        <v>41.096189048722998</v>
      </c>
      <c r="L39">
        <v>1.5192140759674895E-4</v>
      </c>
      <c r="M39">
        <v>1.7326772209521814E-5</v>
      </c>
      <c r="N39" s="1">
        <v>3.06393952464301E-6</v>
      </c>
      <c r="O39" s="1">
        <v>8.3670233865427094E-8</v>
      </c>
      <c r="P39" s="1">
        <v>-4.3174391969303998E-7</v>
      </c>
      <c r="Q39">
        <v>71.913392891637599</v>
      </c>
      <c r="R39">
        <v>7.7046511023408995E-2</v>
      </c>
      <c r="S39">
        <v>12.273254553607</v>
      </c>
      <c r="T39">
        <v>0.23000618443694801</v>
      </c>
      <c r="V39">
        <v>0.53582130203164002</v>
      </c>
      <c r="W39">
        <v>1.10066444319127E-2</v>
      </c>
      <c r="X39">
        <v>9.9059799887272301E-2</v>
      </c>
      <c r="AA39">
        <v>0.92871275594399005</v>
      </c>
      <c r="AB39">
        <v>3.2267550059602899</v>
      </c>
      <c r="AC39">
        <v>4.8555988367143703</v>
      </c>
      <c r="AD39">
        <v>2.2013288863817499E-2</v>
      </c>
      <c r="AE39">
        <v>5.8273322254615998</v>
      </c>
    </row>
    <row r="40" spans="1:31" x14ac:dyDescent="0.2">
      <c r="A40">
        <v>39</v>
      </c>
      <c r="B40">
        <v>743</v>
      </c>
      <c r="C40">
        <v>250</v>
      </c>
      <c r="D40">
        <v>0.31913644639078897</v>
      </c>
      <c r="E40">
        <v>72.277233893878403</v>
      </c>
      <c r="F40">
        <v>2.2138493982996401</v>
      </c>
      <c r="G40">
        <v>-1173.7100564635921</v>
      </c>
      <c r="H40">
        <v>-984.94245217673893</v>
      </c>
      <c r="I40">
        <v>185.76745981090701</v>
      </c>
      <c r="J40">
        <v>97.464790116690807</v>
      </c>
      <c r="K40">
        <v>32.647764545045902</v>
      </c>
      <c r="L40">
        <v>1.5221433549864982E-4</v>
      </c>
      <c r="M40">
        <v>1.7324443151294098E-5</v>
      </c>
      <c r="N40" s="1">
        <v>2.44081981639569E-6</v>
      </c>
      <c r="O40" s="1">
        <v>6.6520407962268905E-8</v>
      </c>
      <c r="P40" s="1">
        <v>-3.4361520711148201E-7</v>
      </c>
      <c r="Q40">
        <v>71.728866563407905</v>
      </c>
      <c r="R40">
        <v>9.6849306799405802E-2</v>
      </c>
      <c r="S40">
        <v>12.241230116457301</v>
      </c>
      <c r="T40">
        <v>0.288790055800909</v>
      </c>
      <c r="V40">
        <v>0.67384002341772198</v>
      </c>
      <c r="W40">
        <v>1.3835615257053201E-2</v>
      </c>
      <c r="X40">
        <v>0.12452053731356499</v>
      </c>
      <c r="AA40">
        <v>0.93798980771193896</v>
      </c>
      <c r="AB40">
        <v>3.2161911879885801</v>
      </c>
      <c r="AC40">
        <v>4.8215162872909696</v>
      </c>
      <c r="AD40">
        <v>2.7671230514098599E-2</v>
      </c>
      <c r="AE40">
        <v>5.8286992680403902</v>
      </c>
    </row>
    <row r="41" spans="1:31" x14ac:dyDescent="0.2">
      <c r="A41">
        <v>40</v>
      </c>
      <c r="B41">
        <v>742</v>
      </c>
      <c r="C41">
        <v>250</v>
      </c>
      <c r="D41">
        <v>0.318396788651924</v>
      </c>
      <c r="E41">
        <v>12.863405389415099</v>
      </c>
      <c r="F41">
        <v>2.21600862507918</v>
      </c>
      <c r="G41">
        <v>-208.93446017424631</v>
      </c>
      <c r="H41">
        <v>-175.42773363763357</v>
      </c>
      <c r="I41">
        <v>33.0066754042385</v>
      </c>
      <c r="J41">
        <v>17.3683223787583</v>
      </c>
      <c r="K41">
        <v>5.8047632323432401</v>
      </c>
      <c r="L41">
        <v>1.5179723039178056E-4</v>
      </c>
      <c r="M41">
        <v>1.7282906361856934E-5</v>
      </c>
      <c r="N41" s="1">
        <v>4.33255124913112E-7</v>
      </c>
      <c r="O41" s="1">
        <v>1.1785337453778201E-8</v>
      </c>
      <c r="P41" s="1">
        <v>-6.0838164499466706E-8</v>
      </c>
      <c r="Q41">
        <v>71.439005681822707</v>
      </c>
      <c r="R41">
        <v>0.15925604504170901</v>
      </c>
      <c r="S41">
        <v>12.370032495965701</v>
      </c>
      <c r="T41">
        <v>0.240023315711337</v>
      </c>
      <c r="V41">
        <v>0.55818096847976795</v>
      </c>
      <c r="W41">
        <v>7.7739911767260805E-2</v>
      </c>
      <c r="X41">
        <v>0.15081249293410501</v>
      </c>
      <c r="AA41">
        <v>1.0741056784313301</v>
      </c>
      <c r="AB41">
        <v>3.1067611787293701</v>
      </c>
      <c r="AC41">
        <v>4.8619133518426203</v>
      </c>
      <c r="AD41">
        <v>0.15547982353436801</v>
      </c>
      <c r="AE41">
        <v>5.80668905573968</v>
      </c>
    </row>
    <row r="42" spans="1:31" x14ac:dyDescent="0.2">
      <c r="A42">
        <v>41</v>
      </c>
      <c r="B42">
        <v>741</v>
      </c>
      <c r="C42">
        <v>250</v>
      </c>
      <c r="D42">
        <v>0.31765567223783697</v>
      </c>
      <c r="E42">
        <v>6.9368312129068501</v>
      </c>
      <c r="F42">
        <v>2.21828766221063</v>
      </c>
      <c r="G42">
        <v>-112.61352789250338</v>
      </c>
      <c r="H42">
        <v>-94.578926728951004</v>
      </c>
      <c r="I42">
        <v>17.782972108220999</v>
      </c>
      <c r="J42">
        <v>9.3796814354414604</v>
      </c>
      <c r="K42">
        <v>3.1271107580312298</v>
      </c>
      <c r="L42">
        <v>1.5196395449829924E-4</v>
      </c>
      <c r="M42">
        <v>1.72867986667551E-5</v>
      </c>
      <c r="N42" s="1">
        <v>2.3429707225895501E-7</v>
      </c>
      <c r="O42" s="1">
        <v>6.3588792361912698E-9</v>
      </c>
      <c r="P42" s="1">
        <v>-3.2838147299333003E-8</v>
      </c>
      <c r="Q42">
        <v>71.067490087544201</v>
      </c>
      <c r="R42">
        <v>0.15708243425775101</v>
      </c>
      <c r="S42">
        <v>12.4902034632971</v>
      </c>
      <c r="T42">
        <v>0.238627505546436</v>
      </c>
      <c r="V42">
        <v>0.55435993929411598</v>
      </c>
      <c r="W42">
        <v>0.14226297143248801</v>
      </c>
      <c r="X42">
        <v>0.15055696551268299</v>
      </c>
      <c r="AA42">
        <v>1.2090611281472501</v>
      </c>
      <c r="AB42">
        <v>3.02699989484982</v>
      </c>
      <c r="AC42">
        <v>4.8586901315239501</v>
      </c>
      <c r="AD42">
        <v>0.28831608246080898</v>
      </c>
      <c r="AE42">
        <v>5.8163493961333197</v>
      </c>
    </row>
    <row r="43" spans="1:31" x14ac:dyDescent="0.2">
      <c r="A43">
        <v>42</v>
      </c>
      <c r="B43">
        <v>759</v>
      </c>
      <c r="C43">
        <v>225</v>
      </c>
      <c r="D43">
        <v>0.35741946422516302</v>
      </c>
      <c r="E43">
        <v>106.24392604753599</v>
      </c>
      <c r="F43">
        <v>2.20302001677757</v>
      </c>
      <c r="G43">
        <v>-1733.0998019643978</v>
      </c>
      <c r="H43">
        <v>-1451.4516090363443</v>
      </c>
      <c r="I43">
        <v>272.875253527155</v>
      </c>
      <c r="J43">
        <v>142.81645960369099</v>
      </c>
      <c r="K43">
        <v>48.226491470078599</v>
      </c>
      <c r="L43">
        <v>1.474914034634331E-4</v>
      </c>
      <c r="M43">
        <v>1.740595851858112E-5</v>
      </c>
      <c r="N43" s="1">
        <v>3.3406228090533202E-6</v>
      </c>
      <c r="O43" s="1">
        <v>9.5519631128856802E-8</v>
      </c>
      <c r="P43" s="1">
        <v>-4.8634836825508198E-7</v>
      </c>
      <c r="Q43">
        <v>72.860635783908805</v>
      </c>
      <c r="R43">
        <v>6.5886119427364206E-2</v>
      </c>
      <c r="S43">
        <v>12.0100983413314</v>
      </c>
      <c r="T43">
        <v>0.19370577908704301</v>
      </c>
      <c r="V43">
        <v>0.46089065979279098</v>
      </c>
      <c r="W43">
        <v>9.4123027753376699E-3</v>
      </c>
      <c r="X43">
        <v>8.4710724978040594E-2</v>
      </c>
      <c r="AA43">
        <v>0.91299336920775798</v>
      </c>
      <c r="AB43">
        <v>3.1719460352888</v>
      </c>
      <c r="AC43">
        <v>4.7249759932194904</v>
      </c>
      <c r="AD43">
        <v>1.8824605550675E-2</v>
      </c>
      <c r="AE43">
        <v>5.4859202854324201</v>
      </c>
    </row>
    <row r="44" spans="1:31" x14ac:dyDescent="0.2">
      <c r="A44">
        <v>43</v>
      </c>
      <c r="B44">
        <v>758</v>
      </c>
      <c r="C44">
        <v>225</v>
      </c>
      <c r="D44">
        <v>0.356728410027642</v>
      </c>
      <c r="E44">
        <v>106.170819124264</v>
      </c>
      <c r="F44">
        <v>2.2034218617713002</v>
      </c>
      <c r="G44">
        <v>-1731.6081512768037</v>
      </c>
      <c r="H44">
        <v>-1450.5678238922617</v>
      </c>
      <c r="I44">
        <v>272.55038295547803</v>
      </c>
      <c r="J44">
        <v>142.71037108013201</v>
      </c>
      <c r="K44">
        <v>48.184517439123297</v>
      </c>
      <c r="L44">
        <v>1.474539495825592E-4</v>
      </c>
      <c r="M44">
        <v>1.7396923629952178E-5</v>
      </c>
      <c r="N44" s="1">
        <v>3.3418373484867698E-6</v>
      </c>
      <c r="O44" s="1">
        <v>9.5370758321874594E-8</v>
      </c>
      <c r="P44" s="1">
        <v>-4.8594274356529297E-7</v>
      </c>
      <c r="Q44">
        <v>72.8462639970693</v>
      </c>
      <c r="R44">
        <v>6.5931487180173998E-2</v>
      </c>
      <c r="S44">
        <v>12.018368234558301</v>
      </c>
      <c r="T44">
        <v>0.19416619418943401</v>
      </c>
      <c r="V44">
        <v>0.46091375075639401</v>
      </c>
      <c r="W44">
        <v>9.4187838828818701E-3</v>
      </c>
      <c r="X44">
        <v>8.4769054945939906E-2</v>
      </c>
      <c r="AA44">
        <v>0.913622036639549</v>
      </c>
      <c r="AB44">
        <v>3.1741301685312</v>
      </c>
      <c r="AC44">
        <v>4.7282295092066597</v>
      </c>
      <c r="AD44">
        <v>1.8837567765763199E-2</v>
      </c>
      <c r="AE44">
        <v>5.4853492152743204</v>
      </c>
    </row>
    <row r="45" spans="1:31" x14ac:dyDescent="0.2">
      <c r="A45">
        <v>44</v>
      </c>
      <c r="B45">
        <v>757</v>
      </c>
      <c r="C45">
        <v>225</v>
      </c>
      <c r="D45">
        <v>0.35603601417269398</v>
      </c>
      <c r="E45">
        <v>105.95868866187701</v>
      </c>
      <c r="F45">
        <v>2.20390648471234</v>
      </c>
      <c r="G45">
        <v>-1727.8119492964925</v>
      </c>
      <c r="H45">
        <v>-1447.7278140340236</v>
      </c>
      <c r="I45">
        <v>271.886749757286</v>
      </c>
      <c r="J45">
        <v>142.431546120457</v>
      </c>
      <c r="K45">
        <v>48.077669990479201</v>
      </c>
      <c r="L45">
        <v>1.4747528727492639E-4</v>
      </c>
      <c r="M45">
        <v>1.7388121599841399E-5</v>
      </c>
      <c r="N45" s="1">
        <v>3.3393119391294802E-6</v>
      </c>
      <c r="O45" s="1">
        <v>9.5114562899143302E-8</v>
      </c>
      <c r="P45" s="1">
        <v>-4.8519018517293501E-7</v>
      </c>
      <c r="Q45">
        <v>72.802355935840694</v>
      </c>
      <c r="R45">
        <v>6.6063482744087396E-2</v>
      </c>
      <c r="S45">
        <v>12.0424291402094</v>
      </c>
      <c r="T45">
        <v>0.19492617837052001</v>
      </c>
      <c r="V45">
        <v>0.46150244014031999</v>
      </c>
      <c r="W45">
        <v>9.4376403920122393E-3</v>
      </c>
      <c r="X45">
        <v>8.4938763528115593E-2</v>
      </c>
      <c r="AA45">
        <v>0.91545111802520196</v>
      </c>
      <c r="AB45">
        <v>3.1804848121081499</v>
      </c>
      <c r="AC45">
        <v>4.7376954767900896</v>
      </c>
      <c r="AD45">
        <v>1.88752807840234E-2</v>
      </c>
      <c r="AE45">
        <v>5.4858397310671903</v>
      </c>
    </row>
    <row r="46" spans="1:31" x14ac:dyDescent="0.2">
      <c r="A46">
        <v>45</v>
      </c>
      <c r="B46">
        <v>756</v>
      </c>
      <c r="C46">
        <v>225</v>
      </c>
      <c r="D46">
        <v>0.35534227274935698</v>
      </c>
      <c r="E46">
        <v>105.74756822206299</v>
      </c>
      <c r="F46">
        <v>2.2043912665920802</v>
      </c>
      <c r="G46">
        <v>-1724.0336852191595</v>
      </c>
      <c r="H46">
        <v>-1444.9014487834361</v>
      </c>
      <c r="I46">
        <v>271.22599857719803</v>
      </c>
      <c r="J46">
        <v>142.154033455936</v>
      </c>
      <c r="K46">
        <v>47.9713242493224</v>
      </c>
      <c r="L46">
        <v>1.4749651496834685E-4</v>
      </c>
      <c r="M46">
        <v>1.7379307961253454E-5</v>
      </c>
      <c r="N46" s="1">
        <v>3.3368028288135701E-6</v>
      </c>
      <c r="O46" s="1">
        <v>9.4859532458605105E-8</v>
      </c>
      <c r="P46" s="1">
        <v>-4.8444120229066003E-7</v>
      </c>
      <c r="Q46">
        <v>72.758480728974604</v>
      </c>
      <c r="R46">
        <v>6.6195375626043301E-2</v>
      </c>
      <c r="S46">
        <v>12.0664713284069</v>
      </c>
      <c r="T46">
        <v>0.19568879334715</v>
      </c>
      <c r="V46">
        <v>0.46208777237799198</v>
      </c>
      <c r="W46">
        <v>9.4564822322915007E-3</v>
      </c>
      <c r="X46">
        <v>8.5108340090632395E-2</v>
      </c>
      <c r="AA46">
        <v>0.91727877653230006</v>
      </c>
      <c r="AB46">
        <v>3.1868345122822701</v>
      </c>
      <c r="AC46">
        <v>4.7471540806102404</v>
      </c>
      <c r="AD46">
        <v>1.8912964464581399E-2</v>
      </c>
      <c r="AE46">
        <v>5.4863308450548001</v>
      </c>
    </row>
    <row r="47" spans="1:31" x14ac:dyDescent="0.2">
      <c r="A47">
        <v>46</v>
      </c>
      <c r="B47">
        <v>755</v>
      </c>
      <c r="C47">
        <v>225</v>
      </c>
      <c r="D47">
        <v>0.354647181831445</v>
      </c>
      <c r="E47">
        <v>105.537450021911</v>
      </c>
      <c r="F47">
        <v>2.2048762095153598</v>
      </c>
      <c r="G47">
        <v>-1720.2732215559772</v>
      </c>
      <c r="H47">
        <v>-1442.0886227727276</v>
      </c>
      <c r="I47">
        <v>270.56810658294</v>
      </c>
      <c r="J47">
        <v>141.87782292080499</v>
      </c>
      <c r="K47">
        <v>47.865476332165002</v>
      </c>
      <c r="L47">
        <v>1.475176316575529E-4</v>
      </c>
      <c r="M47">
        <v>1.7370482621435212E-5</v>
      </c>
      <c r="N47" s="1">
        <v>3.3343098495596199E-6</v>
      </c>
      <c r="O47" s="1">
        <v>9.4605657199238104E-8</v>
      </c>
      <c r="P47" s="1">
        <v>-4.8369576125929002E-7</v>
      </c>
      <c r="Q47">
        <v>72.714638273505003</v>
      </c>
      <c r="R47">
        <v>6.6327166314392005E-2</v>
      </c>
      <c r="S47">
        <v>12.0904948881693</v>
      </c>
      <c r="T47">
        <v>0.19645405433172899</v>
      </c>
      <c r="V47">
        <v>0.46266973848926601</v>
      </c>
      <c r="W47">
        <v>9.4753094734840795E-3</v>
      </c>
      <c r="X47">
        <v>8.5277785261367506E-2</v>
      </c>
      <c r="AA47">
        <v>0.91910501892798702</v>
      </c>
      <c r="AB47">
        <v>3.1931792925641802</v>
      </c>
      <c r="AC47">
        <v>4.7566053556889001</v>
      </c>
      <c r="AD47">
        <v>1.8950618946966199E-2</v>
      </c>
      <c r="AE47">
        <v>5.4868224983272302</v>
      </c>
    </row>
    <row r="48" spans="1:31" x14ac:dyDescent="0.2">
      <c r="A48">
        <v>47</v>
      </c>
      <c r="B48">
        <v>754</v>
      </c>
      <c r="C48">
        <v>225</v>
      </c>
      <c r="D48">
        <v>0.35395073747748601</v>
      </c>
      <c r="E48">
        <v>105.32832636134199</v>
      </c>
      <c r="F48">
        <v>2.2053613155884402</v>
      </c>
      <c r="G48">
        <v>-1716.5304222765058</v>
      </c>
      <c r="H48">
        <v>-1439.2892317576079</v>
      </c>
      <c r="I48">
        <v>269.91305117937702</v>
      </c>
      <c r="J48">
        <v>141.60290445680499</v>
      </c>
      <c r="K48">
        <v>47.760122396650502</v>
      </c>
      <c r="L48">
        <v>1.4753863633000253E-4</v>
      </c>
      <c r="M48">
        <v>1.7361645487374311E-5</v>
      </c>
      <c r="N48" s="1">
        <v>3.3318328347195002E-6</v>
      </c>
      <c r="O48" s="1">
        <v>9.4352927417847703E-8</v>
      </c>
      <c r="P48" s="1">
        <v>-4.8295382872292799E-7</v>
      </c>
      <c r="Q48">
        <v>72.670828468016595</v>
      </c>
      <c r="R48">
        <v>6.6458855293929101E-2</v>
      </c>
      <c r="S48">
        <v>12.114499907868799</v>
      </c>
      <c r="T48">
        <v>0.197221976606338</v>
      </c>
      <c r="V48">
        <v>0.46324832939681598</v>
      </c>
      <c r="W48">
        <v>9.4941221848463403E-3</v>
      </c>
      <c r="X48">
        <v>8.5447099663631496E-2</v>
      </c>
      <c r="AA48">
        <v>0.92092985193013799</v>
      </c>
      <c r="AB48">
        <v>3.1995191762932902</v>
      </c>
      <c r="AC48">
        <v>4.7660493367927304</v>
      </c>
      <c r="AD48">
        <v>1.89882443696902E-2</v>
      </c>
      <c r="AE48">
        <v>5.4873146315831001</v>
      </c>
    </row>
    <row r="49" spans="1:31" x14ac:dyDescent="0.2">
      <c r="A49">
        <v>48</v>
      </c>
      <c r="B49">
        <v>753</v>
      </c>
      <c r="C49">
        <v>225</v>
      </c>
      <c r="D49">
        <v>0.35325293573064698</v>
      </c>
      <c r="E49">
        <v>105.120189618795</v>
      </c>
      <c r="F49">
        <v>2.2058465869276702</v>
      </c>
      <c r="G49">
        <v>-1712.8051527347925</v>
      </c>
      <c r="H49">
        <v>-1436.5031725574574</v>
      </c>
      <c r="I49">
        <v>269.26080999594097</v>
      </c>
      <c r="J49">
        <v>141.329268107437</v>
      </c>
      <c r="K49">
        <v>47.655258639363304</v>
      </c>
      <c r="L49">
        <v>1.4755952796309554E-4</v>
      </c>
      <c r="M49">
        <v>1.7352796465474698E-5</v>
      </c>
      <c r="N49" s="1">
        <v>3.32937161873226E-6</v>
      </c>
      <c r="O49" s="1">
        <v>9.4101333501698402E-8</v>
      </c>
      <c r="P49" s="1">
        <v>-4.8221537159319303E-7</v>
      </c>
      <c r="Q49">
        <v>72.627051212173001</v>
      </c>
      <c r="R49">
        <v>6.6590443047950906E-2</v>
      </c>
      <c r="S49">
        <v>12.1384864756024</v>
      </c>
      <c r="T49">
        <v>0.19799257553039201</v>
      </c>
      <c r="V49">
        <v>0.46382353593951797</v>
      </c>
      <c r="W49">
        <v>9.5129204354208099E-3</v>
      </c>
      <c r="X49">
        <v>8.5616283918803396E-2</v>
      </c>
      <c r="AA49">
        <v>0.92275328223586695</v>
      </c>
      <c r="AB49">
        <v>3.2058541867368899</v>
      </c>
      <c r="AC49">
        <v>4.7754860585811096</v>
      </c>
      <c r="AD49">
        <v>1.90258408708389E-2</v>
      </c>
      <c r="AE49">
        <v>5.4878071849277701</v>
      </c>
    </row>
    <row r="50" spans="1:31" x14ac:dyDescent="0.2">
      <c r="A50">
        <v>49</v>
      </c>
      <c r="B50">
        <v>752</v>
      </c>
      <c r="C50">
        <v>225</v>
      </c>
      <c r="D50">
        <v>0.35255377261864101</v>
      </c>
      <c r="E50">
        <v>104.913032254226</v>
      </c>
      <c r="F50">
        <v>2.20633202565344</v>
      </c>
      <c r="G50">
        <v>-1709.0972797186951</v>
      </c>
      <c r="H50">
        <v>-1433.7303430978859</v>
      </c>
      <c r="I50">
        <v>268.61136089431602</v>
      </c>
      <c r="J50">
        <v>141.056904021799</v>
      </c>
      <c r="K50">
        <v>47.550881297276398</v>
      </c>
      <c r="L50">
        <v>1.4758030552466719E-4</v>
      </c>
      <c r="M50">
        <v>1.7343935461729045E-5</v>
      </c>
      <c r="N50" s="1">
        <v>3.3269260372865502E-6</v>
      </c>
      <c r="O50" s="1">
        <v>9.38508659323528E-8</v>
      </c>
      <c r="P50" s="1">
        <v>-4.8148035706805197E-7</v>
      </c>
      <c r="Q50">
        <v>72.583306407459801</v>
      </c>
      <c r="R50">
        <v>6.6721930055722106E-2</v>
      </c>
      <c r="S50">
        <v>12.162454678733599</v>
      </c>
      <c r="T50">
        <v>0.19876586653192299</v>
      </c>
      <c r="V50">
        <v>0.46439534885545403</v>
      </c>
      <c r="W50">
        <v>9.5317042936737695E-3</v>
      </c>
      <c r="X50">
        <v>8.5785338643081396E-2</v>
      </c>
      <c r="AA50">
        <v>0.924575316486409</v>
      </c>
      <c r="AB50">
        <v>3.2121843469681499</v>
      </c>
      <c r="AC50">
        <v>4.7849155554240799</v>
      </c>
      <c r="AD50">
        <v>1.90634085873446E-2</v>
      </c>
      <c r="AE50">
        <v>5.4883000979606402</v>
      </c>
    </row>
    <row r="51" spans="1:31" x14ac:dyDescent="0.2">
      <c r="A51">
        <v>50</v>
      </c>
      <c r="B51">
        <v>751</v>
      </c>
      <c r="C51">
        <v>225</v>
      </c>
      <c r="D51">
        <v>0.35185324415369101</v>
      </c>
      <c r="E51">
        <v>104.706846804593</v>
      </c>
      <c r="F51">
        <v>2.2068176338944698</v>
      </c>
      <c r="G51">
        <v>-1705.406671373571</v>
      </c>
      <c r="H51">
        <v>-1430.9706423478492</v>
      </c>
      <c r="I51">
        <v>267.96468195647299</v>
      </c>
      <c r="J51">
        <v>140.78580244881101</v>
      </c>
      <c r="K51">
        <v>47.4469866455672</v>
      </c>
      <c r="L51">
        <v>1.4760096797307592E-4</v>
      </c>
      <c r="M51">
        <v>1.7335062381614671E-5</v>
      </c>
      <c r="N51" s="1">
        <v>3.32449592716159E-6</v>
      </c>
      <c r="O51" s="1">
        <v>9.3601515280578798E-8</v>
      </c>
      <c r="P51" s="1">
        <v>-4.8074875261137201E-7</v>
      </c>
      <c r="Q51">
        <v>72.539593956509705</v>
      </c>
      <c r="R51">
        <v>6.6853316794686798E-2</v>
      </c>
      <c r="S51">
        <v>12.1864046042938</v>
      </c>
      <c r="T51">
        <v>0.19954186511562</v>
      </c>
      <c r="V51">
        <v>0.46496375879622798</v>
      </c>
      <c r="W51">
        <v>9.5504738278115297E-3</v>
      </c>
      <c r="X51">
        <v>8.5954264450322504E-2</v>
      </c>
      <c r="AA51">
        <v>0.92639596129777402</v>
      </c>
      <c r="AB51">
        <v>3.2185096799725801</v>
      </c>
      <c r="AC51">
        <v>4.7943378615612202</v>
      </c>
      <c r="AD51">
        <v>1.9100947655619802E-2</v>
      </c>
      <c r="AE51">
        <v>5.4887933097244499</v>
      </c>
    </row>
    <row r="52" spans="1:31" x14ac:dyDescent="0.2">
      <c r="A52">
        <v>51</v>
      </c>
      <c r="B52">
        <v>750</v>
      </c>
      <c r="C52">
        <v>225</v>
      </c>
      <c r="D52">
        <v>0.35115134633240402</v>
      </c>
      <c r="E52">
        <v>103.85471472301801</v>
      </c>
      <c r="F52">
        <v>2.2074888424271002</v>
      </c>
      <c r="G52">
        <v>-1690.9811031698964</v>
      </c>
      <c r="H52">
        <v>-1419.2391918000426</v>
      </c>
      <c r="I52">
        <v>265.59342361320802</v>
      </c>
      <c r="J52">
        <v>139.62196862544599</v>
      </c>
      <c r="K52">
        <v>47.046541177001401</v>
      </c>
      <c r="L52">
        <v>1.4749053403226065E-4</v>
      </c>
      <c r="M52">
        <v>1.7313595159354076E-5</v>
      </c>
      <c r="N52" s="1">
        <v>3.29684796501532E-6</v>
      </c>
      <c r="O52" s="1">
        <v>9.2655614605566097E-8</v>
      </c>
      <c r="P52" s="1">
        <v>-4.7649021358636198E-7</v>
      </c>
      <c r="Q52">
        <v>72.503626873054998</v>
      </c>
      <c r="R52">
        <v>6.7401850928668502E-2</v>
      </c>
      <c r="S52">
        <v>12.2013314687473</v>
      </c>
      <c r="T52">
        <v>0.20158245286235801</v>
      </c>
      <c r="V52">
        <v>0.468415876333514</v>
      </c>
      <c r="W52">
        <v>9.6288358469516794E-3</v>
      </c>
      <c r="X52">
        <v>8.6659522622585999E-2</v>
      </c>
      <c r="AA52">
        <v>0.91943982902967503</v>
      </c>
      <c r="AB52">
        <v>3.2128473019663599</v>
      </c>
      <c r="AC52">
        <v>4.8282828611090203</v>
      </c>
      <c r="AD52">
        <v>1.9257671693899699E-2</v>
      </c>
      <c r="AE52">
        <v>5.4815254558045199</v>
      </c>
    </row>
    <row r="53" spans="1:31" x14ac:dyDescent="0.2">
      <c r="A53">
        <v>52</v>
      </c>
      <c r="B53">
        <v>749</v>
      </c>
      <c r="C53">
        <v>225</v>
      </c>
      <c r="D53">
        <v>0.350448075135744</v>
      </c>
      <c r="E53">
        <v>102.22339228176899</v>
      </c>
      <c r="F53">
        <v>2.20840069579604</v>
      </c>
      <c r="G53">
        <v>-1663.6176307538358</v>
      </c>
      <c r="H53">
        <v>-1396.6887530876932</v>
      </c>
      <c r="I53">
        <v>261.14452640624398</v>
      </c>
      <c r="J53">
        <v>137.38207088988099</v>
      </c>
      <c r="K53">
        <v>46.288426043499904</v>
      </c>
      <c r="L53">
        <v>1.4721701472839E-4</v>
      </c>
      <c r="M53">
        <v>1.7276517591516771E-5</v>
      </c>
      <c r="N53" s="1">
        <v>3.23874612254421E-6</v>
      </c>
      <c r="O53" s="1">
        <v>9.0872486334140003E-8</v>
      </c>
      <c r="P53" s="1">
        <v>-4.6797282800824202E-7</v>
      </c>
      <c r="Q53">
        <v>72.476654160619901</v>
      </c>
      <c r="R53">
        <v>6.8477477060294195E-2</v>
      </c>
      <c r="S53">
        <v>12.2055499916006</v>
      </c>
      <c r="T53">
        <v>0.20522565424080699</v>
      </c>
      <c r="V53">
        <v>0.47550748782947</v>
      </c>
      <c r="W53">
        <v>9.78249672289817E-3</v>
      </c>
      <c r="X53">
        <v>8.8042470506106404E-2</v>
      </c>
      <c r="AA53">
        <v>0.90260672237940598</v>
      </c>
      <c r="AB53">
        <v>3.1917818018000701</v>
      </c>
      <c r="AC53">
        <v>4.8922052306507799</v>
      </c>
      <c r="AD53">
        <v>1.95649934457921E-2</v>
      </c>
      <c r="AE53">
        <v>5.4646015131438102</v>
      </c>
    </row>
    <row r="54" spans="1:31" x14ac:dyDescent="0.2">
      <c r="A54">
        <v>53</v>
      </c>
      <c r="B54">
        <v>748</v>
      </c>
      <c r="C54">
        <v>225</v>
      </c>
      <c r="D54">
        <v>0.34974342652891699</v>
      </c>
      <c r="E54">
        <v>90.871355261936799</v>
      </c>
      <c r="F54">
        <v>2.2102867597335001</v>
      </c>
      <c r="G54">
        <v>-1477.5878234190577</v>
      </c>
      <c r="H54">
        <v>-1240.7531418444353</v>
      </c>
      <c r="I54">
        <v>231.92937528729601</v>
      </c>
      <c r="J54">
        <v>122.10791720780099</v>
      </c>
      <c r="K54">
        <v>41.112925669831803</v>
      </c>
      <c r="L54">
        <v>1.4712094211599832E-4</v>
      </c>
      <c r="M54">
        <v>1.7249657821962362E-5</v>
      </c>
      <c r="N54" s="1">
        <v>2.8759385936486798E-6</v>
      </c>
      <c r="O54" s="1">
        <v>8.0551584454241699E-8</v>
      </c>
      <c r="P54" s="1">
        <v>-4.1530654313285599E-7</v>
      </c>
      <c r="Q54">
        <v>72.386842552554995</v>
      </c>
      <c r="R54">
        <v>7.7031975365870198E-2</v>
      </c>
      <c r="S54">
        <v>12.196316267707401</v>
      </c>
      <c r="T54">
        <v>0.231026315546455</v>
      </c>
      <c r="V54">
        <v>0.53476324270452602</v>
      </c>
      <c r="W54">
        <v>1.1004567909406999E-2</v>
      </c>
      <c r="X54">
        <v>9.9041111184729899E-2</v>
      </c>
      <c r="AA54">
        <v>0.90144059875720695</v>
      </c>
      <c r="AB54">
        <v>3.1670685764326101</v>
      </c>
      <c r="AC54">
        <v>4.9210494826668896</v>
      </c>
      <c r="AD54">
        <v>2.2009135818804499E-2</v>
      </c>
      <c r="AE54">
        <v>5.4524061733509903</v>
      </c>
    </row>
    <row r="55" spans="1:31" x14ac:dyDescent="0.2">
      <c r="A55">
        <v>54</v>
      </c>
      <c r="B55">
        <v>747</v>
      </c>
      <c r="C55">
        <v>225</v>
      </c>
      <c r="D55">
        <v>0.34903739646130499</v>
      </c>
      <c r="E55">
        <v>72.753715857424993</v>
      </c>
      <c r="F55">
        <v>2.21345542616266</v>
      </c>
      <c r="G55">
        <v>-1181.336817394631</v>
      </c>
      <c r="H55">
        <v>-992.0283410996168</v>
      </c>
      <c r="I55">
        <v>185.569255790829</v>
      </c>
      <c r="J55">
        <v>97.778085218209995</v>
      </c>
      <c r="K55">
        <v>32.868841629918798</v>
      </c>
      <c r="L55">
        <v>1.4732301384942908E-4</v>
      </c>
      <c r="M55">
        <v>1.7240991233065532E-5</v>
      </c>
      <c r="N55" s="1">
        <v>2.3038964971258699E-6</v>
      </c>
      <c r="O55" s="1">
        <v>6.4405074492715602E-8</v>
      </c>
      <c r="P55" s="1">
        <v>-3.32363846674847E-7</v>
      </c>
      <c r="Q55">
        <v>72.208036306298098</v>
      </c>
      <c r="R55">
        <v>9.6215016889569502E-2</v>
      </c>
      <c r="S55">
        <v>12.1668948340896</v>
      </c>
      <c r="T55">
        <v>0.28821695684806498</v>
      </c>
      <c r="V55">
        <v>0.66824069636948202</v>
      </c>
      <c r="W55">
        <v>1.3745002412789999E-2</v>
      </c>
      <c r="X55">
        <v>0.123705021715232</v>
      </c>
      <c r="AA55">
        <v>0.91743225510589199</v>
      </c>
      <c r="AB55">
        <v>3.1451878003374198</v>
      </c>
      <c r="AC55">
        <v>4.8954489363838398</v>
      </c>
      <c r="AD55">
        <v>2.7490004825564601E-2</v>
      </c>
      <c r="AE55">
        <v>5.4493871687242796</v>
      </c>
    </row>
    <row r="56" spans="1:31" x14ac:dyDescent="0.2">
      <c r="A56">
        <v>55</v>
      </c>
      <c r="B56">
        <v>746</v>
      </c>
      <c r="C56">
        <v>225</v>
      </c>
      <c r="D56">
        <v>0.34832998086640898</v>
      </c>
      <c r="E56">
        <v>14.3071548492942</v>
      </c>
      <c r="F56">
        <v>2.2160368769211001</v>
      </c>
      <c r="G56">
        <v>-232.34802194969595</v>
      </c>
      <c r="H56">
        <v>-195.23566707930456</v>
      </c>
      <c r="I56">
        <v>36.415007477202899</v>
      </c>
      <c r="J56">
        <v>19.2484053681424</v>
      </c>
      <c r="K56">
        <v>6.4561898758526901</v>
      </c>
      <c r="L56">
        <v>1.4666684701788988E-4</v>
      </c>
      <c r="M56">
        <v>1.7177844451259307E-5</v>
      </c>
      <c r="N56" s="1">
        <v>4.5067524364616502E-7</v>
      </c>
      <c r="O56" s="1">
        <v>1.25776510972385E-8</v>
      </c>
      <c r="P56" s="1">
        <v>-6.4841738420715106E-8</v>
      </c>
      <c r="Q56">
        <v>71.948857503141895</v>
      </c>
      <c r="R56">
        <v>0.15961930814466699</v>
      </c>
      <c r="S56">
        <v>12.2876309263293</v>
      </c>
      <c r="T56">
        <v>0.239608212032316</v>
      </c>
      <c r="V56">
        <v>0.55388485363403905</v>
      </c>
      <c r="W56">
        <v>6.9895098678463802E-2</v>
      </c>
      <c r="X56">
        <v>0.15844654011747999</v>
      </c>
      <c r="AA56">
        <v>1.0631935049779699</v>
      </c>
      <c r="AB56">
        <v>3.0033069920259798</v>
      </c>
      <c r="AC56">
        <v>4.9613068288631403</v>
      </c>
      <c r="AD56">
        <v>0.13979019735676701</v>
      </c>
      <c r="AE56">
        <v>5.4144600346979201</v>
      </c>
    </row>
    <row r="57" spans="1:31" x14ac:dyDescent="0.2">
      <c r="A57">
        <v>56</v>
      </c>
      <c r="B57">
        <v>745</v>
      </c>
      <c r="C57">
        <v>225</v>
      </c>
      <c r="D57">
        <v>0.347621175661739</v>
      </c>
      <c r="E57">
        <v>7.8224024162930004</v>
      </c>
      <c r="F57">
        <v>2.21843489847529</v>
      </c>
      <c r="G57">
        <v>-126.98047639028314</v>
      </c>
      <c r="H57">
        <v>-106.73313581842932</v>
      </c>
      <c r="I57">
        <v>19.886402368858999</v>
      </c>
      <c r="J57">
        <v>10.536504085451</v>
      </c>
      <c r="K57">
        <v>3.5260905883103599</v>
      </c>
      <c r="L57">
        <v>1.4664211498626993E-4</v>
      </c>
      <c r="M57">
        <v>1.7165984313320253E-5</v>
      </c>
      <c r="N57" s="1">
        <v>2.4657876354691201E-7</v>
      </c>
      <c r="O57" s="1">
        <v>6.8673434775169703E-9</v>
      </c>
      <c r="P57" s="1">
        <v>-3.5403616041495E-8</v>
      </c>
      <c r="Q57">
        <v>71.621813475463</v>
      </c>
      <c r="R57">
        <v>0.17943220011553301</v>
      </c>
      <c r="S57">
        <v>12.400009037347299</v>
      </c>
      <c r="T57">
        <v>0.23172850369828299</v>
      </c>
      <c r="V57">
        <v>0.53501473097531105</v>
      </c>
      <c r="W57">
        <v>0.127837964193277</v>
      </c>
      <c r="X57">
        <v>0.16258806150336899</v>
      </c>
      <c r="AA57">
        <v>1.1835178364830099</v>
      </c>
      <c r="AB57">
        <v>2.91916252980216</v>
      </c>
      <c r="AC57">
        <v>4.9711216804883298</v>
      </c>
      <c r="AD57">
        <v>0.25567592838625602</v>
      </c>
      <c r="AE57">
        <v>5.4120980515440502</v>
      </c>
    </row>
    <row r="58" spans="1:31" x14ac:dyDescent="0.2">
      <c r="A58">
        <v>57</v>
      </c>
      <c r="B58">
        <v>760</v>
      </c>
      <c r="C58">
        <v>200</v>
      </c>
      <c r="D58">
        <v>0.38472680636887402</v>
      </c>
      <c r="E58">
        <v>105.857640697335</v>
      </c>
      <c r="F58">
        <v>2.20408541534032</v>
      </c>
      <c r="G58">
        <v>-1726.1470757655411</v>
      </c>
      <c r="H58">
        <v>-1447.4673852417884</v>
      </c>
      <c r="I58">
        <v>269.73787980811301</v>
      </c>
      <c r="J58">
        <v>141.937781689389</v>
      </c>
      <c r="K58">
        <v>48.027921223275499</v>
      </c>
      <c r="L58">
        <v>1.4299649649201146E-4</v>
      </c>
      <c r="M58">
        <v>1.7296579976358926E-5</v>
      </c>
      <c r="N58" s="1">
        <v>3.1393525849538899E-6</v>
      </c>
      <c r="O58" s="1">
        <v>9.1456764732795705E-8</v>
      </c>
      <c r="P58" s="1">
        <v>-4.6601707097432802E-7</v>
      </c>
      <c r="Q58">
        <v>73.126511690681795</v>
      </c>
      <c r="R58">
        <v>6.6126544611117305E-2</v>
      </c>
      <c r="S58">
        <v>12.053924417684</v>
      </c>
      <c r="T58">
        <v>0.19647043949579801</v>
      </c>
      <c r="V58">
        <v>0.46072085841778598</v>
      </c>
      <c r="W58">
        <v>9.4466492301595595E-3</v>
      </c>
      <c r="X58">
        <v>8.5019843071437395E-2</v>
      </c>
      <c r="AA58">
        <v>0.91632497532548096</v>
      </c>
      <c r="AB58">
        <v>3.1835207905637799</v>
      </c>
      <c r="AC58">
        <v>4.7422179135400802</v>
      </c>
      <c r="AD58">
        <v>1.88932984603189E-2</v>
      </c>
      <c r="AE58">
        <v>5.1408225789181099</v>
      </c>
    </row>
    <row r="59" spans="1:31" x14ac:dyDescent="0.2">
      <c r="A59">
        <v>58</v>
      </c>
      <c r="B59">
        <v>759</v>
      </c>
      <c r="C59">
        <v>200</v>
      </c>
      <c r="D59">
        <v>0.38406287845759102</v>
      </c>
      <c r="E59">
        <v>105.835607081277</v>
      </c>
      <c r="F59">
        <v>2.2044439392614898</v>
      </c>
      <c r="G59">
        <v>-1725.506432328094</v>
      </c>
      <c r="H59">
        <v>-1447.3006928684306</v>
      </c>
      <c r="I59">
        <v>269.540027573185</v>
      </c>
      <c r="J59">
        <v>141.89563153005</v>
      </c>
      <c r="K59">
        <v>48.010115020994199</v>
      </c>
      <c r="L59">
        <v>1.4294255764555515E-4</v>
      </c>
      <c r="M59">
        <v>1.7287897678379847E-5</v>
      </c>
      <c r="N59" s="1">
        <v>3.14181044077251E-6</v>
      </c>
      <c r="O59" s="1">
        <v>9.1355257978577897E-8</v>
      </c>
      <c r="P59" s="1">
        <v>-4.6576318053484302E-7</v>
      </c>
      <c r="Q59">
        <v>73.122766372144099</v>
      </c>
      <c r="R59">
        <v>6.6140311309636005E-2</v>
      </c>
      <c r="S59">
        <v>12.056433890157299</v>
      </c>
      <c r="T59">
        <v>0.196826416226943</v>
      </c>
      <c r="V59">
        <v>0.46053326744230599</v>
      </c>
      <c r="W59">
        <v>9.4486159013764393E-3</v>
      </c>
      <c r="X59">
        <v>8.5037543112390798E-2</v>
      </c>
      <c r="AA59">
        <v>0.91651574243352296</v>
      </c>
      <c r="AB59">
        <v>3.1841835587638698</v>
      </c>
      <c r="AC59">
        <v>4.7432051824909403</v>
      </c>
      <c r="AD59">
        <v>1.88972318027524E-2</v>
      </c>
      <c r="AE59">
        <v>5.1400118682147804</v>
      </c>
    </row>
    <row r="60" spans="1:31" x14ac:dyDescent="0.2">
      <c r="A60">
        <v>59</v>
      </c>
      <c r="B60">
        <v>758</v>
      </c>
      <c r="C60">
        <v>200</v>
      </c>
      <c r="D60">
        <v>0.383397662803666</v>
      </c>
      <c r="E60">
        <v>105.631038434651</v>
      </c>
      <c r="F60">
        <v>2.2049181307499901</v>
      </c>
      <c r="G60">
        <v>-1721.8392783849213</v>
      </c>
      <c r="H60">
        <v>-1444.5631901354798</v>
      </c>
      <c r="I60">
        <v>268.89985768262699</v>
      </c>
      <c r="J60">
        <v>141.62707183790101</v>
      </c>
      <c r="K60">
        <v>47.907011585378797</v>
      </c>
      <c r="L60">
        <v>1.4296420966416592E-4</v>
      </c>
      <c r="M60">
        <v>1.7279336993759434E-5</v>
      </c>
      <c r="N60" s="1">
        <v>3.13957394768419E-6</v>
      </c>
      <c r="O60" s="1">
        <v>9.11163514480381E-8</v>
      </c>
      <c r="P60" s="1">
        <v>-4.6506951865323898E-7</v>
      </c>
      <c r="Q60">
        <v>73.080243860422797</v>
      </c>
      <c r="R60">
        <v>6.6268400876609304E-2</v>
      </c>
      <c r="S60">
        <v>12.079782788365801</v>
      </c>
      <c r="T60">
        <v>0.19758145898872201</v>
      </c>
      <c r="V60">
        <v>0.46108874656929599</v>
      </c>
      <c r="W60">
        <v>9.4669144109440096E-3</v>
      </c>
      <c r="X60">
        <v>8.5202229698499901E-2</v>
      </c>
      <c r="AA60">
        <v>0.91829069786158002</v>
      </c>
      <c r="AB60">
        <v>3.19035015648815</v>
      </c>
      <c r="AC60">
        <v>4.7523910342938596</v>
      </c>
      <c r="AD60">
        <v>1.8933828821887301E-2</v>
      </c>
      <c r="AE60">
        <v>5.1403998832016997</v>
      </c>
    </row>
    <row r="61" spans="1:31" x14ac:dyDescent="0.2">
      <c r="A61">
        <v>60</v>
      </c>
      <c r="B61">
        <v>757</v>
      </c>
      <c r="C61">
        <v>200</v>
      </c>
      <c r="D61">
        <v>0.38273115565694399</v>
      </c>
      <c r="E61">
        <v>105.42741196731799</v>
      </c>
      <c r="F61">
        <v>2.20539251009088</v>
      </c>
      <c r="G61">
        <v>-1718.1888830674527</v>
      </c>
      <c r="H61">
        <v>-1441.8384144546255</v>
      </c>
      <c r="I61">
        <v>268.26235850393402</v>
      </c>
      <c r="J61">
        <v>141.35973160087599</v>
      </c>
      <c r="K61">
        <v>47.804375631516798</v>
      </c>
      <c r="L61">
        <v>1.4298574198584171E-4</v>
      </c>
      <c r="M61">
        <v>1.7270763847963141E-5</v>
      </c>
      <c r="N61" s="1">
        <v>3.1373509253939402E-6</v>
      </c>
      <c r="O61" s="1">
        <v>9.0878481024752195E-8</v>
      </c>
      <c r="P61" s="1">
        <v>-4.6437893955040301E-7</v>
      </c>
      <c r="Q61">
        <v>73.037753112760598</v>
      </c>
      <c r="R61">
        <v>6.6396394157621996E-2</v>
      </c>
      <c r="S61">
        <v>12.1031141350197</v>
      </c>
      <c r="T61">
        <v>0.19833911838358401</v>
      </c>
      <c r="V61">
        <v>0.46164094295552299</v>
      </c>
      <c r="W61">
        <v>9.48519916537428E-3</v>
      </c>
      <c r="X61">
        <v>8.5366792488374907E-2</v>
      </c>
      <c r="AA61">
        <v>0.92006431904132302</v>
      </c>
      <c r="AB61">
        <v>3.1965121187311598</v>
      </c>
      <c r="AC61">
        <v>4.7615699810178302</v>
      </c>
      <c r="AD61">
        <v>1.8970398330747401E-2</v>
      </c>
      <c r="AE61">
        <v>5.1407874879480397</v>
      </c>
    </row>
    <row r="62" spans="1:31" x14ac:dyDescent="0.2">
      <c r="A62">
        <v>61</v>
      </c>
      <c r="B62">
        <v>756</v>
      </c>
      <c r="C62">
        <v>200</v>
      </c>
      <c r="D62">
        <v>0.38206335325268598</v>
      </c>
      <c r="E62">
        <v>104.691080274605</v>
      </c>
      <c r="F62">
        <v>2.2060075590618502</v>
      </c>
      <c r="G62">
        <v>-1705.683899786796</v>
      </c>
      <c r="H62">
        <v>-1431.7092625766982</v>
      </c>
      <c r="I62">
        <v>266.21448497313099</v>
      </c>
      <c r="J62">
        <v>140.359046981993</v>
      </c>
      <c r="K62">
        <v>47.4572627117957</v>
      </c>
      <c r="L62">
        <v>1.4290967946940206E-4</v>
      </c>
      <c r="M62">
        <v>1.7252353899896601E-5</v>
      </c>
      <c r="N62" s="1">
        <v>3.11577798606364E-6</v>
      </c>
      <c r="O62" s="1">
        <v>9.0090926929052596E-8</v>
      </c>
      <c r="P62" s="1">
        <v>-4.6092647024182499E-7</v>
      </c>
      <c r="Q62">
        <v>73.000800991592897</v>
      </c>
      <c r="R62">
        <v>6.68633849382302E-2</v>
      </c>
      <c r="S62">
        <v>12.119184353841099</v>
      </c>
      <c r="T62">
        <v>0.20012542578215101</v>
      </c>
      <c r="V62">
        <v>0.46453572857830799</v>
      </c>
      <c r="W62">
        <v>9.5519121340324996E-3</v>
      </c>
      <c r="X62">
        <v>8.5967209206301007E-2</v>
      </c>
      <c r="AA62">
        <v>0.91474113178507799</v>
      </c>
      <c r="AB62">
        <v>3.1928468573701299</v>
      </c>
      <c r="AC62">
        <v>4.7908132686135696</v>
      </c>
      <c r="AD62">
        <v>1.91038242680634E-2</v>
      </c>
      <c r="AE62">
        <v>5.1354659118900603</v>
      </c>
    </row>
    <row r="63" spans="1:31" x14ac:dyDescent="0.2">
      <c r="A63">
        <v>62</v>
      </c>
      <c r="B63">
        <v>755</v>
      </c>
      <c r="C63">
        <v>200</v>
      </c>
      <c r="D63">
        <v>0.38139425181150599</v>
      </c>
      <c r="E63">
        <v>103.088374003835</v>
      </c>
      <c r="F63">
        <v>2.2068658367251301</v>
      </c>
      <c r="G63">
        <v>-1678.7875792489017</v>
      </c>
      <c r="H63">
        <v>-1409.5407535360916</v>
      </c>
      <c r="I63">
        <v>261.87504324545</v>
      </c>
      <c r="J63">
        <v>138.166373157918</v>
      </c>
      <c r="K63">
        <v>46.712569603602603</v>
      </c>
      <c r="L63">
        <v>1.4267063678955499E-4</v>
      </c>
      <c r="M63">
        <v>1.7217570148192901E-5</v>
      </c>
      <c r="N63" s="1">
        <v>3.0627026698049601E-6</v>
      </c>
      <c r="O63" s="1">
        <v>8.8411687325741397E-8</v>
      </c>
      <c r="P63" s="1">
        <v>-4.5297744444613799E-7</v>
      </c>
      <c r="Q63">
        <v>72.972531922489594</v>
      </c>
      <c r="R63">
        <v>6.7902904354080404E-2</v>
      </c>
      <c r="S63">
        <v>12.1235877936397</v>
      </c>
      <c r="T63">
        <v>0.20365212660881099</v>
      </c>
      <c r="V63">
        <v>0.47138407402302201</v>
      </c>
      <c r="W63">
        <v>9.7004149077253108E-3</v>
      </c>
      <c r="X63">
        <v>8.7303734169538502E-2</v>
      </c>
      <c r="AA63">
        <v>0.89847193155078697</v>
      </c>
      <c r="AB63">
        <v>3.1723488386488898</v>
      </c>
      <c r="AC63">
        <v>4.85310575003321</v>
      </c>
      <c r="AD63">
        <v>1.9400829815448498E-2</v>
      </c>
      <c r="AE63">
        <v>5.1206096797590304</v>
      </c>
    </row>
    <row r="64" spans="1:31" x14ac:dyDescent="0.2">
      <c r="A64">
        <v>63</v>
      </c>
      <c r="B64">
        <v>754</v>
      </c>
      <c r="C64">
        <v>200</v>
      </c>
      <c r="D64">
        <v>0.38072384753930699</v>
      </c>
      <c r="E64">
        <v>101.479124185589</v>
      </c>
      <c r="F64">
        <v>2.2077476911632301</v>
      </c>
      <c r="G64">
        <v>-1651.7993639364588</v>
      </c>
      <c r="H64">
        <v>-1387.2853523867016</v>
      </c>
      <c r="I64">
        <v>257.52228160420202</v>
      </c>
      <c r="J64">
        <v>135.96570274296499</v>
      </c>
      <c r="K64">
        <v>45.965000707178298</v>
      </c>
      <c r="L64">
        <v>1.4242417704862383E-4</v>
      </c>
      <c r="M64">
        <v>1.7182113917859083E-5</v>
      </c>
      <c r="N64" s="1">
        <v>3.0093304123077101E-6</v>
      </c>
      <c r="O64" s="1">
        <v>8.6729864493027603E-8</v>
      </c>
      <c r="P64" s="1">
        <v>-4.4498761476025701E-7</v>
      </c>
      <c r="Q64">
        <v>72.943864307234406</v>
      </c>
      <c r="R64">
        <v>6.8979704507483294E-2</v>
      </c>
      <c r="S64">
        <v>12.1280987668765</v>
      </c>
      <c r="T64">
        <v>0.20730217171077001</v>
      </c>
      <c r="V64">
        <v>0.47848084586975698</v>
      </c>
      <c r="W64">
        <v>9.8542435010684406E-3</v>
      </c>
      <c r="X64">
        <v>8.8688191509628797E-2</v>
      </c>
      <c r="AA64">
        <v>0.88302540147295805</v>
      </c>
      <c r="AB64">
        <v>3.1504822854287902</v>
      </c>
      <c r="AC64">
        <v>4.9161863636882996</v>
      </c>
      <c r="AD64">
        <v>1.9708487002134598E-2</v>
      </c>
      <c r="AE64">
        <v>5.1053292311980796</v>
      </c>
    </row>
    <row r="65" spans="1:31" x14ac:dyDescent="0.2">
      <c r="A65">
        <v>64</v>
      </c>
      <c r="B65">
        <v>753</v>
      </c>
      <c r="C65">
        <v>200</v>
      </c>
      <c r="D65">
        <v>0.380052136627202</v>
      </c>
      <c r="E65">
        <v>99.857237471600101</v>
      </c>
      <c r="F65">
        <v>2.20865491761902</v>
      </c>
      <c r="G65">
        <v>-1624.6197669429382</v>
      </c>
      <c r="H65">
        <v>-1364.8593337010184</v>
      </c>
      <c r="I65">
        <v>253.14080128823201</v>
      </c>
      <c r="J65">
        <v>133.74888623626299</v>
      </c>
      <c r="K65">
        <v>45.211787805787303</v>
      </c>
      <c r="L65">
        <v>1.4216998773201249E-4</v>
      </c>
      <c r="M65">
        <v>1.7145951862616389E-5</v>
      </c>
      <c r="N65" s="1">
        <v>2.9554814645972099E-6</v>
      </c>
      <c r="O65" s="1">
        <v>8.5040310269132396E-8</v>
      </c>
      <c r="P65" s="1">
        <v>-4.3693050224624402E-7</v>
      </c>
      <c r="Q65">
        <v>72.914740200528698</v>
      </c>
      <c r="R65">
        <v>7.0100076641825895E-2</v>
      </c>
      <c r="S65">
        <v>12.1327120563578</v>
      </c>
      <c r="T65">
        <v>0.21109482557770801</v>
      </c>
      <c r="V65">
        <v>0.48586936179853801</v>
      </c>
      <c r="W65">
        <v>1.00142966631173E-2</v>
      </c>
      <c r="X65">
        <v>9.0128669968070299E-2</v>
      </c>
      <c r="AA65">
        <v>0.86844197531956802</v>
      </c>
      <c r="AB65">
        <v>3.1271724031345198</v>
      </c>
      <c r="AC65">
        <v>4.9800944719912499</v>
      </c>
      <c r="AD65">
        <v>2.0028593326232198E-2</v>
      </c>
      <c r="AE65">
        <v>5.0896030686926004</v>
      </c>
    </row>
    <row r="66" spans="1:31" x14ac:dyDescent="0.2">
      <c r="A66">
        <v>65</v>
      </c>
      <c r="B66">
        <v>752</v>
      </c>
      <c r="C66">
        <v>200</v>
      </c>
      <c r="D66">
        <v>0.37937911525142798</v>
      </c>
      <c r="E66">
        <v>81.816775307804306</v>
      </c>
      <c r="F66">
        <v>2.21151936737503</v>
      </c>
      <c r="G66">
        <v>-1329.4720939046188</v>
      </c>
      <c r="H66">
        <v>-1117.0314604786263</v>
      </c>
      <c r="I66">
        <v>207.228828391935</v>
      </c>
      <c r="J66">
        <v>109.588566680621</v>
      </c>
      <c r="K66">
        <v>36.995730860325601</v>
      </c>
      <c r="L66">
        <v>1.4221233238268405E-4</v>
      </c>
      <c r="M66">
        <v>1.7126611260322752E-5</v>
      </c>
      <c r="N66" s="1">
        <v>2.4200827671849299E-6</v>
      </c>
      <c r="O66" s="1">
        <v>6.9509624502997497E-8</v>
      </c>
      <c r="P66" s="1">
        <v>-3.5744036222365502E-7</v>
      </c>
      <c r="Q66">
        <v>72.765673000614896</v>
      </c>
      <c r="R66">
        <v>8.5557026339228695E-2</v>
      </c>
      <c r="S66">
        <v>12.1123745683912</v>
      </c>
      <c r="T66">
        <v>0.25746604627264902</v>
      </c>
      <c r="V66">
        <v>0.59316006256351705</v>
      </c>
      <c r="W66">
        <v>1.2222432334172501E-2</v>
      </c>
      <c r="X66">
        <v>0.110001891007612</v>
      </c>
      <c r="AA66">
        <v>0.88731157148706696</v>
      </c>
      <c r="AB66">
        <v>3.0922999023089801</v>
      </c>
      <c r="AC66">
        <v>4.9787333607730302</v>
      </c>
      <c r="AD66">
        <v>2.4444864668336699E-2</v>
      </c>
      <c r="AE66">
        <v>5.0807552732392098</v>
      </c>
    </row>
    <row r="67" spans="1:31" x14ac:dyDescent="0.2">
      <c r="A67">
        <v>66</v>
      </c>
      <c r="B67">
        <v>751</v>
      </c>
      <c r="C67">
        <v>200</v>
      </c>
      <c r="D67">
        <v>0.378704779573308</v>
      </c>
      <c r="E67">
        <v>29.6003817950849</v>
      </c>
      <c r="F67">
        <v>2.21454602514389</v>
      </c>
      <c r="G67">
        <v>-480.7739523011827</v>
      </c>
      <c r="H67">
        <v>-404.13476245846169</v>
      </c>
      <c r="I67">
        <v>74.831997112455298</v>
      </c>
      <c r="J67">
        <v>39.665727780592498</v>
      </c>
      <c r="K67">
        <v>13.3663430152288</v>
      </c>
      <c r="L67">
        <v>1.4168371475691533E-4</v>
      </c>
      <c r="M67">
        <v>1.7064207855365848E-5</v>
      </c>
      <c r="N67" s="1">
        <v>8.7078684650031295E-7</v>
      </c>
      <c r="O67" s="1">
        <v>2.49726078050885E-8</v>
      </c>
      <c r="P67" s="1">
        <v>-1.2835815676101199E-7</v>
      </c>
      <c r="Q67">
        <v>72.598254796478997</v>
      </c>
      <c r="R67">
        <v>0.13091009574580301</v>
      </c>
      <c r="S67">
        <v>12.150570513207199</v>
      </c>
      <c r="T67">
        <v>0.25010847054900098</v>
      </c>
      <c r="V67">
        <v>0.575671602796891</v>
      </c>
      <c r="W67">
        <v>3.3783348029846498E-2</v>
      </c>
      <c r="X67">
        <v>0.160660431261653</v>
      </c>
      <c r="AA67">
        <v>0.98036286738087197</v>
      </c>
      <c r="AB67">
        <v>2.9737430528617299</v>
      </c>
      <c r="AC67">
        <v>5.0310495025844402</v>
      </c>
      <c r="AD67">
        <v>6.75666960596399E-2</v>
      </c>
      <c r="AE67">
        <v>5.0473186230437301</v>
      </c>
    </row>
    <row r="68" spans="1:31" x14ac:dyDescent="0.2">
      <c r="A68">
        <v>67</v>
      </c>
      <c r="B68">
        <v>750</v>
      </c>
      <c r="C68">
        <v>200</v>
      </c>
      <c r="D68">
        <v>0.37802912573913899</v>
      </c>
      <c r="E68">
        <v>11.9417232810372</v>
      </c>
      <c r="F68">
        <v>2.2171908036709702</v>
      </c>
      <c r="G68">
        <v>-193.8845622501787</v>
      </c>
      <c r="H68">
        <v>-163.04391496435682</v>
      </c>
      <c r="I68">
        <v>30.142840527607699</v>
      </c>
      <c r="J68">
        <v>16.016918142637099</v>
      </c>
      <c r="K68">
        <v>5.3859700578161496</v>
      </c>
      <c r="L68">
        <v>1.4141725479196752E-4</v>
      </c>
      <c r="M68">
        <v>1.7030751872578271E-5</v>
      </c>
      <c r="N68" s="1">
        <v>3.5057355338768801E-7</v>
      </c>
      <c r="O68" s="1">
        <v>1.00354452984519E-8</v>
      </c>
      <c r="P68" s="1">
        <v>-5.1561269335731498E-8</v>
      </c>
      <c r="Q68">
        <v>72.312369074328799</v>
      </c>
      <c r="R68">
        <v>0.17089619948753701</v>
      </c>
      <c r="S68">
        <v>12.254028068397799</v>
      </c>
      <c r="T68">
        <v>0.23580824366533901</v>
      </c>
      <c r="V68">
        <v>0.54198110578015801</v>
      </c>
      <c r="W68">
        <v>8.3740007741385403E-2</v>
      </c>
      <c r="X68">
        <v>0.168721289727602</v>
      </c>
      <c r="AA68">
        <v>1.0996527410461601</v>
      </c>
      <c r="AB68">
        <v>2.8692081690541</v>
      </c>
      <c r="AC68">
        <v>5.0649954898920999</v>
      </c>
      <c r="AD68">
        <v>0.16748001548260599</v>
      </c>
      <c r="AE68">
        <v>5.0311195953962802</v>
      </c>
    </row>
    <row r="69" spans="1:31" x14ac:dyDescent="0.2">
      <c r="A69">
        <v>68</v>
      </c>
      <c r="B69">
        <v>749</v>
      </c>
      <c r="C69">
        <v>200</v>
      </c>
      <c r="D69">
        <v>0.37735214988015597</v>
      </c>
      <c r="E69">
        <v>7.1531943599349397</v>
      </c>
      <c r="F69">
        <v>2.21955817426876</v>
      </c>
      <c r="G69">
        <v>-116.08706536939231</v>
      </c>
      <c r="H69">
        <v>-97.653139423180136</v>
      </c>
      <c r="I69">
        <v>18.034462599630299</v>
      </c>
      <c r="J69">
        <v>9.6052408973724592</v>
      </c>
      <c r="K69">
        <v>3.2228010253849599</v>
      </c>
      <c r="L69">
        <v>1.4138134774934296E-4</v>
      </c>
      <c r="M69">
        <v>1.7018436284792939E-5</v>
      </c>
      <c r="N69" s="1">
        <v>2.10123509198906E-7</v>
      </c>
      <c r="O69" s="1">
        <v>6.0026503897480296E-9</v>
      </c>
      <c r="P69" s="1">
        <v>-3.08399675076494E-8</v>
      </c>
      <c r="Q69">
        <v>71.9939641990524</v>
      </c>
      <c r="R69">
        <v>0.18848227984735799</v>
      </c>
      <c r="S69">
        <v>12.3645562397493</v>
      </c>
      <c r="T69">
        <v>0.228934395748778</v>
      </c>
      <c r="V69">
        <v>0.52557446267590302</v>
      </c>
      <c r="W69">
        <v>0.13979768333998299</v>
      </c>
      <c r="X69">
        <v>0.172261886664795</v>
      </c>
      <c r="AA69">
        <v>1.2163967182908599</v>
      </c>
      <c r="AB69">
        <v>2.7867443957278302</v>
      </c>
      <c r="AC69">
        <v>5.0752440179604701</v>
      </c>
      <c r="AD69">
        <v>0.27959536667968699</v>
      </c>
      <c r="AE69">
        <v>5.0284483542625003</v>
      </c>
    </row>
    <row r="70" spans="1:31" x14ac:dyDescent="0.2">
      <c r="A70">
        <v>69</v>
      </c>
      <c r="B70">
        <v>765</v>
      </c>
      <c r="C70">
        <v>175</v>
      </c>
      <c r="D70">
        <v>0.41451668833983701</v>
      </c>
      <c r="E70">
        <v>105.46632911987</v>
      </c>
      <c r="F70">
        <v>2.2046187873820799</v>
      </c>
      <c r="G70">
        <v>-1720.1192374370569</v>
      </c>
      <c r="H70">
        <v>-1442.8683729383301</v>
      </c>
      <c r="I70">
        <v>267.06243269154402</v>
      </c>
      <c r="J70">
        <v>141.087978366523</v>
      </c>
      <c r="K70">
        <v>47.838805385990902</v>
      </c>
      <c r="L70">
        <v>1.3825433518447334E-4</v>
      </c>
      <c r="M70">
        <v>1.7155724645626837E-5</v>
      </c>
      <c r="N70" s="1">
        <v>2.9189677890359301E-6</v>
      </c>
      <c r="O70" s="1">
        <v>8.7307261263978304E-8</v>
      </c>
      <c r="P70" s="1">
        <v>-4.4306866118243202E-7</v>
      </c>
      <c r="Q70">
        <v>73.397832887544993</v>
      </c>
      <c r="R70">
        <v>6.6371893839634502E-2</v>
      </c>
      <c r="S70">
        <v>12.098648077053999</v>
      </c>
      <c r="T70">
        <v>0.19806548425790499</v>
      </c>
      <c r="V70">
        <v>0.46165096138942902</v>
      </c>
      <c r="W70">
        <v>9.4816991199476695E-3</v>
      </c>
      <c r="X70">
        <v>8.5335292079531402E-2</v>
      </c>
      <c r="AA70">
        <v>0.91972481463493105</v>
      </c>
      <c r="AB70">
        <v>3.1953326034223699</v>
      </c>
      <c r="AC70">
        <v>4.7598129582137103</v>
      </c>
      <c r="AD70">
        <v>1.8963398239894898E-2</v>
      </c>
      <c r="AE70">
        <v>4.7887799302035603</v>
      </c>
    </row>
    <row r="71" spans="1:31" x14ac:dyDescent="0.2">
      <c r="A71">
        <v>70</v>
      </c>
      <c r="B71">
        <v>764</v>
      </c>
      <c r="C71">
        <v>175</v>
      </c>
      <c r="D71">
        <v>0.41388468398978101</v>
      </c>
      <c r="E71">
        <v>105.364871127811</v>
      </c>
      <c r="F71">
        <v>2.2049440155971101</v>
      </c>
      <c r="G71">
        <v>-1718.1589474961129</v>
      </c>
      <c r="H71">
        <v>-1441.6101838976303</v>
      </c>
      <c r="I71">
        <v>266.64297700282702</v>
      </c>
      <c r="J71">
        <v>140.927237256132</v>
      </c>
      <c r="K71">
        <v>47.785735321392202</v>
      </c>
      <c r="L71">
        <v>1.3815127786405131E-4</v>
      </c>
      <c r="M71">
        <v>1.7145077550279908E-5</v>
      </c>
      <c r="N71" s="1">
        <v>2.9180112819403002E-6</v>
      </c>
      <c r="O71" s="1">
        <v>8.7118418821167003E-8</v>
      </c>
      <c r="P71" s="1">
        <v>-4.4226644550558801E-7</v>
      </c>
      <c r="Q71">
        <v>73.411828850706598</v>
      </c>
      <c r="R71">
        <v>6.6435804695369596E-2</v>
      </c>
      <c r="S71">
        <v>12.0900648737771</v>
      </c>
      <c r="T71">
        <v>0.19854800226740599</v>
      </c>
      <c r="V71">
        <v>0.461832932671078</v>
      </c>
      <c r="W71">
        <v>9.49082924219544E-3</v>
      </c>
      <c r="X71">
        <v>8.5417463179763703E-2</v>
      </c>
      <c r="AA71">
        <v>0.91714338313985</v>
      </c>
      <c r="AB71">
        <v>3.1907356575287502</v>
      </c>
      <c r="AC71">
        <v>4.7631901525979403</v>
      </c>
      <c r="AD71">
        <v>1.8981658484389999E-2</v>
      </c>
      <c r="AE71">
        <v>4.7863303917094502</v>
      </c>
    </row>
    <row r="72" spans="1:31" x14ac:dyDescent="0.2">
      <c r="A72">
        <v>71</v>
      </c>
      <c r="B72">
        <v>763</v>
      </c>
      <c r="C72">
        <v>175</v>
      </c>
      <c r="D72">
        <v>0.41325145973073701</v>
      </c>
      <c r="E72">
        <v>105.024475416914</v>
      </c>
      <c r="F72">
        <v>2.2052702312793899</v>
      </c>
      <c r="G72">
        <v>-1712.2214246676717</v>
      </c>
      <c r="H72">
        <v>-1437.0542539747296</v>
      </c>
      <c r="I72">
        <v>265.56692630694499</v>
      </c>
      <c r="J72">
        <v>140.420901677177</v>
      </c>
      <c r="K72">
        <v>47.624311037828797</v>
      </c>
      <c r="L72">
        <v>1.3793136279216438E-4</v>
      </c>
      <c r="M72">
        <v>1.7127934976645209E-5</v>
      </c>
      <c r="N72" s="1">
        <v>2.9077865856110299E-6</v>
      </c>
      <c r="O72" s="1">
        <v>8.6660905061661905E-8</v>
      </c>
      <c r="P72" s="1">
        <v>-4.39947308211049E-7</v>
      </c>
      <c r="Q72">
        <v>73.457894623817296</v>
      </c>
      <c r="R72">
        <v>6.6651130340925194E-2</v>
      </c>
      <c r="S72">
        <v>12.0609883625145</v>
      </c>
      <c r="T72">
        <v>0.19944969157100501</v>
      </c>
      <c r="V72">
        <v>0.463097475733939</v>
      </c>
      <c r="W72">
        <v>9.5215900487033104E-3</v>
      </c>
      <c r="X72">
        <v>8.5694310438336099E-2</v>
      </c>
      <c r="AA72">
        <v>0.90856954799205902</v>
      </c>
      <c r="AB72">
        <v>3.1750831712951899</v>
      </c>
      <c r="AC72">
        <v>4.7744650972920102</v>
      </c>
      <c r="AD72">
        <v>1.90431800974055E-2</v>
      </c>
      <c r="AE72">
        <v>4.7795418188585703</v>
      </c>
    </row>
    <row r="73" spans="1:31" x14ac:dyDescent="0.2">
      <c r="A73">
        <v>72</v>
      </c>
      <c r="B73">
        <v>762</v>
      </c>
      <c r="C73">
        <v>175</v>
      </c>
      <c r="D73">
        <v>0.41261701202724399</v>
      </c>
      <c r="E73">
        <v>104.179853789818</v>
      </c>
      <c r="F73">
        <v>2.2057930294814301</v>
      </c>
      <c r="G73">
        <v>-1697.9105274917761</v>
      </c>
      <c r="H73">
        <v>-1425.4569426048711</v>
      </c>
      <c r="I73">
        <v>263.20203341245701</v>
      </c>
      <c r="J73">
        <v>139.24478068797501</v>
      </c>
      <c r="K73">
        <v>47.230112887930503</v>
      </c>
      <c r="L73">
        <v>1.3771706383671671E-4</v>
      </c>
      <c r="M73">
        <v>1.7104575666662086E-5</v>
      </c>
      <c r="N73" s="1">
        <v>2.88208090413187E-6</v>
      </c>
      <c r="O73" s="1">
        <v>8.5749071175754296E-8</v>
      </c>
      <c r="P73" s="1">
        <v>-4.3557742111039899E-7</v>
      </c>
      <c r="Q73">
        <v>73.473113496993406</v>
      </c>
      <c r="R73">
        <v>6.7191493799967597E-2</v>
      </c>
      <c r="S73">
        <v>12.045659253555</v>
      </c>
      <c r="T73">
        <v>0.20138519837543001</v>
      </c>
      <c r="V73">
        <v>0.46656537511754798</v>
      </c>
      <c r="W73">
        <v>9.5987848285663206E-3</v>
      </c>
      <c r="X73">
        <v>8.6389063457107201E-2</v>
      </c>
      <c r="AA73">
        <v>0.89723384074902002</v>
      </c>
      <c r="AB73">
        <v>3.1575096302594599</v>
      </c>
      <c r="AC73">
        <v>4.8059192364705998</v>
      </c>
      <c r="AD73">
        <v>1.9197569657130899E-2</v>
      </c>
      <c r="AE73">
        <v>4.7702370567366401</v>
      </c>
    </row>
    <row r="74" spans="1:31" x14ac:dyDescent="0.2">
      <c r="A74">
        <v>73</v>
      </c>
      <c r="B74">
        <v>761</v>
      </c>
      <c r="C74">
        <v>175</v>
      </c>
      <c r="D74">
        <v>0.411981337330175</v>
      </c>
      <c r="E74">
        <v>102.60656333345599</v>
      </c>
      <c r="F74">
        <v>2.20661130985774</v>
      </c>
      <c r="G74">
        <v>-1671.5067905529124</v>
      </c>
      <c r="H74">
        <v>-1403.6864745663022</v>
      </c>
      <c r="I74">
        <v>258.97627615588601</v>
      </c>
      <c r="J74">
        <v>137.10101881330201</v>
      </c>
      <c r="K74">
        <v>46.499609095210999</v>
      </c>
      <c r="L74">
        <v>1.3750807429516445E-4</v>
      </c>
      <c r="M74">
        <v>1.7071902453408121E-5</v>
      </c>
      <c r="N74" s="1">
        <v>2.83398884449313E-6</v>
      </c>
      <c r="O74" s="1">
        <v>8.4182394375854504E-8</v>
      </c>
      <c r="P74" s="1">
        <v>-4.2823839152477102E-7</v>
      </c>
      <c r="Q74">
        <v>73.443441649622898</v>
      </c>
      <c r="R74">
        <v>6.8221756704307204E-2</v>
      </c>
      <c r="S74">
        <v>12.0502561056043</v>
      </c>
      <c r="T74">
        <v>0.204880468084637</v>
      </c>
      <c r="V74">
        <v>0.47335276324508102</v>
      </c>
      <c r="W74">
        <v>9.7459652434718196E-3</v>
      </c>
      <c r="X74">
        <v>8.7713687191259604E-2</v>
      </c>
      <c r="AA74">
        <v>0.88221603657944103</v>
      </c>
      <c r="AB74">
        <v>3.13652225224482</v>
      </c>
      <c r="AC74">
        <v>4.8670344033744799</v>
      </c>
      <c r="AD74">
        <v>1.94919304869417E-2</v>
      </c>
      <c r="AE74">
        <v>4.7571229816182496</v>
      </c>
    </row>
    <row r="75" spans="1:31" x14ac:dyDescent="0.2">
      <c r="A75">
        <v>74</v>
      </c>
      <c r="B75">
        <v>760</v>
      </c>
      <c r="C75">
        <v>175</v>
      </c>
      <c r="D75">
        <v>0.41134443207665999</v>
      </c>
      <c r="E75">
        <v>101.028128831611</v>
      </c>
      <c r="F75">
        <v>2.2074508701744802</v>
      </c>
      <c r="G75">
        <v>-1645.0339824620153</v>
      </c>
      <c r="H75">
        <v>-1381.8482935999455</v>
      </c>
      <c r="I75">
        <v>254.741023919149</v>
      </c>
      <c r="J75">
        <v>134.951182351185</v>
      </c>
      <c r="K75">
        <v>45.766875356834397</v>
      </c>
      <c r="L75">
        <v>1.3729295236394556E-4</v>
      </c>
      <c r="M75">
        <v>1.7038651481685044E-5</v>
      </c>
      <c r="N75" s="1">
        <v>2.7856755753330998E-6</v>
      </c>
      <c r="O75" s="1">
        <v>8.2614625294527099E-8</v>
      </c>
      <c r="P75" s="1">
        <v>-4.2086811015877798E-7</v>
      </c>
      <c r="Q75">
        <v>73.413320968434704</v>
      </c>
      <c r="R75">
        <v>6.9287633859550196E-2</v>
      </c>
      <c r="S75">
        <v>12.0549730598654</v>
      </c>
      <c r="T75">
        <v>0.20849382814351999</v>
      </c>
      <c r="V75">
        <v>0.48037723919313802</v>
      </c>
      <c r="W75">
        <v>9.8982334085065005E-3</v>
      </c>
      <c r="X75">
        <v>8.9084100676572797E-2</v>
      </c>
      <c r="AA75">
        <v>0.86798515906209295</v>
      </c>
      <c r="AB75">
        <v>3.1142777917739402</v>
      </c>
      <c r="AC75">
        <v>4.9288403768462699</v>
      </c>
      <c r="AD75">
        <v>1.9796466817010701E-2</v>
      </c>
      <c r="AE75">
        <v>4.7436651419190996</v>
      </c>
    </row>
    <row r="76" spans="1:31" x14ac:dyDescent="0.2">
      <c r="A76">
        <v>75</v>
      </c>
      <c r="B76">
        <v>759</v>
      </c>
      <c r="C76">
        <v>175</v>
      </c>
      <c r="D76">
        <v>0.41070629269001901</v>
      </c>
      <c r="E76">
        <v>99.438983892757193</v>
      </c>
      <c r="F76">
        <v>2.2083132701181798</v>
      </c>
      <c r="G76">
        <v>-1618.4011985573807</v>
      </c>
      <c r="H76">
        <v>-1359.8658841940724</v>
      </c>
      <c r="I76">
        <v>250.482308156089</v>
      </c>
      <c r="J76">
        <v>132.78785106911599</v>
      </c>
      <c r="K76">
        <v>45.029382940507901</v>
      </c>
      <c r="L76">
        <v>1.3707147585682259E-4</v>
      </c>
      <c r="M76">
        <v>1.7004797244985556E-5</v>
      </c>
      <c r="N76" s="1">
        <v>2.7369891212139398E-6</v>
      </c>
      <c r="O76" s="1">
        <v>8.1041276580369995E-8</v>
      </c>
      <c r="P76" s="1">
        <v>-4.1344367722780101E-7</v>
      </c>
      <c r="Q76">
        <v>73.382694750250295</v>
      </c>
      <c r="R76">
        <v>7.0394926878472999E-2</v>
      </c>
      <c r="S76">
        <v>12.059806367137501</v>
      </c>
      <c r="T76">
        <v>0.21224306322766001</v>
      </c>
      <c r="V76">
        <v>0.48767873180565002</v>
      </c>
      <c r="W76">
        <v>1.0056418125495001E-2</v>
      </c>
      <c r="X76">
        <v>9.0507763129478905E-2</v>
      </c>
      <c r="AA76">
        <v>0.854578381939881</v>
      </c>
      <c r="AB76">
        <v>3.09071298853029</v>
      </c>
      <c r="AC76">
        <v>4.99136594345077</v>
      </c>
      <c r="AD76">
        <v>2.01128362509863E-2</v>
      </c>
      <c r="AE76">
        <v>4.7298478292733899</v>
      </c>
    </row>
    <row r="77" spans="1:31" x14ac:dyDescent="0.2">
      <c r="A77">
        <v>76</v>
      </c>
      <c r="B77">
        <v>758</v>
      </c>
      <c r="C77">
        <v>175</v>
      </c>
      <c r="D77">
        <v>0.41006691557969399</v>
      </c>
      <c r="E77">
        <v>97.241224127993107</v>
      </c>
      <c r="F77">
        <v>2.2092654228954398</v>
      </c>
      <c r="G77">
        <v>-1581.8442477001831</v>
      </c>
      <c r="H77">
        <v>-1329.5260450094154</v>
      </c>
      <c r="I77">
        <v>244.69592463828499</v>
      </c>
      <c r="J77">
        <v>129.81413027865199</v>
      </c>
      <c r="K77">
        <v>44.015184015576402</v>
      </c>
      <c r="L77">
        <v>1.3685003155590556E-4</v>
      </c>
      <c r="M77">
        <v>1.6970643664837933E-5</v>
      </c>
      <c r="N77" s="1">
        <v>2.6715582052557098E-6</v>
      </c>
      <c r="O77" s="1">
        <v>7.8978054355424903E-8</v>
      </c>
      <c r="P77" s="1">
        <v>-4.0348162746477199E-7</v>
      </c>
      <c r="Q77">
        <v>73.347810972678801</v>
      </c>
      <c r="R77">
        <v>7.1985930481366395E-2</v>
      </c>
      <c r="S77">
        <v>12.0640693316849</v>
      </c>
      <c r="T77">
        <v>0.21744588491657399</v>
      </c>
      <c r="V77">
        <v>0.49833558672137002</v>
      </c>
      <c r="W77">
        <v>1.02837043544782E-2</v>
      </c>
      <c r="X77">
        <v>9.2553339190361003E-2</v>
      </c>
      <c r="AA77">
        <v>0.84333681859461995</v>
      </c>
      <c r="AB77">
        <v>3.0650145896233298</v>
      </c>
      <c r="AC77">
        <v>5.0528489668883001</v>
      </c>
      <c r="AD77">
        <v>2.05674087089475E-2</v>
      </c>
      <c r="AE77">
        <v>4.7157474661568202</v>
      </c>
    </row>
    <row r="78" spans="1:31" x14ac:dyDescent="0.2">
      <c r="A78">
        <v>77</v>
      </c>
      <c r="B78">
        <v>757</v>
      </c>
      <c r="C78">
        <v>175</v>
      </c>
      <c r="D78">
        <v>0.40942629714119499</v>
      </c>
      <c r="E78">
        <v>78.642998152246804</v>
      </c>
      <c r="F78">
        <v>2.2124263533688202</v>
      </c>
      <c r="G78">
        <v>-1277.613044127977</v>
      </c>
      <c r="H78">
        <v>-1073.9347296931705</v>
      </c>
      <c r="I78">
        <v>197.71714258584299</v>
      </c>
      <c r="J78">
        <v>104.99281441801401</v>
      </c>
      <c r="K78">
        <v>35.546041129232798</v>
      </c>
      <c r="L78">
        <v>1.3690102449805789E-4</v>
      </c>
      <c r="M78">
        <v>1.6951448700141835E-5</v>
      </c>
      <c r="N78" s="1">
        <v>2.1589850879567798E-6</v>
      </c>
      <c r="O78" s="1">
        <v>6.3711869275574304E-8</v>
      </c>
      <c r="P78" s="1">
        <v>-3.2571111747631701E-7</v>
      </c>
      <c r="Q78">
        <v>73.1837465170493</v>
      </c>
      <c r="R78">
        <v>8.9009831319624505E-2</v>
      </c>
      <c r="S78">
        <v>12.042659115462399</v>
      </c>
      <c r="T78">
        <v>0.268570598340098</v>
      </c>
      <c r="V78">
        <v>0.61645557063479495</v>
      </c>
      <c r="W78">
        <v>1.27156901885126E-2</v>
      </c>
      <c r="X78">
        <v>0.114441211696723</v>
      </c>
      <c r="AA78">
        <v>0.87248100100927395</v>
      </c>
      <c r="AB78">
        <v>3.0212274448402701</v>
      </c>
      <c r="AC78">
        <v>5.0463938312402101</v>
      </c>
      <c r="AD78">
        <v>2.5431380377012099E-2</v>
      </c>
      <c r="AE78">
        <v>4.7068678078417001</v>
      </c>
    </row>
    <row r="79" spans="1:31" x14ac:dyDescent="0.2">
      <c r="A79">
        <v>78</v>
      </c>
      <c r="B79">
        <v>756</v>
      </c>
      <c r="C79">
        <v>175</v>
      </c>
      <c r="D79">
        <v>0.40878443375601398</v>
      </c>
      <c r="E79">
        <v>29.80628833678</v>
      </c>
      <c r="F79">
        <v>2.2153407271651</v>
      </c>
      <c r="G79">
        <v>-484.09297116136577</v>
      </c>
      <c r="H79">
        <v>-407.13610168890392</v>
      </c>
      <c r="I79">
        <v>74.777116525736602</v>
      </c>
      <c r="J79">
        <v>39.810347615618298</v>
      </c>
      <c r="K79">
        <v>13.4544939165733</v>
      </c>
      <c r="L79">
        <v>1.3624142385294181E-4</v>
      </c>
      <c r="M79">
        <v>1.6877992485523204E-5</v>
      </c>
      <c r="N79" s="1">
        <v>8.12693735666445E-7</v>
      </c>
      <c r="O79" s="1">
        <v>2.3949640366697501E-8</v>
      </c>
      <c r="P79" s="1">
        <v>-1.2235114268301401E-7</v>
      </c>
      <c r="Q79">
        <v>73.032318453255499</v>
      </c>
      <c r="R79">
        <v>0.13241267670670201</v>
      </c>
      <c r="S79">
        <v>12.091173064922099</v>
      </c>
      <c r="T79">
        <v>0.25042136950185401</v>
      </c>
      <c r="V79">
        <v>0.57406000133794099</v>
      </c>
      <c r="W79">
        <v>3.35499673324181E-2</v>
      </c>
      <c r="X79">
        <v>0.16979657943002399</v>
      </c>
      <c r="AA79">
        <v>0.980914609246052</v>
      </c>
      <c r="AB79">
        <v>2.8772356057193398</v>
      </c>
      <c r="AC79">
        <v>5.1215422565780999</v>
      </c>
      <c r="AD79">
        <v>6.7099934664773694E-2</v>
      </c>
      <c r="AE79">
        <v>4.6694754813050796</v>
      </c>
    </row>
    <row r="80" spans="1:31" x14ac:dyDescent="0.2">
      <c r="A80">
        <v>79</v>
      </c>
      <c r="B80">
        <v>755</v>
      </c>
      <c r="C80">
        <v>175</v>
      </c>
      <c r="D80">
        <v>0.40814132179156798</v>
      </c>
      <c r="E80">
        <v>12.6836411915606</v>
      </c>
      <c r="F80">
        <v>2.2179797706003699</v>
      </c>
      <c r="G80">
        <v>-205.91914042218266</v>
      </c>
      <c r="H80">
        <v>-173.25592250072324</v>
      </c>
      <c r="I80">
        <v>31.768922746155098</v>
      </c>
      <c r="J80">
        <v>16.954143485243801</v>
      </c>
      <c r="K80">
        <v>5.7185558496447904</v>
      </c>
      <c r="L80">
        <v>1.3593085874501835E-4</v>
      </c>
      <c r="M80">
        <v>1.6839963931748453E-5</v>
      </c>
      <c r="N80" s="1">
        <v>3.44878466717164E-7</v>
      </c>
      <c r="O80" s="1">
        <v>1.01457734524377E-8</v>
      </c>
      <c r="P80" s="1">
        <v>-5.1806381502216402E-8</v>
      </c>
      <c r="Q80">
        <v>72.765344675642794</v>
      </c>
      <c r="R80">
        <v>0.17369297719810201</v>
      </c>
      <c r="S80">
        <v>12.189877910162499</v>
      </c>
      <c r="T80">
        <v>0.23617333380460201</v>
      </c>
      <c r="V80">
        <v>0.54064679310950003</v>
      </c>
      <c r="W80">
        <v>7.8841713108766004E-2</v>
      </c>
      <c r="X80">
        <v>0.17775606038306199</v>
      </c>
      <c r="AA80">
        <v>1.0976349140478501</v>
      </c>
      <c r="AB80">
        <v>2.7674438000138002</v>
      </c>
      <c r="AC80">
        <v>5.1635605935096303</v>
      </c>
      <c r="AD80">
        <v>0.15768342621732501</v>
      </c>
      <c r="AE80">
        <v>4.6513438028018896</v>
      </c>
    </row>
    <row r="81" spans="1:31" x14ac:dyDescent="0.2">
      <c r="A81">
        <v>80</v>
      </c>
      <c r="B81">
        <v>754</v>
      </c>
      <c r="C81">
        <v>175</v>
      </c>
      <c r="D81">
        <v>0.40749695760112897</v>
      </c>
      <c r="E81">
        <v>7.5904957747295398</v>
      </c>
      <c r="F81">
        <v>2.2203378611093498</v>
      </c>
      <c r="G81">
        <v>-123.17841896809303</v>
      </c>
      <c r="H81">
        <v>-103.67415247999577</v>
      </c>
      <c r="I81">
        <v>18.98872266767</v>
      </c>
      <c r="J81">
        <v>10.1569340408331</v>
      </c>
      <c r="K81">
        <v>3.4186219618563198</v>
      </c>
      <c r="L81">
        <v>1.3585403550555008E-4</v>
      </c>
      <c r="M81">
        <v>1.6824217943614063E-5</v>
      </c>
      <c r="N81" s="1">
        <v>2.06413756973393E-7</v>
      </c>
      <c r="O81" s="1">
        <v>6.0603460882069601E-9</v>
      </c>
      <c r="P81" s="1">
        <v>-3.0941064795674302E-8</v>
      </c>
      <c r="Q81">
        <v>72.462008217451498</v>
      </c>
      <c r="R81">
        <v>0.19372131884555099</v>
      </c>
      <c r="S81">
        <v>12.2968255999563</v>
      </c>
      <c r="T81">
        <v>0.22884495562063101</v>
      </c>
      <c r="V81">
        <v>0.52327014672379102</v>
      </c>
      <c r="W81">
        <v>0.131743700237442</v>
      </c>
      <c r="X81">
        <v>0.181603226141617</v>
      </c>
      <c r="AA81">
        <v>1.21000536178742</v>
      </c>
      <c r="AB81">
        <v>2.6839758868971701</v>
      </c>
      <c r="AC81">
        <v>5.17794306347486</v>
      </c>
      <c r="AD81">
        <v>0.26348740047453501</v>
      </c>
      <c r="AE81">
        <v>4.6465711223890001</v>
      </c>
    </row>
    <row r="82" spans="1:31" x14ac:dyDescent="0.2">
      <c r="A82">
        <v>81</v>
      </c>
      <c r="B82">
        <v>776</v>
      </c>
      <c r="C82">
        <v>150</v>
      </c>
      <c r="D82">
        <v>0.447600915026452</v>
      </c>
      <c r="E82">
        <v>105.056093280513</v>
      </c>
      <c r="F82">
        <v>2.2046901400240801</v>
      </c>
      <c r="G82">
        <v>-1715.2028216700576</v>
      </c>
      <c r="H82">
        <v>-1437.2118497572067</v>
      </c>
      <c r="I82">
        <v>264.96780433002903</v>
      </c>
      <c r="J82">
        <v>140.252682637699</v>
      </c>
      <c r="K82">
        <v>47.651182981825201</v>
      </c>
      <c r="L82">
        <v>1.3301718746273205E-4</v>
      </c>
      <c r="M82">
        <v>1.6965544848537761E-5</v>
      </c>
      <c r="N82" s="1">
        <v>2.6684364979510502E-6</v>
      </c>
      <c r="O82" s="1">
        <v>8.2895012069596097E-8</v>
      </c>
      <c r="P82" s="1">
        <v>-4.1605268478362599E-7</v>
      </c>
      <c r="Q82">
        <v>73.684445692574798</v>
      </c>
      <c r="R82">
        <v>6.6631070901419301E-2</v>
      </c>
      <c r="S82">
        <v>12.145892352887699</v>
      </c>
      <c r="T82">
        <v>0.19795981252078099</v>
      </c>
      <c r="V82">
        <v>0.46424469798419599</v>
      </c>
      <c r="W82">
        <v>9.5187244144883994E-3</v>
      </c>
      <c r="X82">
        <v>8.56685197303972E-2</v>
      </c>
      <c r="AA82">
        <v>0.92331626820537904</v>
      </c>
      <c r="AB82">
        <v>3.2078101276825901</v>
      </c>
      <c r="AC82">
        <v>4.7783996560731596</v>
      </c>
      <c r="AD82">
        <v>1.9037448828976501E-2</v>
      </c>
      <c r="AE82">
        <v>4.4170756281959704</v>
      </c>
    </row>
    <row r="83" spans="1:31" x14ac:dyDescent="0.2">
      <c r="A83">
        <v>82</v>
      </c>
      <c r="B83">
        <v>775</v>
      </c>
      <c r="C83">
        <v>150</v>
      </c>
      <c r="D83">
        <v>0.44700710776129698</v>
      </c>
      <c r="E83">
        <v>105.055898041782</v>
      </c>
      <c r="F83">
        <v>2.2049901946713799</v>
      </c>
      <c r="G83">
        <v>-1714.9334196269688</v>
      </c>
      <c r="H83">
        <v>-1437.3497803955177</v>
      </c>
      <c r="I83">
        <v>264.831979422269</v>
      </c>
      <c r="J83">
        <v>140.23949193055901</v>
      </c>
      <c r="K83">
        <v>47.6446100738506</v>
      </c>
      <c r="L83">
        <v>1.3297480406982773E-4</v>
      </c>
      <c r="M83">
        <v>1.6958722323042009E-5</v>
      </c>
      <c r="N83" s="1">
        <v>2.6713823570608299E-6</v>
      </c>
      <c r="O83" s="1">
        <v>8.2832327990406394E-8</v>
      </c>
      <c r="P83" s="1">
        <v>-4.1594567445624698E-7</v>
      </c>
      <c r="Q83">
        <v>73.684582629761096</v>
      </c>
      <c r="R83">
        <v>6.6631194730409404E-2</v>
      </c>
      <c r="S83">
        <v>12.1459149251439</v>
      </c>
      <c r="T83">
        <v>0.19825666287847099</v>
      </c>
      <c r="V83">
        <v>0.46397878256347402</v>
      </c>
      <c r="W83">
        <v>9.5187421043440804E-3</v>
      </c>
      <c r="X83">
        <v>8.5668678939099394E-2</v>
      </c>
      <c r="AA83">
        <v>0.92331798412138399</v>
      </c>
      <c r="AB83">
        <v>3.2078160891639702</v>
      </c>
      <c r="AC83">
        <v>4.7784085363806996</v>
      </c>
      <c r="AD83">
        <v>1.9037484208687699E-2</v>
      </c>
      <c r="AE83">
        <v>4.4168682900043699</v>
      </c>
    </row>
    <row r="84" spans="1:31" x14ac:dyDescent="0.2">
      <c r="A84">
        <v>83</v>
      </c>
      <c r="B84">
        <v>774</v>
      </c>
      <c r="C84">
        <v>150</v>
      </c>
      <c r="D84">
        <v>0.44641216635630598</v>
      </c>
      <c r="E84">
        <v>104.77467388164899</v>
      </c>
      <c r="F84">
        <v>2.20527414461497</v>
      </c>
      <c r="G84">
        <v>-1709.9831469520434</v>
      </c>
      <c r="H84">
        <v>-1433.608838242335</v>
      </c>
      <c r="I84">
        <v>263.93000879502301</v>
      </c>
      <c r="J84">
        <v>139.82113214630701</v>
      </c>
      <c r="K84">
        <v>47.510951931984103</v>
      </c>
      <c r="L84">
        <v>1.3280417722381606E-4</v>
      </c>
      <c r="M84">
        <v>1.6944859602395387E-5</v>
      </c>
      <c r="N84" s="1">
        <v>2.6644818270691102E-6</v>
      </c>
      <c r="O84" s="1">
        <v>8.2472848141016194E-8</v>
      </c>
      <c r="P84" s="1">
        <v>-4.1417700835959902E-7</v>
      </c>
      <c r="Q84">
        <v>73.722312254029404</v>
      </c>
      <c r="R84">
        <v>6.6810038539533406E-2</v>
      </c>
      <c r="S84">
        <v>12.1214694613509</v>
      </c>
      <c r="T84">
        <v>0.199044054277495</v>
      </c>
      <c r="V84">
        <v>0.46499446117778998</v>
      </c>
      <c r="W84">
        <v>9.5442912199331393E-3</v>
      </c>
      <c r="X84">
        <v>8.5898620979402804E-2</v>
      </c>
      <c r="AA84">
        <v>0.91607716730577304</v>
      </c>
      <c r="AB84">
        <v>3.1947362263599399</v>
      </c>
      <c r="AC84">
        <v>4.7878218885833501</v>
      </c>
      <c r="AD84">
        <v>1.9088582439865501E-2</v>
      </c>
      <c r="AE84">
        <v>4.4122029537365401</v>
      </c>
    </row>
    <row r="85" spans="1:31" x14ac:dyDescent="0.2">
      <c r="A85">
        <v>84</v>
      </c>
      <c r="B85">
        <v>773</v>
      </c>
      <c r="C85">
        <v>150</v>
      </c>
      <c r="D85">
        <v>0.44581608755914398</v>
      </c>
      <c r="E85">
        <v>104.450078414015</v>
      </c>
      <c r="F85">
        <v>2.2055575461739001</v>
      </c>
      <c r="G85">
        <v>-1704.3128399071559</v>
      </c>
      <c r="H85">
        <v>-1429.2690507706541</v>
      </c>
      <c r="I85">
        <v>262.910470904269</v>
      </c>
      <c r="J85">
        <v>139.34048388605601</v>
      </c>
      <c r="K85">
        <v>47.357675430056602</v>
      </c>
      <c r="L85">
        <v>1.3261295644296307E-4</v>
      </c>
      <c r="M85">
        <v>1.6929879998437052E-5</v>
      </c>
      <c r="N85" s="1">
        <v>2.65603647603546E-6</v>
      </c>
      <c r="O85" s="1">
        <v>8.20679917187362E-8</v>
      </c>
      <c r="P85" s="1">
        <v>-4.1215129650183498E-7</v>
      </c>
      <c r="Q85">
        <v>73.765828663939999</v>
      </c>
      <c r="R85">
        <v>6.7017661511499294E-2</v>
      </c>
      <c r="S85">
        <v>12.093289823270901</v>
      </c>
      <c r="T85">
        <v>0.19991254021553201</v>
      </c>
      <c r="V85">
        <v>0.46621462171926698</v>
      </c>
      <c r="W85">
        <v>9.5739516444996106E-3</v>
      </c>
      <c r="X85">
        <v>8.6165564800503094E-2</v>
      </c>
      <c r="AA85">
        <v>0.907902198106876</v>
      </c>
      <c r="AB85">
        <v>3.17949083141459</v>
      </c>
      <c r="AC85">
        <v>4.7986386262220897</v>
      </c>
      <c r="AD85">
        <v>1.9147903288998E-2</v>
      </c>
      <c r="AE85">
        <v>4.4068176138650799</v>
      </c>
    </row>
    <row r="86" spans="1:31" x14ac:dyDescent="0.2">
      <c r="A86">
        <v>85</v>
      </c>
      <c r="B86">
        <v>772</v>
      </c>
      <c r="C86">
        <v>150</v>
      </c>
      <c r="D86">
        <v>0.44521886810505501</v>
      </c>
      <c r="E86">
        <v>104.12519724649999</v>
      </c>
      <c r="F86">
        <v>2.2058429824211601</v>
      </c>
      <c r="G86">
        <v>-1698.640335651379</v>
      </c>
      <c r="H86">
        <v>-1424.9250934920583</v>
      </c>
      <c r="I86">
        <v>261.890869405655</v>
      </c>
      <c r="J86">
        <v>138.85967795937799</v>
      </c>
      <c r="K86">
        <v>47.2042652520133</v>
      </c>
      <c r="L86">
        <v>1.324207220920409E-4</v>
      </c>
      <c r="M86">
        <v>1.6914860322838697E-5</v>
      </c>
      <c r="N86" s="1">
        <v>2.6475539588396201E-6</v>
      </c>
      <c r="O86" s="1">
        <v>8.1663291357233702E-8</v>
      </c>
      <c r="P86" s="1">
        <v>-4.1012321464519001E-7</v>
      </c>
      <c r="Q86">
        <v>73.809373499717495</v>
      </c>
      <c r="R86">
        <v>6.7226763407022799E-2</v>
      </c>
      <c r="S86">
        <v>12.065127171419</v>
      </c>
      <c r="T86">
        <v>0.20078748222352599</v>
      </c>
      <c r="V86">
        <v>0.46744323089740197</v>
      </c>
      <c r="W86">
        <v>9.6038233438600299E-3</v>
      </c>
      <c r="X86">
        <v>8.6434410094748296E-2</v>
      </c>
      <c r="AA86">
        <v>0.89991430832448605</v>
      </c>
      <c r="AB86">
        <v>3.1640783987867298</v>
      </c>
      <c r="AC86">
        <v>4.8094103115287403</v>
      </c>
      <c r="AD86">
        <v>1.92076466877187E-2</v>
      </c>
      <c r="AE86">
        <v>4.4013929535691299</v>
      </c>
    </row>
    <row r="87" spans="1:31" x14ac:dyDescent="0.2">
      <c r="A87">
        <v>86</v>
      </c>
      <c r="B87">
        <v>771</v>
      </c>
      <c r="C87">
        <v>150</v>
      </c>
      <c r="D87">
        <v>0.44462050471675502</v>
      </c>
      <c r="E87">
        <v>103.80007395077099</v>
      </c>
      <c r="F87">
        <v>2.20613039230241</v>
      </c>
      <c r="G87">
        <v>-1692.9663817612129</v>
      </c>
      <c r="H87">
        <v>-1420.5775743081228</v>
      </c>
      <c r="I87">
        <v>260.87133788544702</v>
      </c>
      <c r="J87">
        <v>138.37877705622</v>
      </c>
      <c r="K87">
        <v>47.050742926595902</v>
      </c>
      <c r="L87">
        <v>1.3222750166307822E-4</v>
      </c>
      <c r="M87">
        <v>1.6899803495405151E-5</v>
      </c>
      <c r="N87" s="1">
        <v>2.6390364429393899E-6</v>
      </c>
      <c r="O87" s="1">
        <v>8.1258812905257998E-8</v>
      </c>
      <c r="P87" s="1">
        <v>-4.0809312141158902E-7</v>
      </c>
      <c r="Q87">
        <v>73.852946597638294</v>
      </c>
      <c r="R87">
        <v>6.7437331531381997E-2</v>
      </c>
      <c r="S87">
        <v>12.0369817939699</v>
      </c>
      <c r="T87">
        <v>0.20166887029808001</v>
      </c>
      <c r="V87">
        <v>0.46868017532710099</v>
      </c>
      <c r="W87">
        <v>9.6339045044826505E-3</v>
      </c>
      <c r="X87">
        <v>8.6705140540354497E-2</v>
      </c>
      <c r="AA87">
        <v>0.89211223142648099</v>
      </c>
      <c r="AB87">
        <v>3.1485037554665798</v>
      </c>
      <c r="AC87">
        <v>4.8201320048160197</v>
      </c>
      <c r="AD87">
        <v>1.92678090089634E-2</v>
      </c>
      <c r="AE87">
        <v>4.3959303854721599</v>
      </c>
    </row>
    <row r="88" spans="1:31" x14ac:dyDescent="0.2">
      <c r="A88">
        <v>87</v>
      </c>
      <c r="B88">
        <v>770</v>
      </c>
      <c r="C88">
        <v>150</v>
      </c>
      <c r="D88">
        <v>0.44402099410439499</v>
      </c>
      <c r="E88">
        <v>103.47475114095801</v>
      </c>
      <c r="F88">
        <v>2.2064197134758499</v>
      </c>
      <c r="G88">
        <v>-1687.2917097635739</v>
      </c>
      <c r="H88">
        <v>-1416.2270883484321</v>
      </c>
      <c r="I88">
        <v>259.85200730013997</v>
      </c>
      <c r="J88">
        <v>137.89784249563201</v>
      </c>
      <c r="K88">
        <v>46.897129548371801</v>
      </c>
      <c r="L88">
        <v>1.3203332308193148E-4</v>
      </c>
      <c r="M88">
        <v>1.6884712488477332E-5</v>
      </c>
      <c r="N88" s="1">
        <v>2.6304860832358001E-6</v>
      </c>
      <c r="O88" s="1">
        <v>8.0854621319357196E-8</v>
      </c>
      <c r="P88" s="1">
        <v>-4.06061370993292E-7</v>
      </c>
      <c r="Q88">
        <v>73.896547874147004</v>
      </c>
      <c r="R88">
        <v>6.7649353323540495E-2</v>
      </c>
      <c r="S88">
        <v>12.0088539311354</v>
      </c>
      <c r="T88">
        <v>0.20255669478232699</v>
      </c>
      <c r="V88">
        <v>0.46992534260045299</v>
      </c>
      <c r="W88">
        <v>9.66419333193381E-3</v>
      </c>
      <c r="X88">
        <v>8.6977739987416397E-2</v>
      </c>
      <c r="AA88">
        <v>0.88449465883565104</v>
      </c>
      <c r="AB88">
        <v>3.1327718194449301</v>
      </c>
      <c r="AC88">
        <v>4.8307986543649601</v>
      </c>
      <c r="AD88">
        <v>1.93283866638655E-2</v>
      </c>
      <c r="AE88">
        <v>4.3904313513823103</v>
      </c>
    </row>
    <row r="89" spans="1:31" x14ac:dyDescent="0.2">
      <c r="A89">
        <v>88</v>
      </c>
      <c r="B89">
        <v>769</v>
      </c>
      <c r="C89">
        <v>150</v>
      </c>
      <c r="D89">
        <v>0.44342033296550898</v>
      </c>
      <c r="E89">
        <v>103.149270298578</v>
      </c>
      <c r="F89">
        <v>2.20671088236795</v>
      </c>
      <c r="G89">
        <v>-1681.6170322837245</v>
      </c>
      <c r="H89">
        <v>-1411.874215585286</v>
      </c>
      <c r="I89">
        <v>258.83300551594101</v>
      </c>
      <c r="J89">
        <v>137.416933986468</v>
      </c>
      <c r="K89">
        <v>46.743445696833902</v>
      </c>
      <c r="L89">
        <v>1.3183821465694958E-4</v>
      </c>
      <c r="M89">
        <v>1.6869590325306308E-5</v>
      </c>
      <c r="N89" s="1">
        <v>2.6219050164411998E-6</v>
      </c>
      <c r="O89" s="1">
        <v>8.0450780499436599E-8</v>
      </c>
      <c r="P89" s="1">
        <v>-4.04028312171194E-7</v>
      </c>
      <c r="Q89">
        <v>73.940177338869404</v>
      </c>
      <c r="R89">
        <v>6.7862816476915902E-2</v>
      </c>
      <c r="S89">
        <v>11.9807437679312</v>
      </c>
      <c r="T89">
        <v>0.203450946682492</v>
      </c>
      <c r="V89">
        <v>0.47117862216565098</v>
      </c>
      <c r="W89">
        <v>9.6946880681299703E-3</v>
      </c>
      <c r="X89">
        <v>8.7252192613189103E-2</v>
      </c>
      <c r="AA89">
        <v>0.87706024563847496</v>
      </c>
      <c r="AB89">
        <v>3.1168875907442799</v>
      </c>
      <c r="AC89">
        <v>4.8414050937497803</v>
      </c>
      <c r="AD89">
        <v>1.93893761362566E-2</v>
      </c>
      <c r="AE89">
        <v>4.38489732092411</v>
      </c>
    </row>
    <row r="90" spans="1:31" x14ac:dyDescent="0.2">
      <c r="A90">
        <v>89</v>
      </c>
      <c r="B90">
        <v>768</v>
      </c>
      <c r="C90">
        <v>150</v>
      </c>
      <c r="D90">
        <v>0.442818517984921</v>
      </c>
      <c r="E90">
        <v>101.62375233343801</v>
      </c>
      <c r="F90">
        <v>2.2074817802759501</v>
      </c>
      <c r="G90">
        <v>-1656.0134822875962</v>
      </c>
      <c r="H90">
        <v>-1390.7612271038915</v>
      </c>
      <c r="I90">
        <v>254.768530167318</v>
      </c>
      <c r="J90">
        <v>135.34683954610901</v>
      </c>
      <c r="K90">
        <v>46.036054857374502</v>
      </c>
      <c r="L90">
        <v>1.3166039435578069E-4</v>
      </c>
      <c r="M90">
        <v>1.6839514630513764E-5</v>
      </c>
      <c r="N90" s="1">
        <v>2.5794115376518698E-6</v>
      </c>
      <c r="O90" s="1">
        <v>7.9021006019111497E-8</v>
      </c>
      <c r="P90" s="1">
        <v>-3.9743360515201301E-7</v>
      </c>
      <c r="Q90">
        <v>73.909909543149595</v>
      </c>
      <c r="R90">
        <v>6.8881534476630202E-2</v>
      </c>
      <c r="S90">
        <v>11.985156666990401</v>
      </c>
      <c r="T90">
        <v>0.20690237541310899</v>
      </c>
      <c r="V90">
        <v>0.47789415776148902</v>
      </c>
      <c r="W90">
        <v>9.8402192109461103E-3</v>
      </c>
      <c r="X90">
        <v>8.8561972898538094E-2</v>
      </c>
      <c r="AA90">
        <v>0.863588167448195</v>
      </c>
      <c r="AB90">
        <v>3.0952423781575198</v>
      </c>
      <c r="AC90">
        <v>4.9007565154461501</v>
      </c>
      <c r="AD90">
        <v>1.96804384218883E-2</v>
      </c>
      <c r="AE90">
        <v>4.3735860306253</v>
      </c>
    </row>
    <row r="91" spans="1:31" x14ac:dyDescent="0.2">
      <c r="A91">
        <v>90</v>
      </c>
      <c r="B91">
        <v>767</v>
      </c>
      <c r="C91">
        <v>150</v>
      </c>
      <c r="D91">
        <v>0.44221554583473799</v>
      </c>
      <c r="E91">
        <v>100.08075218582201</v>
      </c>
      <c r="F91">
        <v>2.2082768435798199</v>
      </c>
      <c r="G91">
        <v>-1630.1356975848164</v>
      </c>
      <c r="H91">
        <v>-1369.4081360197563</v>
      </c>
      <c r="I91">
        <v>250.66342504932899</v>
      </c>
      <c r="J91">
        <v>133.254355003494</v>
      </c>
      <c r="K91">
        <v>45.320745212172604</v>
      </c>
      <c r="L91">
        <v>1.3147779706224204E-4</v>
      </c>
      <c r="M91">
        <v>1.6808798872797997E-5</v>
      </c>
      <c r="N91" s="1">
        <v>2.5363785115183101E-6</v>
      </c>
      <c r="O91" s="1">
        <v>7.7579746974920101E-8</v>
      </c>
      <c r="P91" s="1">
        <v>-3.9076359134025302E-7</v>
      </c>
      <c r="Q91">
        <v>73.8783936202002</v>
      </c>
      <c r="R91">
        <v>6.9943519079505995E-2</v>
      </c>
      <c r="S91">
        <v>11.9900280552078</v>
      </c>
      <c r="T91">
        <v>0.21049579697047399</v>
      </c>
      <c r="V91">
        <v>0.48489904760736002</v>
      </c>
      <c r="W91">
        <v>9.9919312970709502E-3</v>
      </c>
      <c r="X91">
        <v>8.9927381673668094E-2</v>
      </c>
      <c r="AA91">
        <v>0.85080325170612703</v>
      </c>
      <c r="AB91">
        <v>3.0723907781631201</v>
      </c>
      <c r="AC91">
        <v>4.9611999978814199</v>
      </c>
      <c r="AD91">
        <v>1.99838625941368E-2</v>
      </c>
      <c r="AE91">
        <v>4.3619427576189702</v>
      </c>
    </row>
    <row r="92" spans="1:31" x14ac:dyDescent="0.2">
      <c r="A92">
        <v>91</v>
      </c>
      <c r="B92">
        <v>766</v>
      </c>
      <c r="C92">
        <v>150</v>
      </c>
      <c r="D92">
        <v>0.44161141317423203</v>
      </c>
      <c r="E92">
        <v>98.526978189134496</v>
      </c>
      <c r="F92">
        <v>2.20909277043289</v>
      </c>
      <c r="G92">
        <v>-1604.0966723684724</v>
      </c>
      <c r="H92">
        <v>-1347.909844264678</v>
      </c>
      <c r="I92">
        <v>246.53498349977801</v>
      </c>
      <c r="J92">
        <v>131.14834552793101</v>
      </c>
      <c r="K92">
        <v>44.600652135504099</v>
      </c>
      <c r="L92">
        <v>1.3129004930294725E-4</v>
      </c>
      <c r="M92">
        <v>1.6777572046458239E-5</v>
      </c>
      <c r="N92" s="1">
        <v>2.4930125026882201E-6</v>
      </c>
      <c r="O92" s="1">
        <v>7.6133254438597994E-8</v>
      </c>
      <c r="P92" s="1">
        <v>-3.8404337550262999E-7</v>
      </c>
      <c r="Q92">
        <v>73.8463214179733</v>
      </c>
      <c r="R92">
        <v>7.1046530895964993E-2</v>
      </c>
      <c r="S92">
        <v>11.995024467056</v>
      </c>
      <c r="T92">
        <v>0.21422345994751499</v>
      </c>
      <c r="V92">
        <v>0.49217867718982</v>
      </c>
      <c r="W92">
        <v>1.0149504413707801E-2</v>
      </c>
      <c r="X92">
        <v>9.1345539723403299E-2</v>
      </c>
      <c r="AA92">
        <v>0.83880967531014605</v>
      </c>
      <c r="AB92">
        <v>3.0483263466325701</v>
      </c>
      <c r="AC92">
        <v>5.0222628054464504</v>
      </c>
      <c r="AD92">
        <v>2.0299008827409801E-2</v>
      </c>
      <c r="AE92">
        <v>4.3500125665835601</v>
      </c>
    </row>
    <row r="93" spans="1:31" x14ac:dyDescent="0.2">
      <c r="A93">
        <v>92</v>
      </c>
      <c r="B93">
        <v>765</v>
      </c>
      <c r="C93">
        <v>150</v>
      </c>
      <c r="D93">
        <v>0.44100611664981298</v>
      </c>
      <c r="E93">
        <v>96.954884642573006</v>
      </c>
      <c r="F93">
        <v>2.2099316395935902</v>
      </c>
      <c r="G93">
        <v>-1577.7732109671476</v>
      </c>
      <c r="H93">
        <v>-1326.162625737004</v>
      </c>
      <c r="I93">
        <v>242.36438398125799</v>
      </c>
      <c r="J93">
        <v>129.01878832921801</v>
      </c>
      <c r="K93">
        <v>43.8723455990716</v>
      </c>
      <c r="L93">
        <v>1.3109691237350889E-4</v>
      </c>
      <c r="M93">
        <v>1.6745805329879934E-5</v>
      </c>
      <c r="N93" s="1">
        <v>2.4491225370710998E-6</v>
      </c>
      <c r="O93" s="1">
        <v>7.4675739857627906E-8</v>
      </c>
      <c r="P93" s="1">
        <v>-3.7724349207822299E-7</v>
      </c>
      <c r="Q93">
        <v>73.813611649556705</v>
      </c>
      <c r="R93">
        <v>7.2198528478540802E-2</v>
      </c>
      <c r="S93">
        <v>12.0001429460991</v>
      </c>
      <c r="T93">
        <v>0.21810961095723999</v>
      </c>
      <c r="V93">
        <v>0.49978795527048703</v>
      </c>
      <c r="W93">
        <v>1.0314075496932701E-2</v>
      </c>
      <c r="X93">
        <v>9.28266794724317E-2</v>
      </c>
      <c r="AA93">
        <v>0.82766425871778604</v>
      </c>
      <c r="AB93">
        <v>3.0229646875729199</v>
      </c>
      <c r="AC93">
        <v>5.0839730378086001</v>
      </c>
      <c r="AD93">
        <v>2.0628150993859298E-2</v>
      </c>
      <c r="AE93">
        <v>4.3377784195752502</v>
      </c>
    </row>
    <row r="94" spans="1:31" x14ac:dyDescent="0.2">
      <c r="A94">
        <v>93</v>
      </c>
      <c r="B94">
        <v>764</v>
      </c>
      <c r="C94">
        <v>150</v>
      </c>
      <c r="D94">
        <v>0.44039965289495597</v>
      </c>
      <c r="E94">
        <v>88.250960818082604</v>
      </c>
      <c r="F94">
        <v>2.21170533960239</v>
      </c>
      <c r="G94">
        <v>-1434.995366908691</v>
      </c>
      <c r="H94">
        <v>-1206.420859165064</v>
      </c>
      <c r="I94">
        <v>220.38712601227101</v>
      </c>
      <c r="J94">
        <v>117.417778739149</v>
      </c>
      <c r="K94">
        <v>39.9017713787985</v>
      </c>
      <c r="L94">
        <v>1.3097751758750576E-4</v>
      </c>
      <c r="M94">
        <v>1.6717329535299997E-5</v>
      </c>
      <c r="N94" s="1">
        <v>2.22579394850293E-6</v>
      </c>
      <c r="O94" s="1">
        <v>6.7756467455012005E-8</v>
      </c>
      <c r="P94" s="1">
        <v>-3.4266454499450598E-7</v>
      </c>
      <c r="Q94">
        <v>73.729903493370102</v>
      </c>
      <c r="R94">
        <v>7.9319249729531402E-2</v>
      </c>
      <c r="S94">
        <v>11.9965755590532</v>
      </c>
      <c r="T94">
        <v>0.23978408836193399</v>
      </c>
      <c r="V94">
        <v>0.54893386092316199</v>
      </c>
      <c r="W94">
        <v>1.13313213899309E-2</v>
      </c>
      <c r="X94">
        <v>0.101981892509429</v>
      </c>
      <c r="AA94">
        <v>0.836352796443524</v>
      </c>
      <c r="AB94">
        <v>2.9849193385681598</v>
      </c>
      <c r="AC94">
        <v>5.1221218970642202</v>
      </c>
      <c r="AD94">
        <v>2.2662642779853401E-2</v>
      </c>
      <c r="AE94">
        <v>4.3261138598067701</v>
      </c>
    </row>
    <row r="95" spans="1:31" x14ac:dyDescent="0.2">
      <c r="A95">
        <v>94</v>
      </c>
      <c r="B95">
        <v>763</v>
      </c>
      <c r="C95">
        <v>150</v>
      </c>
      <c r="D95">
        <v>0.43979201853014099</v>
      </c>
      <c r="E95">
        <v>73.462152048994497</v>
      </c>
      <c r="F95">
        <v>2.2147225032707198</v>
      </c>
      <c r="G95">
        <v>-1193.0218806065898</v>
      </c>
      <c r="H95">
        <v>-1003.1059587063312</v>
      </c>
      <c r="I95">
        <v>183.28998880495899</v>
      </c>
      <c r="J95">
        <v>97.7468106525167</v>
      </c>
      <c r="K95">
        <v>33.1699126822908</v>
      </c>
      <c r="L95">
        <v>1.3101843293380984E-4</v>
      </c>
      <c r="M95">
        <v>1.6698240912468653E-5</v>
      </c>
      <c r="N95" s="1">
        <v>1.85134821851428E-6</v>
      </c>
      <c r="O95" s="1">
        <v>5.6259730089130698E-8</v>
      </c>
      <c r="P95" s="1">
        <v>-2.8471109364216898E-7</v>
      </c>
      <c r="Q95">
        <v>73.573281805039301</v>
      </c>
      <c r="R95">
        <v>9.5287162229230102E-2</v>
      </c>
      <c r="S95">
        <v>11.9777521893703</v>
      </c>
      <c r="T95">
        <v>0.28776294284919601</v>
      </c>
      <c r="V95">
        <v>0.65970404148686801</v>
      </c>
      <c r="W95">
        <v>1.36124517470283E-2</v>
      </c>
      <c r="X95">
        <v>0.12251206572335301</v>
      </c>
      <c r="AA95">
        <v>0.86614843613408199</v>
      </c>
      <c r="AB95">
        <v>2.9400814796668402</v>
      </c>
      <c r="AC95">
        <v>5.1188243345841604</v>
      </c>
      <c r="AD95">
        <v>2.72249034940437E-2</v>
      </c>
      <c r="AE95">
        <v>4.3178081876754497</v>
      </c>
    </row>
    <row r="96" spans="1:31" x14ac:dyDescent="0.2">
      <c r="A96">
        <v>95</v>
      </c>
      <c r="B96">
        <v>762</v>
      </c>
      <c r="C96">
        <v>150</v>
      </c>
      <c r="D96">
        <v>0.439183210162781</v>
      </c>
      <c r="E96">
        <v>27.1586706436443</v>
      </c>
      <c r="F96">
        <v>2.2173158362123702</v>
      </c>
      <c r="G96">
        <v>-441.07666257146286</v>
      </c>
      <c r="H96">
        <v>-371.10016289815746</v>
      </c>
      <c r="I96">
        <v>67.600347460083498</v>
      </c>
      <c r="J96">
        <v>36.154240637455203</v>
      </c>
      <c r="K96">
        <v>12.248444808853501</v>
      </c>
      <c r="L96">
        <v>1.3021798368418098E-4</v>
      </c>
      <c r="M96">
        <v>1.6613730637261411E-5</v>
      </c>
      <c r="N96" s="1">
        <v>6.7878283628305497E-7</v>
      </c>
      <c r="O96" s="1">
        <v>2.0602159768115201E-8</v>
      </c>
      <c r="P96" s="1">
        <v>-1.04154329807222E-7</v>
      </c>
      <c r="Q96">
        <v>73.434723342989798</v>
      </c>
      <c r="R96">
        <v>0.139990473101889</v>
      </c>
      <c r="S96">
        <v>12.0485860413428</v>
      </c>
      <c r="T96">
        <v>0.25011552970387202</v>
      </c>
      <c r="V96">
        <v>0.57218300363149099</v>
      </c>
      <c r="W96">
        <v>3.68206534524783E-2</v>
      </c>
      <c r="X96">
        <v>0.180839757697836</v>
      </c>
      <c r="AA96">
        <v>0.99645302924672396</v>
      </c>
      <c r="AB96">
        <v>2.7660767335321101</v>
      </c>
      <c r="AC96">
        <v>5.2232846932350601</v>
      </c>
      <c r="AD96">
        <v>7.3641306904902296E-2</v>
      </c>
      <c r="AE96">
        <v>4.2772854351609499</v>
      </c>
    </row>
    <row r="97" spans="1:31" x14ac:dyDescent="0.2">
      <c r="A97">
        <v>96</v>
      </c>
      <c r="B97">
        <v>761</v>
      </c>
      <c r="C97">
        <v>150</v>
      </c>
      <c r="D97">
        <v>0.43857322438717999</v>
      </c>
      <c r="E97">
        <v>12.7999110560829</v>
      </c>
      <c r="F97">
        <v>2.21983571704147</v>
      </c>
      <c r="G97">
        <v>-207.8001214433273</v>
      </c>
      <c r="H97">
        <v>-174.90362476028474</v>
      </c>
      <c r="I97">
        <v>31.810179067874699</v>
      </c>
      <c r="J97">
        <v>17.051830671978198</v>
      </c>
      <c r="K97">
        <v>5.7661524039005299</v>
      </c>
      <c r="L97">
        <v>1.2992488576965607E-4</v>
      </c>
      <c r="M97">
        <v>1.657666081595084E-5</v>
      </c>
      <c r="N97" s="1">
        <v>3.1902460537393602E-7</v>
      </c>
      <c r="O97" s="1">
        <v>9.6665998094824805E-9</v>
      </c>
      <c r="P97" s="1">
        <v>-4.8846219086574701E-8</v>
      </c>
      <c r="Q97">
        <v>73.183518406054006</v>
      </c>
      <c r="R97">
        <v>0.17934037320981999</v>
      </c>
      <c r="S97">
        <v>12.142344664082099</v>
      </c>
      <c r="T97">
        <v>0.23701660822316001</v>
      </c>
      <c r="V97">
        <v>0.54148641107954498</v>
      </c>
      <c r="W97">
        <v>7.8125542874322607E-2</v>
      </c>
      <c r="X97">
        <v>0.188032938334149</v>
      </c>
      <c r="AA97">
        <v>1.1073654596237399</v>
      </c>
      <c r="AB97">
        <v>2.65853770047663</v>
      </c>
      <c r="AC97">
        <v>5.2673815687483998</v>
      </c>
      <c r="AD97">
        <v>0.156251085748492</v>
      </c>
      <c r="AE97">
        <v>4.2605992415455702</v>
      </c>
    </row>
    <row r="98" spans="1:31" x14ac:dyDescent="0.2">
      <c r="A98">
        <v>97</v>
      </c>
      <c r="B98">
        <v>760</v>
      </c>
      <c r="C98">
        <v>150</v>
      </c>
      <c r="D98">
        <v>0.43796205778444602</v>
      </c>
      <c r="E98">
        <v>7.8370265965732102</v>
      </c>
      <c r="F98">
        <v>2.2221358083296798</v>
      </c>
      <c r="G98">
        <v>-127.17658279070793</v>
      </c>
      <c r="H98">
        <v>-107.07923356837532</v>
      </c>
      <c r="I98">
        <v>19.4524988843175</v>
      </c>
      <c r="J98">
        <v>10.450624415513101</v>
      </c>
      <c r="K98">
        <v>3.5267991124557101</v>
      </c>
      <c r="L98">
        <v>1.2982799050526256E-4</v>
      </c>
      <c r="M98">
        <v>1.6559163207490723E-5</v>
      </c>
      <c r="N98" s="1">
        <v>1.9529143753116099E-7</v>
      </c>
      <c r="O98" s="1">
        <v>5.90603728936954E-9</v>
      </c>
      <c r="P98" s="1">
        <v>-2.98376443562597E-8</v>
      </c>
      <c r="Q98">
        <v>72.896318259731501</v>
      </c>
      <c r="R98">
        <v>0.200756947155002</v>
      </c>
      <c r="S98">
        <v>12.2446943718751</v>
      </c>
      <c r="T98">
        <v>0.22958443824834099</v>
      </c>
      <c r="V98">
        <v>0.52390504581487696</v>
      </c>
      <c r="W98">
        <v>0.12759941384361201</v>
      </c>
      <c r="X98">
        <v>0.19194186518748099</v>
      </c>
      <c r="AA98">
        <v>1.2143311242686601</v>
      </c>
      <c r="AB98">
        <v>2.5760365083906298</v>
      </c>
      <c r="AC98">
        <v>5.2846929553997404</v>
      </c>
      <c r="AD98">
        <v>0.25519882768696101</v>
      </c>
      <c r="AE98">
        <v>4.2549402423979901</v>
      </c>
    </row>
    <row r="99" spans="1:31" x14ac:dyDescent="0.2">
      <c r="A99">
        <v>98</v>
      </c>
      <c r="B99">
        <v>788</v>
      </c>
      <c r="C99">
        <v>125</v>
      </c>
      <c r="D99">
        <v>0.48055458700466802</v>
      </c>
      <c r="E99">
        <v>104.607732444031</v>
      </c>
      <c r="F99">
        <v>2.2067566338789302</v>
      </c>
      <c r="G99">
        <v>-1709.6012442000379</v>
      </c>
      <c r="H99">
        <v>-1430.9764872878552</v>
      </c>
      <c r="I99">
        <v>262.56868200742798</v>
      </c>
      <c r="J99">
        <v>139.31176423984499</v>
      </c>
      <c r="K99">
        <v>47.403384151226902</v>
      </c>
      <c r="L99">
        <v>1.2660570901645447E-4</v>
      </c>
      <c r="M99">
        <v>1.6644833493034803E-5</v>
      </c>
      <c r="N99" s="1">
        <v>2.39570610689989E-6</v>
      </c>
      <c r="O99" s="1">
        <v>7.7502677072578702E-8</v>
      </c>
      <c r="P99" s="1">
        <v>-3.8212885557638302E-7</v>
      </c>
      <c r="Q99">
        <v>74.000265746547498</v>
      </c>
      <c r="R99">
        <v>6.6916659375493501E-2</v>
      </c>
      <c r="S99">
        <v>12.1979510518761</v>
      </c>
      <c r="T99">
        <v>0.19778760834327799</v>
      </c>
      <c r="V99">
        <v>0.46715292608116898</v>
      </c>
      <c r="W99">
        <v>9.5595227679275696E-3</v>
      </c>
      <c r="X99">
        <v>8.6035704911349806E-2</v>
      </c>
      <c r="AA99">
        <v>0.92727370848897905</v>
      </c>
      <c r="AB99">
        <v>3.2215591727916002</v>
      </c>
      <c r="AC99">
        <v>4.7988804294996203</v>
      </c>
      <c r="AD99">
        <v>1.9119045535854799E-2</v>
      </c>
      <c r="AE99">
        <v>4.0074984237809899</v>
      </c>
    </row>
    <row r="100" spans="1:31" x14ac:dyDescent="0.2">
      <c r="A100">
        <v>99</v>
      </c>
      <c r="B100">
        <v>787</v>
      </c>
      <c r="C100">
        <v>125</v>
      </c>
      <c r="D100">
        <v>0.479998585105882</v>
      </c>
      <c r="E100">
        <v>104.410310903511</v>
      </c>
      <c r="F100">
        <v>2.2070049935365899</v>
      </c>
      <c r="G100">
        <v>-1706.0498625553271</v>
      </c>
      <c r="H100">
        <v>-1428.3910563985326</v>
      </c>
      <c r="I100">
        <v>261.905207901518</v>
      </c>
      <c r="J100">
        <v>139.016427093836</v>
      </c>
      <c r="K100">
        <v>47.308597492658798</v>
      </c>
      <c r="L100">
        <v>1.2649191749662041E-4</v>
      </c>
      <c r="M100">
        <v>1.6634797935303173E-5</v>
      </c>
      <c r="N100" s="1">
        <v>2.3924670867963302E-6</v>
      </c>
      <c r="O100" s="1">
        <v>7.7260110214420402E-8</v>
      </c>
      <c r="P100" s="1">
        <v>-3.8101101922675701E-7</v>
      </c>
      <c r="Q100">
        <v>74.026417017478394</v>
      </c>
      <c r="R100">
        <v>6.7043187013100303E-2</v>
      </c>
      <c r="S100">
        <v>12.1804897435714</v>
      </c>
      <c r="T100">
        <v>0.198416459640747</v>
      </c>
      <c r="V100">
        <v>0.46780689556250599</v>
      </c>
      <c r="W100">
        <v>9.5775981447284702E-3</v>
      </c>
      <c r="X100">
        <v>8.6198383302559398E-2</v>
      </c>
      <c r="AA100">
        <v>0.92213980229038195</v>
      </c>
      <c r="AB100">
        <v>3.2122213976481402</v>
      </c>
      <c r="AC100">
        <v>4.80553272896198</v>
      </c>
      <c r="AD100">
        <v>1.9155196289456399E-2</v>
      </c>
      <c r="AE100">
        <v>4.0050015900964704</v>
      </c>
    </row>
    <row r="101" spans="1:31" x14ac:dyDescent="0.2">
      <c r="A101">
        <v>100</v>
      </c>
      <c r="B101">
        <v>786</v>
      </c>
      <c r="C101">
        <v>125</v>
      </c>
      <c r="D101">
        <v>0.47944153330501299</v>
      </c>
      <c r="E101">
        <v>104.100935129408</v>
      </c>
      <c r="F101">
        <v>2.2072413888866902</v>
      </c>
      <c r="G101">
        <v>-1700.6347393228307</v>
      </c>
      <c r="H101">
        <v>-1424.260375104438</v>
      </c>
      <c r="I101">
        <v>260.939776441856</v>
      </c>
      <c r="J101">
        <v>138.56053002892901</v>
      </c>
      <c r="K101">
        <v>47.163366749803501</v>
      </c>
      <c r="L101">
        <v>1.2633037017118441E-4</v>
      </c>
      <c r="M101">
        <v>1.6622222347482966E-5</v>
      </c>
      <c r="N101" s="1">
        <v>2.3857345384403699E-6</v>
      </c>
      <c r="O101" s="1">
        <v>7.69086466176307E-8</v>
      </c>
      <c r="P101" s="1">
        <v>-3.7928902130390197E-7</v>
      </c>
      <c r="Q101">
        <v>74.067461337025605</v>
      </c>
      <c r="R101">
        <v>6.7242431504561301E-2</v>
      </c>
      <c r="S101">
        <v>12.153184529785401</v>
      </c>
      <c r="T101">
        <v>0.19924445304716701</v>
      </c>
      <c r="V101">
        <v>0.468982717193134</v>
      </c>
      <c r="W101">
        <v>9.6060616435085493E-3</v>
      </c>
      <c r="X101">
        <v>8.6454554791581595E-2</v>
      </c>
      <c r="AA101">
        <v>0.91424503317866801</v>
      </c>
      <c r="AB101">
        <v>3.1974806292801499</v>
      </c>
      <c r="AC101">
        <v>4.81592177931494</v>
      </c>
      <c r="AD101">
        <v>1.9212123287016301E-2</v>
      </c>
      <c r="AE101">
        <v>4.0009643499481102</v>
      </c>
    </row>
    <row r="102" spans="1:31" x14ac:dyDescent="0.2">
      <c r="A102">
        <v>101</v>
      </c>
      <c r="B102">
        <v>785</v>
      </c>
      <c r="C102">
        <v>125</v>
      </c>
      <c r="D102">
        <v>0.47888342862543298</v>
      </c>
      <c r="E102">
        <v>103.791431448453</v>
      </c>
      <c r="F102">
        <v>2.2074795665146598</v>
      </c>
      <c r="G102">
        <v>-1695.2198556058381</v>
      </c>
      <c r="H102">
        <v>-1420.1276741699987</v>
      </c>
      <c r="I102">
        <v>259.97465523398301</v>
      </c>
      <c r="J102">
        <v>138.10467371898901</v>
      </c>
      <c r="K102">
        <v>47.018071207937403</v>
      </c>
      <c r="L102">
        <v>1.2616801641724676E-4</v>
      </c>
      <c r="M102">
        <v>1.6609616231145152E-5</v>
      </c>
      <c r="N102" s="1">
        <v>2.3789742406833199E-6</v>
      </c>
      <c r="O102" s="1">
        <v>7.6557400791284002E-8</v>
      </c>
      <c r="P102" s="1">
        <v>-3.7756544808658298E-7</v>
      </c>
      <c r="Q102">
        <v>74.108512555427595</v>
      </c>
      <c r="R102">
        <v>6.7442946901416695E-2</v>
      </c>
      <c r="S102">
        <v>12.125903515613</v>
      </c>
      <c r="T102">
        <v>0.20007813761016299</v>
      </c>
      <c r="V102">
        <v>0.47016567029419798</v>
      </c>
      <c r="W102">
        <v>9.6347067002020993E-3</v>
      </c>
      <c r="X102">
        <v>8.6712360301825303E-2</v>
      </c>
      <c r="AA102">
        <v>0.90652304213818602</v>
      </c>
      <c r="AB102">
        <v>3.18259205189403</v>
      </c>
      <c r="AC102">
        <v>4.8262672916228402</v>
      </c>
      <c r="AD102">
        <v>1.9269413400403099E-2</v>
      </c>
      <c r="AE102">
        <v>3.9968983080960299</v>
      </c>
    </row>
    <row r="103" spans="1:31" x14ac:dyDescent="0.2">
      <c r="A103">
        <v>102</v>
      </c>
      <c r="B103">
        <v>784</v>
      </c>
      <c r="C103">
        <v>125</v>
      </c>
      <c r="D103">
        <v>0.47832426807926898</v>
      </c>
      <c r="E103">
        <v>103.481837853627</v>
      </c>
      <c r="F103">
        <v>2.2077194771400301</v>
      </c>
      <c r="G103">
        <v>-1689.8058600000179</v>
      </c>
      <c r="H103">
        <v>-1415.9934830299892</v>
      </c>
      <c r="I103">
        <v>259.00995787733899</v>
      </c>
      <c r="J103">
        <v>137.64891206729101</v>
      </c>
      <c r="K103">
        <v>46.872729495362002</v>
      </c>
      <c r="L103">
        <v>1.2600487700064472E-4</v>
      </c>
      <c r="M103">
        <v>1.6596981844699695E-5</v>
      </c>
      <c r="N103" s="1">
        <v>2.3721878156616402E-6</v>
      </c>
      <c r="O103" s="1">
        <v>7.6206423769717606E-8</v>
      </c>
      <c r="P103" s="1">
        <v>-3.7584057440982998E-7</v>
      </c>
      <c r="Q103">
        <v>74.149570643747893</v>
      </c>
      <c r="R103">
        <v>6.7644720515125101E-2</v>
      </c>
      <c r="S103">
        <v>12.098646963698901</v>
      </c>
      <c r="T103">
        <v>0.200917501321699</v>
      </c>
      <c r="V103">
        <v>0.47135564334407898</v>
      </c>
      <c r="W103">
        <v>9.6635315021603892E-3</v>
      </c>
      <c r="X103">
        <v>8.6971783519450896E-2</v>
      </c>
      <c r="AA103">
        <v>0.89897251086746399</v>
      </c>
      <c r="AB103">
        <v>3.1675599781045198</v>
      </c>
      <c r="AC103">
        <v>4.83656517138603</v>
      </c>
      <c r="AD103">
        <v>1.9327063004319502E-2</v>
      </c>
      <c r="AE103">
        <v>3.9928044889883099</v>
      </c>
    </row>
    <row r="104" spans="1:31" x14ac:dyDescent="0.2">
      <c r="A104">
        <v>103</v>
      </c>
      <c r="B104">
        <v>783</v>
      </c>
      <c r="C104">
        <v>125</v>
      </c>
      <c r="D104">
        <v>0.47776404866733202</v>
      </c>
      <c r="E104">
        <v>103.172191579592</v>
      </c>
      <c r="F104">
        <v>2.2079610705978601</v>
      </c>
      <c r="G104">
        <v>-1684.3933882547149</v>
      </c>
      <c r="H104">
        <v>-1411.8583209719395</v>
      </c>
      <c r="I104">
        <v>258.04579584602101</v>
      </c>
      <c r="J104">
        <v>137.19329788594001</v>
      </c>
      <c r="K104">
        <v>46.7273598948263</v>
      </c>
      <c r="L104">
        <v>1.2584097295764888E-4</v>
      </c>
      <c r="M104">
        <v>1.658432148020223E-5</v>
      </c>
      <c r="N104" s="1">
        <v>2.3653768756301801E-6</v>
      </c>
      <c r="O104" s="1">
        <v>7.5855765884626502E-8</v>
      </c>
      <c r="P104" s="1">
        <v>-3.7411467170777598E-7</v>
      </c>
      <c r="Q104">
        <v>74.190635631664804</v>
      </c>
      <c r="R104">
        <v>6.7847739713854494E-2</v>
      </c>
      <c r="S104">
        <v>12.0714151020379</v>
      </c>
      <c r="T104">
        <v>0.20176253233630401</v>
      </c>
      <c r="V104">
        <v>0.472552525221558</v>
      </c>
      <c r="W104">
        <v>9.6925342448359597E-3</v>
      </c>
      <c r="X104">
        <v>8.72328082035322E-2</v>
      </c>
      <c r="AA104">
        <v>0.89159208569492998</v>
      </c>
      <c r="AB104">
        <v>3.1523887873094898</v>
      </c>
      <c r="AC104">
        <v>4.8468112499868496</v>
      </c>
      <c r="AD104">
        <v>1.93850684896704E-2</v>
      </c>
      <c r="AE104">
        <v>3.9886839350961401</v>
      </c>
    </row>
    <row r="105" spans="1:31" x14ac:dyDescent="0.2">
      <c r="A105">
        <v>104</v>
      </c>
      <c r="B105">
        <v>782</v>
      </c>
      <c r="C105">
        <v>125</v>
      </c>
      <c r="D105">
        <v>0.47720276737904699</v>
      </c>
      <c r="E105">
        <v>102.86252898114</v>
      </c>
      <c r="F105">
        <v>2.2082042958861998</v>
      </c>
      <c r="G105">
        <v>-1678.9830612877131</v>
      </c>
      <c r="H105">
        <v>-1407.7226954774155</v>
      </c>
      <c r="I105">
        <v>257.082278169262</v>
      </c>
      <c r="J105">
        <v>136.737882730173</v>
      </c>
      <c r="K105">
        <v>46.581980287226799</v>
      </c>
      <c r="L105">
        <v>1.256763255571156E-4</v>
      </c>
      <c r="M105">
        <v>1.6571637461867432E-5</v>
      </c>
      <c r="N105" s="1">
        <v>2.3585430193234601E-6</v>
      </c>
      <c r="O105" s="1">
        <v>7.5505476655305696E-8</v>
      </c>
      <c r="P105" s="1">
        <v>-3.7238800736575601E-7</v>
      </c>
      <c r="Q105">
        <v>74.231707615872196</v>
      </c>
      <c r="R105">
        <v>6.8051992006569501E-2</v>
      </c>
      <c r="S105">
        <v>12.044208119215</v>
      </c>
      <c r="T105">
        <v>0.202613219189576</v>
      </c>
      <c r="V105">
        <v>0.47375620581992001</v>
      </c>
      <c r="W105">
        <v>9.7217131437951805E-3</v>
      </c>
      <c r="X105">
        <v>8.7495418294166599E-2</v>
      </c>
      <c r="AA105">
        <v>0.88438038190527801</v>
      </c>
      <c r="AB105">
        <v>3.1370829185720299</v>
      </c>
      <c r="AC105">
        <v>4.8570012838222398</v>
      </c>
      <c r="AD105">
        <v>1.9443426287588699E-2</v>
      </c>
      <c r="AE105">
        <v>3.9845377058714702</v>
      </c>
    </row>
    <row r="106" spans="1:31" x14ac:dyDescent="0.2">
      <c r="A106">
        <v>105</v>
      </c>
      <c r="B106">
        <v>781</v>
      </c>
      <c r="C106">
        <v>125</v>
      </c>
      <c r="D106">
        <v>0.476640421192431</v>
      </c>
      <c r="E106">
        <v>102.55288540534799</v>
      </c>
      <c r="F106">
        <v>2.2084491012112002</v>
      </c>
      <c r="G106">
        <v>-1673.575483101502</v>
      </c>
      <c r="H106">
        <v>-1403.5871004781561</v>
      </c>
      <c r="I106">
        <v>256.11951109742</v>
      </c>
      <c r="J106">
        <v>136.28271672425399</v>
      </c>
      <c r="K106">
        <v>46.436608092576698</v>
      </c>
      <c r="L106">
        <v>1.2551095626049891E-4</v>
      </c>
      <c r="M106">
        <v>1.6558932144638807E-5</v>
      </c>
      <c r="N106" s="1">
        <v>2.3516878281746198E-6</v>
      </c>
      <c r="O106" s="1">
        <v>7.5155604675489394E-8</v>
      </c>
      <c r="P106" s="1">
        <v>-3.7066084404793497E-7</v>
      </c>
      <c r="Q106">
        <v>74.272786769622499</v>
      </c>
      <c r="R106">
        <v>6.8257465134521605E-2</v>
      </c>
      <c r="S106">
        <v>12.0170261589793</v>
      </c>
      <c r="T106">
        <v>0.203469551036952</v>
      </c>
      <c r="V106">
        <v>0.474966576714139</v>
      </c>
      <c r="W106">
        <v>9.75106644778829E-3</v>
      </c>
      <c r="X106">
        <v>8.7759598030105898E-2</v>
      </c>
      <c r="AA106">
        <v>0.87733598815222602</v>
      </c>
      <c r="AB106">
        <v>3.1216468632722698</v>
      </c>
      <c r="AC106">
        <v>4.8671309530240103</v>
      </c>
      <c r="AD106">
        <v>1.9502132895574599E-2</v>
      </c>
      <c r="AE106">
        <v>3.9803668766904599</v>
      </c>
    </row>
    <row r="107" spans="1:31" x14ac:dyDescent="0.2">
      <c r="A107">
        <v>106</v>
      </c>
      <c r="B107">
        <v>780</v>
      </c>
      <c r="C107">
        <v>125</v>
      </c>
      <c r="D107">
        <v>0.47607700707401701</v>
      </c>
      <c r="E107">
        <v>102.243295065266</v>
      </c>
      <c r="F107">
        <v>2.2086954340290998</v>
      </c>
      <c r="G107">
        <v>-1668.1712387313303</v>
      </c>
      <c r="H107">
        <v>-1399.4520146347777</v>
      </c>
      <c r="I107">
        <v>255.15759777482</v>
      </c>
      <c r="J107">
        <v>135.82784839022301</v>
      </c>
      <c r="K107">
        <v>46.291260211804897</v>
      </c>
      <c r="L107">
        <v>1.2534488668386449E-4</v>
      </c>
      <c r="M107">
        <v>1.6546207913060951E-5</v>
      </c>
      <c r="N107" s="1">
        <v>2.3448128626580699E-6</v>
      </c>
      <c r="O107" s="1">
        <v>7.4806197505055599E-8</v>
      </c>
      <c r="P107" s="1">
        <v>-3.68933439047697E-7</v>
      </c>
      <c r="Q107">
        <v>74.313873352327406</v>
      </c>
      <c r="R107">
        <v>6.8464147165168396E-2</v>
      </c>
      <c r="S107">
        <v>11.9898693148301</v>
      </c>
      <c r="T107">
        <v>0.20433151789925699</v>
      </c>
      <c r="V107">
        <v>0.476183531845363</v>
      </c>
      <c r="W107">
        <v>9.7805924521663506E-3</v>
      </c>
      <c r="X107">
        <v>8.8025332069509604E-2</v>
      </c>
      <c r="AA107">
        <v>0.87045747116467798</v>
      </c>
      <c r="AB107">
        <v>3.1060851578388702</v>
      </c>
      <c r="AC107">
        <v>4.8771958595748401</v>
      </c>
      <c r="AD107">
        <v>1.9561184904330599E-2</v>
      </c>
      <c r="AE107">
        <v>3.9761725379281598</v>
      </c>
    </row>
    <row r="108" spans="1:31" x14ac:dyDescent="0.2">
      <c r="A108">
        <v>107</v>
      </c>
      <c r="B108">
        <v>779</v>
      </c>
      <c r="C108">
        <v>125</v>
      </c>
      <c r="D108">
        <v>0.475512521978807</v>
      </c>
      <c r="E108">
        <v>101.933790914372</v>
      </c>
      <c r="F108">
        <v>2.2089432410853802</v>
      </c>
      <c r="G108">
        <v>-1662.7708922118138</v>
      </c>
      <c r="H108">
        <v>-1395.3178996272839</v>
      </c>
      <c r="I108">
        <v>254.19663791715001</v>
      </c>
      <c r="J108">
        <v>135.37332447829101</v>
      </c>
      <c r="K108">
        <v>46.145952969025302</v>
      </c>
      <c r="L108">
        <v>1.251781385608473E-4</v>
      </c>
      <c r="M108">
        <v>1.6533467180384794E-5</v>
      </c>
      <c r="N108" s="1">
        <v>2.3379196587134902E-6</v>
      </c>
      <c r="O108" s="1">
        <v>7.4457301565266401E-8</v>
      </c>
      <c r="P108" s="1">
        <v>-3.6720604365269401E-7</v>
      </c>
      <c r="Q108">
        <v>74.354967719465606</v>
      </c>
      <c r="R108">
        <v>6.8672026589105997E-2</v>
      </c>
      <c r="S108">
        <v>11.9627376244774</v>
      </c>
      <c r="T108">
        <v>0.20519911091677101</v>
      </c>
      <c r="V108">
        <v>0.477406968226743</v>
      </c>
      <c r="W108">
        <v>9.8102895127287707E-3</v>
      </c>
      <c r="X108">
        <v>8.8292605614573499E-2</v>
      </c>
      <c r="AA108">
        <v>0.86374338064724598</v>
      </c>
      <c r="AB108">
        <v>3.0904023765992799</v>
      </c>
      <c r="AC108">
        <v>4.8871915248008797</v>
      </c>
      <c r="AD108">
        <v>1.9620579025454998E-2</v>
      </c>
      <c r="AE108">
        <v>3.9719557941241002</v>
      </c>
    </row>
    <row r="109" spans="1:31" x14ac:dyDescent="0.2">
      <c r="A109">
        <v>108</v>
      </c>
      <c r="B109">
        <v>778</v>
      </c>
      <c r="C109">
        <v>125</v>
      </c>
      <c r="D109">
        <v>0.47494696285021398</v>
      </c>
      <c r="E109">
        <v>101.624404516917</v>
      </c>
      <c r="F109">
        <v>2.20919246845326</v>
      </c>
      <c r="G109">
        <v>-1657.3749844817492</v>
      </c>
      <c r="H109">
        <v>-1391.1851983909999</v>
      </c>
      <c r="I109">
        <v>253.23672748013999</v>
      </c>
      <c r="J109">
        <v>134.91918979195299</v>
      </c>
      <c r="K109">
        <v>46.000702052034796</v>
      </c>
      <c r="L109">
        <v>1.2501073370346994E-4</v>
      </c>
      <c r="M109">
        <v>1.6520712387712766E-5</v>
      </c>
      <c r="N109" s="1">
        <v>2.3310097240729798E-6</v>
      </c>
      <c r="O109" s="1">
        <v>7.4108962032022901E-8</v>
      </c>
      <c r="P109" s="1">
        <v>-3.6547890249221699E-7</v>
      </c>
      <c r="Q109">
        <v>74.396070333413903</v>
      </c>
      <c r="R109">
        <v>6.8881092423374396E-2</v>
      </c>
      <c r="S109">
        <v>11.935631063826801</v>
      </c>
      <c r="T109">
        <v>0.20607232262106401</v>
      </c>
      <c r="V109">
        <v>0.47863678669493298</v>
      </c>
      <c r="W109">
        <v>9.8401560604813205E-3</v>
      </c>
      <c r="X109">
        <v>8.8561404544348105E-2</v>
      </c>
      <c r="AA109">
        <v>0.85719225433040502</v>
      </c>
      <c r="AB109">
        <v>3.07460312456177</v>
      </c>
      <c r="AC109">
        <v>4.89711338627699</v>
      </c>
      <c r="AD109">
        <v>1.96803121209598E-2</v>
      </c>
      <c r="AE109">
        <v>3.9677177631247802</v>
      </c>
    </row>
    <row r="110" spans="1:31" x14ac:dyDescent="0.2">
      <c r="A110">
        <v>109</v>
      </c>
      <c r="B110">
        <v>777</v>
      </c>
      <c r="C110">
        <v>125</v>
      </c>
      <c r="D110">
        <v>0.47438032662001101</v>
      </c>
      <c r="E110">
        <v>100.50321965016801</v>
      </c>
      <c r="F110">
        <v>2.2097686833896302</v>
      </c>
      <c r="G110">
        <v>-1638.4950620099996</v>
      </c>
      <c r="H110">
        <v>-1375.7138550507411</v>
      </c>
      <c r="I110">
        <v>250.23206871328699</v>
      </c>
      <c r="J110">
        <v>133.393694706166</v>
      </c>
      <c r="K110">
        <v>45.4813304241436</v>
      </c>
      <c r="L110">
        <v>1.248592459228579E-4</v>
      </c>
      <c r="M110">
        <v>1.649799863934849E-5</v>
      </c>
      <c r="N110" s="1">
        <v>2.3033456060142201E-6</v>
      </c>
      <c r="O110" s="1">
        <v>7.3110906540241599E-8</v>
      </c>
      <c r="P110" s="1">
        <v>-3.6093796241380298E-7</v>
      </c>
      <c r="Q110">
        <v>74.3870234633862</v>
      </c>
      <c r="R110">
        <v>6.9649509979539406E-2</v>
      </c>
      <c r="S110">
        <v>11.9303522493574</v>
      </c>
      <c r="T110">
        <v>0.20871543854326</v>
      </c>
      <c r="V110">
        <v>0.48366657599454899</v>
      </c>
      <c r="W110">
        <v>9.9499299970760499E-3</v>
      </c>
      <c r="X110">
        <v>8.9549369973706702E-2</v>
      </c>
      <c r="AA110">
        <v>0.84700552580345501</v>
      </c>
      <c r="AB110">
        <v>3.05420872822567</v>
      </c>
      <c r="AC110">
        <v>4.9401533364108303</v>
      </c>
      <c r="AD110">
        <v>1.9899859994148301E-2</v>
      </c>
      <c r="AE110">
        <v>3.9598260123339801</v>
      </c>
    </row>
    <row r="111" spans="1:31" x14ac:dyDescent="0.2">
      <c r="A111">
        <v>110</v>
      </c>
      <c r="B111">
        <v>776</v>
      </c>
      <c r="C111">
        <v>125</v>
      </c>
      <c r="D111">
        <v>0.47381261020826598</v>
      </c>
      <c r="E111">
        <v>99.001079512230405</v>
      </c>
      <c r="F111">
        <v>2.2105106685864699</v>
      </c>
      <c r="G111">
        <v>-1613.3002445514417</v>
      </c>
      <c r="H111">
        <v>-1354.9251913214634</v>
      </c>
      <c r="I111">
        <v>246.27084137633</v>
      </c>
      <c r="J111">
        <v>131.365999611749</v>
      </c>
      <c r="K111">
        <v>44.786519657711999</v>
      </c>
      <c r="L111">
        <v>1.2471202433638324E-4</v>
      </c>
      <c r="M111">
        <v>1.6470339228320415E-5</v>
      </c>
      <c r="N111" s="1">
        <v>2.26592213184548E-6</v>
      </c>
      <c r="O111" s="1">
        <v>7.1810620480921106E-8</v>
      </c>
      <c r="P111" s="1">
        <v>-3.5506953540215898E-7</v>
      </c>
      <c r="Q111">
        <v>74.354313214373803</v>
      </c>
      <c r="R111">
        <v>7.0706299713990006E-2</v>
      </c>
      <c r="S111">
        <v>11.9352772595378</v>
      </c>
      <c r="T111">
        <v>0.21227397740943199</v>
      </c>
      <c r="V111">
        <v>0.49065277142793701</v>
      </c>
      <c r="W111">
        <v>1.01008999591402E-2</v>
      </c>
      <c r="X111">
        <v>9.0908099632288006E-2</v>
      </c>
      <c r="AA111">
        <v>0.83569338070777799</v>
      </c>
      <c r="AB111">
        <v>3.0308362239755202</v>
      </c>
      <c r="AC111">
        <v>4.9989654075667396</v>
      </c>
      <c r="AD111">
        <v>2.02017999182761E-2</v>
      </c>
      <c r="AE111">
        <v>3.95007066577725</v>
      </c>
    </row>
    <row r="112" spans="1:31" x14ac:dyDescent="0.2">
      <c r="A112">
        <v>111</v>
      </c>
      <c r="B112">
        <v>775</v>
      </c>
      <c r="C112">
        <v>125</v>
      </c>
      <c r="D112">
        <v>0.473243810523307</v>
      </c>
      <c r="E112">
        <v>97.487653382509507</v>
      </c>
      <c r="F112">
        <v>2.2112716495063398</v>
      </c>
      <c r="G112">
        <v>-1587.9354201513952</v>
      </c>
      <c r="H112">
        <v>-1333.9841763965956</v>
      </c>
      <c r="I112">
        <v>242.28521085226299</v>
      </c>
      <c r="J112">
        <v>129.324140463188</v>
      </c>
      <c r="K112">
        <v>44.086692561844799</v>
      </c>
      <c r="L112">
        <v>1.2456077500887686E-4</v>
      </c>
      <c r="M112">
        <v>1.6442259220764445E-5</v>
      </c>
      <c r="N112" s="1">
        <v>2.2281937598753501E-6</v>
      </c>
      <c r="O112" s="1">
        <v>7.0505059048846998E-8</v>
      </c>
      <c r="P112" s="1">
        <v>-3.49153093267018E-7</v>
      </c>
      <c r="Q112">
        <v>74.321006477424604</v>
      </c>
      <c r="R112">
        <v>7.1803964472656204E-2</v>
      </c>
      <c r="S112">
        <v>11.9403323970164</v>
      </c>
      <c r="T112">
        <v>0.21596539387118399</v>
      </c>
      <c r="V112">
        <v>0.49791346656759999</v>
      </c>
      <c r="W112">
        <v>1.02577092103782E-2</v>
      </c>
      <c r="X112">
        <v>9.2319382893431098E-2</v>
      </c>
      <c r="AA112">
        <v>0.82513770971390499</v>
      </c>
      <c r="AB112">
        <v>3.00636000799439</v>
      </c>
      <c r="AC112">
        <v>5.0582942707464396</v>
      </c>
      <c r="AD112">
        <v>2.05154184207515E-2</v>
      </c>
      <c r="AE112">
        <v>3.9400938016681102</v>
      </c>
    </row>
    <row r="113" spans="1:31" x14ac:dyDescent="0.2">
      <c r="A113">
        <v>112</v>
      </c>
      <c r="B113">
        <v>774</v>
      </c>
      <c r="C113">
        <v>125</v>
      </c>
      <c r="D113">
        <v>0.47267392446163797</v>
      </c>
      <c r="E113">
        <v>95.955424437529999</v>
      </c>
      <c r="F113">
        <v>2.2120536441090999</v>
      </c>
      <c r="G113">
        <v>-1562.2778179768175</v>
      </c>
      <c r="H113">
        <v>-1312.787467685944</v>
      </c>
      <c r="I113">
        <v>238.256553780139</v>
      </c>
      <c r="J113">
        <v>127.258168348529</v>
      </c>
      <c r="K113">
        <v>43.378434647399999</v>
      </c>
      <c r="L113">
        <v>1.244053171767833E-4</v>
      </c>
      <c r="M113">
        <v>1.6413734974500975E-5</v>
      </c>
      <c r="N113" s="1">
        <v>2.1899885625621601E-6</v>
      </c>
      <c r="O113" s="1">
        <v>6.9188822825632899E-8</v>
      </c>
      <c r="P113" s="1">
        <v>-3.43161593604109E-7</v>
      </c>
      <c r="Q113">
        <v>74.287018387064407</v>
      </c>
      <c r="R113">
        <v>7.2950539701458705E-2</v>
      </c>
      <c r="S113">
        <v>11.9455159742293</v>
      </c>
      <c r="T113">
        <v>0.21981405169547399</v>
      </c>
      <c r="V113">
        <v>0.50550420606595103</v>
      </c>
      <c r="W113">
        <v>1.0421505671635601E-2</v>
      </c>
      <c r="X113">
        <v>9.3793551044749707E-2</v>
      </c>
      <c r="AA113">
        <v>0.81539734243350404</v>
      </c>
      <c r="AB113">
        <v>2.9806997657546801</v>
      </c>
      <c r="AC113">
        <v>5.1181596001120298</v>
      </c>
      <c r="AD113">
        <v>2.08430113432659E-2</v>
      </c>
      <c r="AE113">
        <v>3.9298820648834401</v>
      </c>
    </row>
    <row r="114" spans="1:31" x14ac:dyDescent="0.2">
      <c r="A114">
        <v>113</v>
      </c>
      <c r="B114">
        <v>773</v>
      </c>
      <c r="C114">
        <v>125</v>
      </c>
      <c r="D114">
        <v>0.472102948907902</v>
      </c>
      <c r="E114">
        <v>94.393638793390807</v>
      </c>
      <c r="F114">
        <v>2.21285959182676</v>
      </c>
      <c r="G114">
        <v>-1536.1518685497972</v>
      </c>
      <c r="H114">
        <v>-1291.1872460889501</v>
      </c>
      <c r="I114">
        <v>234.158220581032</v>
      </c>
      <c r="J114">
        <v>125.15385364302399</v>
      </c>
      <c r="K114">
        <v>42.656858637590503</v>
      </c>
      <c r="L114">
        <v>1.2424538483126E-4</v>
      </c>
      <c r="M114">
        <v>1.6384732649545183E-5</v>
      </c>
      <c r="N114" s="1">
        <v>2.1510592556359902E-6</v>
      </c>
      <c r="O114" s="1">
        <v>6.7854173973556904E-8</v>
      </c>
      <c r="P114" s="1">
        <v>-3.3705607126443597E-7</v>
      </c>
      <c r="Q114">
        <v>74.2522264531502</v>
      </c>
      <c r="R114">
        <v>7.4157539527870395E-2</v>
      </c>
      <c r="S114">
        <v>11.950827005107101</v>
      </c>
      <c r="T114">
        <v>0.223854738583387</v>
      </c>
      <c r="V114">
        <v>0.51350469197964399</v>
      </c>
      <c r="W114">
        <v>1.05939342182657E-2</v>
      </c>
      <c r="X114">
        <v>9.5345407964424506E-2</v>
      </c>
      <c r="AA114">
        <v>0.80656242760671104</v>
      </c>
      <c r="AB114">
        <v>2.9537362382560701</v>
      </c>
      <c r="AC114">
        <v>5.1785874275425599</v>
      </c>
      <c r="AD114">
        <v>2.1187868436525401E-2</v>
      </c>
      <c r="AE114">
        <v>3.9194162676271</v>
      </c>
    </row>
    <row r="115" spans="1:31" x14ac:dyDescent="0.2">
      <c r="A115">
        <v>114</v>
      </c>
      <c r="B115">
        <v>772</v>
      </c>
      <c r="C115">
        <v>125</v>
      </c>
      <c r="D115">
        <v>0.47153088073482102</v>
      </c>
      <c r="E115">
        <v>82.761646023679901</v>
      </c>
      <c r="F115">
        <v>2.21514296570958</v>
      </c>
      <c r="G115">
        <v>-1345.5580487859936</v>
      </c>
      <c r="H115">
        <v>-1131.1954941603317</v>
      </c>
      <c r="I115">
        <v>205.10219071488501</v>
      </c>
      <c r="J115">
        <v>109.72441794588499</v>
      </c>
      <c r="K115">
        <v>37.361762786795403</v>
      </c>
      <c r="L115">
        <v>1.241875545412681E-4</v>
      </c>
      <c r="M115">
        <v>1.6360209999205809E-5</v>
      </c>
      <c r="N115" s="1">
        <v>1.88339598715747E-6</v>
      </c>
      <c r="O115" s="1">
        <v>5.9314194213881001E-8</v>
      </c>
      <c r="P115" s="1">
        <v>-2.9488545208595101E-7</v>
      </c>
      <c r="Q115">
        <v>74.138070972611203</v>
      </c>
      <c r="R115">
        <v>8.4580241407930995E-2</v>
      </c>
      <c r="S115">
        <v>11.943559907115</v>
      </c>
      <c r="T115">
        <v>0.25528654549611002</v>
      </c>
      <c r="V115">
        <v>0.58570429692038395</v>
      </c>
      <c r="W115">
        <v>1.20828916297019E-2</v>
      </c>
      <c r="X115">
        <v>0.108746024667372</v>
      </c>
      <c r="AA115">
        <v>0.83045671984597402</v>
      </c>
      <c r="AB115">
        <v>2.9058136554740899</v>
      </c>
      <c r="AC115">
        <v>5.2019595385695201</v>
      </c>
      <c r="AD115">
        <v>2.4165783259393801E-2</v>
      </c>
      <c r="AE115">
        <v>3.9095734230031498</v>
      </c>
    </row>
    <row r="116" spans="1:31" x14ac:dyDescent="0.2">
      <c r="A116">
        <v>115</v>
      </c>
      <c r="B116">
        <v>771</v>
      </c>
      <c r="C116">
        <v>125</v>
      </c>
      <c r="D116">
        <v>0.47095771680314102</v>
      </c>
      <c r="E116">
        <v>58.633886274112598</v>
      </c>
      <c r="F116">
        <v>2.21772610797291</v>
      </c>
      <c r="G116">
        <v>-952.62577007032837</v>
      </c>
      <c r="H116">
        <v>-801.11085149224357</v>
      </c>
      <c r="I116">
        <v>145.10838344881901</v>
      </c>
      <c r="J116">
        <v>77.750857907895906</v>
      </c>
      <c r="K116">
        <v>26.438741043503398</v>
      </c>
      <c r="L116">
        <v>1.2393489449325065E-4</v>
      </c>
      <c r="M116">
        <v>1.6318346817544967E-5</v>
      </c>
      <c r="N116" s="1">
        <v>1.32972164119355E-6</v>
      </c>
      <c r="O116" s="1">
        <v>4.1814385087641301E-8</v>
      </c>
      <c r="P116" s="1">
        <v>-2.07916252497144E-7</v>
      </c>
      <c r="Q116">
        <v>74.016467022233599</v>
      </c>
      <c r="R116">
        <v>0.102400119735317</v>
      </c>
      <c r="S116">
        <v>11.950150415403501</v>
      </c>
      <c r="T116">
        <v>0.27014426704808397</v>
      </c>
      <c r="V116">
        <v>0.61983258044411604</v>
      </c>
      <c r="W116">
        <v>1.7054984131953301E-2</v>
      </c>
      <c r="X116">
        <v>0.15047085712184999</v>
      </c>
      <c r="AA116">
        <v>0.89191828501119397</v>
      </c>
      <c r="AB116">
        <v>2.8141498991866301</v>
      </c>
      <c r="AC116">
        <v>5.2416443809125601</v>
      </c>
      <c r="AD116">
        <v>3.4109968263881497E-2</v>
      </c>
      <c r="AE116">
        <v>3.89165722050718</v>
      </c>
    </row>
    <row r="117" spans="1:31" x14ac:dyDescent="0.2">
      <c r="A117">
        <v>116</v>
      </c>
      <c r="B117">
        <v>770</v>
      </c>
      <c r="C117">
        <v>125</v>
      </c>
      <c r="D117">
        <v>0.47038345396155901</v>
      </c>
      <c r="E117">
        <v>30.600896069729998</v>
      </c>
      <c r="F117">
        <v>2.22012679616769</v>
      </c>
      <c r="G117">
        <v>-497.03635583555439</v>
      </c>
      <c r="H117">
        <v>-418.17920897867197</v>
      </c>
      <c r="I117">
        <v>75.595213398727296</v>
      </c>
      <c r="J117">
        <v>40.5919042061185</v>
      </c>
      <c r="K117">
        <v>13.783400174509</v>
      </c>
      <c r="L117">
        <v>1.2345779088478534E-4</v>
      </c>
      <c r="M117">
        <v>1.6259784672455289E-5</v>
      </c>
      <c r="N117" s="1">
        <v>6.9014912766359397E-7</v>
      </c>
      <c r="O117" s="1">
        <v>2.1673162591499399E-8</v>
      </c>
      <c r="P117" s="1">
        <v>-1.07720041393335E-7</v>
      </c>
      <c r="Q117">
        <v>73.880640575555304</v>
      </c>
      <c r="R117">
        <v>0.13656663994955401</v>
      </c>
      <c r="S117">
        <v>11.9973779305643</v>
      </c>
      <c r="T117">
        <v>0.255987162099091</v>
      </c>
      <c r="V117">
        <v>0.58660154833296396</v>
      </c>
      <c r="W117">
        <v>3.2678781618709699E-2</v>
      </c>
      <c r="X117">
        <v>0.19100701791931601</v>
      </c>
      <c r="AA117">
        <v>0.98871600592327902</v>
      </c>
      <c r="AB117">
        <v>2.68393302186941</v>
      </c>
      <c r="AC117">
        <v>5.3153500008325203</v>
      </c>
      <c r="AD117">
        <v>6.53575632373503E-2</v>
      </c>
      <c r="AE117">
        <v>3.86578375209815</v>
      </c>
    </row>
    <row r="118" spans="1:31" x14ac:dyDescent="0.2">
      <c r="A118">
        <v>117</v>
      </c>
      <c r="B118">
        <v>769</v>
      </c>
      <c r="C118">
        <v>125</v>
      </c>
      <c r="D118">
        <v>0.46980808904668597</v>
      </c>
      <c r="E118">
        <v>15.0885055200146</v>
      </c>
      <c r="F118">
        <v>2.2225300528921599</v>
      </c>
      <c r="G118">
        <v>-244.98694073588601</v>
      </c>
      <c r="H118">
        <v>-206.20405010596403</v>
      </c>
      <c r="I118">
        <v>37.214307566014398</v>
      </c>
      <c r="J118">
        <v>20.0258302434552</v>
      </c>
      <c r="K118">
        <v>6.7888870615630204</v>
      </c>
      <c r="L118">
        <v>1.2313354479299288E-4</v>
      </c>
      <c r="M118">
        <v>1.6218643463277202E-5</v>
      </c>
      <c r="N118" s="1">
        <v>3.39100001047187E-7</v>
      </c>
      <c r="O118" s="1">
        <v>1.0632382713995501E-8</v>
      </c>
      <c r="P118" s="1">
        <v>-5.2818399606872301E-8</v>
      </c>
      <c r="Q118">
        <v>73.662226149751604</v>
      </c>
      <c r="R118">
        <v>0.177986482978298</v>
      </c>
      <c r="S118">
        <v>12.0815423618834</v>
      </c>
      <c r="T118">
        <v>0.242446308795292</v>
      </c>
      <c r="V118">
        <v>0.55479667760179296</v>
      </c>
      <c r="W118">
        <v>6.6275616141900695E-2</v>
      </c>
      <c r="X118">
        <v>0.19814898596311001</v>
      </c>
      <c r="AA118">
        <v>1.0942661096649799</v>
      </c>
      <c r="AB118">
        <v>2.5712857336567998</v>
      </c>
      <c r="AC118">
        <v>5.3706333594514604</v>
      </c>
      <c r="AD118">
        <v>0.13255123228363999</v>
      </c>
      <c r="AE118">
        <v>3.8478409818275399</v>
      </c>
    </row>
    <row r="119" spans="1:31" x14ac:dyDescent="0.2">
      <c r="A119">
        <v>118</v>
      </c>
      <c r="B119">
        <v>768</v>
      </c>
      <c r="C119">
        <v>125</v>
      </c>
      <c r="D119">
        <v>0.46923161888296799</v>
      </c>
      <c r="E119">
        <v>9.0769890463521605</v>
      </c>
      <c r="F119">
        <v>2.2247649547861599</v>
      </c>
      <c r="G119">
        <v>-147.32158450886905</v>
      </c>
      <c r="H119">
        <v>-124.04228206610298</v>
      </c>
      <c r="I119">
        <v>22.359220518432501</v>
      </c>
      <c r="J119">
        <v>12.057470195134</v>
      </c>
      <c r="K119">
        <v>4.0799766405995799</v>
      </c>
      <c r="L119">
        <v>1.2299772441428945E-4</v>
      </c>
      <c r="M119">
        <v>1.619705775631165E-5</v>
      </c>
      <c r="N119" s="1">
        <v>2.0382095510542699E-7</v>
      </c>
      <c r="O119" s="1">
        <v>6.3790707670566402E-9</v>
      </c>
      <c r="P119" s="1">
        <v>-3.1679944684326797E-8</v>
      </c>
      <c r="Q119">
        <v>73.400331091767995</v>
      </c>
      <c r="R119">
        <v>0.204159789278655</v>
      </c>
      <c r="S119">
        <v>12.176320054542799</v>
      </c>
      <c r="T119">
        <v>0.23397262650647599</v>
      </c>
      <c r="V119">
        <v>0.53476345308165896</v>
      </c>
      <c r="W119">
        <v>0.110168690839309</v>
      </c>
      <c r="X119">
        <v>0.202633499581308</v>
      </c>
      <c r="AA119">
        <v>1.19506272896781</v>
      </c>
      <c r="AB119">
        <v>2.48666624172207</v>
      </c>
      <c r="AC119">
        <v>5.3954190873863599</v>
      </c>
      <c r="AD119">
        <v>0.220337381678304</v>
      </c>
      <c r="AE119">
        <v>3.8401653546471302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B0ACF-22D4-4FD6-9678-FE58B2990047}">
  <sheetPr codeName="Sheet5"/>
  <dimension ref="A1:P119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759</v>
      </c>
      <c r="C2">
        <v>275</v>
      </c>
      <c r="D2">
        <v>0.30413263576031102</v>
      </c>
      <c r="E2">
        <v>4.4332397005176203</v>
      </c>
      <c r="F2">
        <v>0.55260059012820195</v>
      </c>
      <c r="G2">
        <v>-96.142778120456285</v>
      </c>
      <c r="H2">
        <v>-56.400710207949523</v>
      </c>
      <c r="I2">
        <v>38.506617143337202</v>
      </c>
      <c r="J2">
        <v>17.101175203461899</v>
      </c>
      <c r="K2">
        <v>8.0225026532981296</v>
      </c>
      <c r="L2">
        <v>1.1980811684997579E-3</v>
      </c>
      <c r="M2">
        <v>1.9496228951073604E-4</v>
      </c>
      <c r="N2" s="1">
        <v>6.1404651078242499E-6</v>
      </c>
      <c r="O2" s="1">
        <v>1.2736509166348601E-6</v>
      </c>
      <c r="P2" s="1">
        <v>-4.6983771811031702E-6</v>
      </c>
    </row>
    <row r="3" spans="1:16" x14ac:dyDescent="0.2">
      <c r="A3">
        <v>2</v>
      </c>
      <c r="B3">
        <v>758</v>
      </c>
      <c r="C3">
        <v>275</v>
      </c>
      <c r="D3">
        <v>0.303389904475587</v>
      </c>
      <c r="E3">
        <v>4.4345491282628</v>
      </c>
      <c r="F3">
        <v>0.55326323210226602</v>
      </c>
      <c r="G3">
        <v>-96.132665716585947</v>
      </c>
      <c r="H3">
        <v>-56.434478930738791</v>
      </c>
      <c r="I3">
        <v>38.501405719023197</v>
      </c>
      <c r="J3">
        <v>17.113526644254801</v>
      </c>
      <c r="K3">
        <v>8.0152608576799693</v>
      </c>
      <c r="L3">
        <v>1.1987485172768261E-3</v>
      </c>
      <c r="M3">
        <v>1.9460985494651055E-4</v>
      </c>
      <c r="N3" s="1">
        <v>6.1901830379284699E-6</v>
      </c>
      <c r="O3" s="1">
        <v>1.26964471224364E-6</v>
      </c>
      <c r="P3" s="1">
        <v>-4.69764527645485E-6</v>
      </c>
    </row>
    <row r="4" spans="1:16" x14ac:dyDescent="0.2">
      <c r="A4">
        <v>3</v>
      </c>
      <c r="B4">
        <v>757</v>
      </c>
      <c r="C4">
        <v>275</v>
      </c>
      <c r="D4">
        <v>0.30264573120419402</v>
      </c>
      <c r="E4">
        <v>4.6410514639559501</v>
      </c>
      <c r="F4">
        <v>0.57272028448910195</v>
      </c>
      <c r="G4">
        <v>-99.524876808001665</v>
      </c>
      <c r="H4">
        <v>-59.381771578269181</v>
      </c>
      <c r="I4">
        <v>38.970683603384501</v>
      </c>
      <c r="J4">
        <v>17.3920586743459</v>
      </c>
      <c r="K4">
        <v>8.1035220676634907</v>
      </c>
      <c r="L4">
        <v>1.1880830488429869E-3</v>
      </c>
      <c r="M4">
        <v>1.9243378274416079E-4</v>
      </c>
      <c r="N4" s="1">
        <v>6.2547711980095704E-6</v>
      </c>
      <c r="O4" s="1">
        <v>1.2686322464277299E-6</v>
      </c>
      <c r="P4" s="1">
        <v>-4.70798597235454E-6</v>
      </c>
    </row>
    <row r="5" spans="1:16" x14ac:dyDescent="0.2">
      <c r="A5">
        <v>4</v>
      </c>
      <c r="B5">
        <v>756</v>
      </c>
      <c r="C5">
        <v>275</v>
      </c>
      <c r="D5">
        <v>0.30190011174270298</v>
      </c>
      <c r="E5">
        <v>4.8665526648946704</v>
      </c>
      <c r="F5">
        <v>0.59344155747048299</v>
      </c>
      <c r="G5">
        <v>-103.23103730594251</v>
      </c>
      <c r="H5">
        <v>-62.599422426190742</v>
      </c>
      <c r="I5">
        <v>39.483230506606603</v>
      </c>
      <c r="J5">
        <v>17.695168807426001</v>
      </c>
      <c r="K5">
        <v>8.2005592692869609</v>
      </c>
      <c r="L5">
        <v>1.1766302800761009E-3</v>
      </c>
      <c r="M5">
        <v>1.9014012321277239E-4</v>
      </c>
      <c r="N5" s="1">
        <v>6.3210322079959902E-6</v>
      </c>
      <c r="O5" s="1">
        <v>1.26786712289695E-6</v>
      </c>
      <c r="P5" s="1">
        <v>-4.7192766902758598E-6</v>
      </c>
    </row>
    <row r="6" spans="1:16" x14ac:dyDescent="0.2">
      <c r="A6">
        <v>5</v>
      </c>
      <c r="B6">
        <v>755</v>
      </c>
      <c r="C6">
        <v>275</v>
      </c>
      <c r="D6">
        <v>0.30115304187132302</v>
      </c>
      <c r="E6">
        <v>5.0909248753911402</v>
      </c>
      <c r="F6">
        <v>0.61358589537998598</v>
      </c>
      <c r="G6">
        <v>-106.91737345977498</v>
      </c>
      <c r="H6">
        <v>-65.801658490538102</v>
      </c>
      <c r="I6">
        <v>39.992485568090501</v>
      </c>
      <c r="J6">
        <v>17.9967477978822</v>
      </c>
      <c r="K6">
        <v>8.2970044026817096</v>
      </c>
      <c r="L6">
        <v>1.1654999795278665E-3</v>
      </c>
      <c r="M6">
        <v>1.8790750767537376E-4</v>
      </c>
      <c r="N6" s="1">
        <v>6.3875249289357097E-6</v>
      </c>
      <c r="O6" s="1">
        <v>1.2670548134183E-6</v>
      </c>
      <c r="P6" s="1">
        <v>-4.7304261896858397E-6</v>
      </c>
    </row>
    <row r="7" spans="1:16" x14ac:dyDescent="0.2">
      <c r="A7">
        <v>6</v>
      </c>
      <c r="B7">
        <v>754</v>
      </c>
      <c r="C7">
        <v>275</v>
      </c>
      <c r="D7">
        <v>0.30040451735384299</v>
      </c>
      <c r="E7">
        <v>5.3141772749116596</v>
      </c>
      <c r="F7">
        <v>0.63317816712185704</v>
      </c>
      <c r="G7">
        <v>-110.58404702705313</v>
      </c>
      <c r="H7">
        <v>-68.988605417951206</v>
      </c>
      <c r="I7">
        <v>40.498474330091703</v>
      </c>
      <c r="J7">
        <v>18.2968074824167</v>
      </c>
      <c r="K7">
        <v>8.3928624688174498</v>
      </c>
      <c r="L7">
        <v>1.1546781194198569E-3</v>
      </c>
      <c r="M7">
        <v>1.8573330896199354E-4</v>
      </c>
      <c r="N7" s="1">
        <v>6.45424628063446E-6</v>
      </c>
      <c r="O7" s="1">
        <v>1.2661957580078801E-6</v>
      </c>
      <c r="P7" s="1">
        <v>-4.7414345714859599E-6</v>
      </c>
    </row>
    <row r="8" spans="1:16" x14ac:dyDescent="0.2">
      <c r="A8">
        <v>7</v>
      </c>
      <c r="B8">
        <v>753</v>
      </c>
      <c r="C8">
        <v>275</v>
      </c>
      <c r="D8">
        <v>0.29965453393753799</v>
      </c>
      <c r="E8">
        <v>5.5363189437948401</v>
      </c>
      <c r="F8">
        <v>0.65224183118977297</v>
      </c>
      <c r="G8">
        <v>-114.23121802112509</v>
      </c>
      <c r="H8">
        <v>-72.160387497296767</v>
      </c>
      <c r="I8">
        <v>41.001222057842497</v>
      </c>
      <c r="J8">
        <v>18.5953595644697</v>
      </c>
      <c r="K8">
        <v>8.4881384159244693</v>
      </c>
      <c r="L8">
        <v>1.144151467322332E-3</v>
      </c>
      <c r="M8">
        <v>1.8361504903552313E-4</v>
      </c>
      <c r="N8" s="1">
        <v>6.5211931576169796E-6</v>
      </c>
      <c r="O8" s="1">
        <v>1.2652903943410401E-6</v>
      </c>
      <c r="P8" s="1">
        <v>-4.7523019356846501E-6</v>
      </c>
    </row>
    <row r="9" spans="1:16" x14ac:dyDescent="0.2">
      <c r="A9">
        <v>8</v>
      </c>
      <c r="B9">
        <v>752</v>
      </c>
      <c r="C9">
        <v>275</v>
      </c>
      <c r="D9">
        <v>0.29890308735307097</v>
      </c>
      <c r="E9">
        <v>5.7573588632202499</v>
      </c>
      <c r="F9">
        <v>0.670799034114126</v>
      </c>
      <c r="G9">
        <v>-117.85904471220675</v>
      </c>
      <c r="H9">
        <v>-75.317127658474377</v>
      </c>
      <c r="I9">
        <v>41.500753740413103</v>
      </c>
      <c r="J9">
        <v>18.8924156143628</v>
      </c>
      <c r="K9">
        <v>8.5828371396264096</v>
      </c>
      <c r="L9">
        <v>1.1339075306518258E-3</v>
      </c>
      <c r="M9">
        <v>1.8155038858140178E-4</v>
      </c>
      <c r="N9" s="1">
        <v>6.5883624293307302E-6</v>
      </c>
      <c r="O9" s="1">
        <v>1.2643391577867301E-6</v>
      </c>
      <c r="P9" s="1">
        <v>-4.7630283815262797E-6</v>
      </c>
    </row>
    <row r="10" spans="1:16" x14ac:dyDescent="0.2">
      <c r="A10">
        <v>9</v>
      </c>
      <c r="B10">
        <v>751</v>
      </c>
      <c r="C10">
        <v>275</v>
      </c>
      <c r="D10">
        <v>0.29815017331445698</v>
      </c>
      <c r="E10">
        <v>5.9773059163980404</v>
      </c>
      <c r="F10">
        <v>0.68887070087705604</v>
      </c>
      <c r="G10">
        <v>-121.46768364834541</v>
      </c>
      <c r="H10">
        <v>-78.458947488665814</v>
      </c>
      <c r="I10">
        <v>41.997094093966602</v>
      </c>
      <c r="J10">
        <v>19.187987070848799</v>
      </c>
      <c r="K10">
        <v>8.6769634835504803</v>
      </c>
      <c r="L10">
        <v>1.1239345056929032E-3</v>
      </c>
      <c r="M10">
        <v>1.7953711744759371E-4</v>
      </c>
      <c r="N10" s="1">
        <v>6.6557509403520999E-6</v>
      </c>
      <c r="O10" s="1">
        <v>1.2633424814408801E-6</v>
      </c>
      <c r="P10" s="1">
        <v>-4.7736140076186398E-6</v>
      </c>
    </row>
    <row r="11" spans="1:16" x14ac:dyDescent="0.2">
      <c r="A11">
        <v>10</v>
      </c>
      <c r="B11">
        <v>750</v>
      </c>
      <c r="C11">
        <v>275</v>
      </c>
      <c r="D11">
        <v>0.29739578751893703</v>
      </c>
      <c r="E11">
        <v>6.1961688917649598</v>
      </c>
      <c r="F11">
        <v>0.70647661809848505</v>
      </c>
      <c r="G11">
        <v>-125.05728971001963</v>
      </c>
      <c r="H11">
        <v>-81.585967276980938</v>
      </c>
      <c r="I11">
        <v>42.490267570153698</v>
      </c>
      <c r="J11">
        <v>19.482085245483201</v>
      </c>
      <c r="K11">
        <v>8.7705222409797994</v>
      </c>
      <c r="L11">
        <v>1.1142212306897209E-3</v>
      </c>
      <c r="M11">
        <v>1.7757314585034706E-4</v>
      </c>
      <c r="N11" s="1">
        <v>6.7233555108631804E-6</v>
      </c>
      <c r="O11" s="1">
        <v>1.26230079620975E-6</v>
      </c>
      <c r="P11" s="1">
        <v>-4.7840589122509696E-6</v>
      </c>
    </row>
    <row r="12" spans="1:16" x14ac:dyDescent="0.2">
      <c r="A12">
        <v>11</v>
      </c>
      <c r="B12">
        <v>749</v>
      </c>
      <c r="C12">
        <v>275</v>
      </c>
      <c r="D12">
        <v>0.29663992564692099</v>
      </c>
      <c r="E12">
        <v>6.4139564824863102</v>
      </c>
      <c r="F12">
        <v>0.72363551026525497</v>
      </c>
      <c r="G12">
        <v>-128.62801610246601</v>
      </c>
      <c r="H12">
        <v>-84.698306006937713</v>
      </c>
      <c r="I12">
        <v>42.9802983546695</v>
      </c>
      <c r="J12">
        <v>19.774721321668199</v>
      </c>
      <c r="K12">
        <v>8.8635181545129207</v>
      </c>
      <c r="L12">
        <v>1.1047571428713411E-3</v>
      </c>
      <c r="M12">
        <v>1.7565649631293338E-4</v>
      </c>
      <c r="N12" s="1">
        <v>6.7911729365860803E-6</v>
      </c>
      <c r="O12" s="1">
        <v>1.2612145307851501E-6</v>
      </c>
      <c r="P12" s="1">
        <v>-4.7943631933069698E-6</v>
      </c>
    </row>
    <row r="13" spans="1:16" x14ac:dyDescent="0.2">
      <c r="A13">
        <v>12</v>
      </c>
      <c r="B13">
        <v>748</v>
      </c>
      <c r="C13">
        <v>275</v>
      </c>
      <c r="D13">
        <v>0.29588258336189799</v>
      </c>
      <c r="E13">
        <v>6.6306772879422002</v>
      </c>
      <c r="F13">
        <v>0.740365110014093</v>
      </c>
      <c r="G13">
        <v>-132.18001438310392</v>
      </c>
      <c r="H13">
        <v>-87.796081376496488</v>
      </c>
      <c r="I13">
        <v>43.467210373188202</v>
      </c>
      <c r="J13">
        <v>20.065906357416999</v>
      </c>
      <c r="K13">
        <v>8.9559559172311296</v>
      </c>
      <c r="L13">
        <v>1.0955322388251484E-3</v>
      </c>
      <c r="M13">
        <v>1.7378529623417733E-4</v>
      </c>
      <c r="N13" s="1">
        <v>6.8591999894821999E-6</v>
      </c>
      <c r="O13" s="1">
        <v>1.26008411176429E-6</v>
      </c>
      <c r="P13" s="1">
        <v>-4.8045269487260896E-6</v>
      </c>
    </row>
    <row r="14" spans="1:16" x14ac:dyDescent="0.2">
      <c r="A14">
        <v>13</v>
      </c>
      <c r="B14">
        <v>747</v>
      </c>
      <c r="C14">
        <v>275</v>
      </c>
      <c r="D14">
        <v>0.29512375631034898</v>
      </c>
      <c r="E14">
        <v>6.8463398157058704</v>
      </c>
      <c r="F14">
        <v>0.75668222301100196</v>
      </c>
      <c r="G14">
        <v>-135.71343449368462</v>
      </c>
      <c r="H14">
        <v>-90.879409826074607</v>
      </c>
      <c r="I14">
        <v>43.951027294141902</v>
      </c>
      <c r="J14">
        <v>20.355651287008399</v>
      </c>
      <c r="K14">
        <v>9.0478401732008393</v>
      </c>
      <c r="L14">
        <v>1.0865370379119265E-3</v>
      </c>
      <c r="M14">
        <v>1.7195777102935043E-4</v>
      </c>
      <c r="N14" s="1">
        <v>6.9274334175519999E-6</v>
      </c>
      <c r="O14" s="1">
        <v>1.2589099635977401E-6</v>
      </c>
      <c r="P14" s="1">
        <v>-4.81455027631584E-6</v>
      </c>
    </row>
    <row r="15" spans="1:16" x14ac:dyDescent="0.2">
      <c r="A15">
        <v>14</v>
      </c>
      <c r="B15">
        <v>746</v>
      </c>
      <c r="C15">
        <v>275</v>
      </c>
      <c r="D15">
        <v>0.29436344012167098</v>
      </c>
      <c r="E15">
        <v>7.0609524824814098</v>
      </c>
      <c r="F15">
        <v>0.77260278766614998</v>
      </c>
      <c r="G15">
        <v>-139.22842477862483</v>
      </c>
      <c r="H15">
        <v>-93.948406550798765</v>
      </c>
      <c r="I15">
        <v>44.431772533425502</v>
      </c>
      <c r="J15">
        <v>20.643966923063299</v>
      </c>
      <c r="K15">
        <v>9.1391755183939694</v>
      </c>
      <c r="L15">
        <v>1.077762548599825E-3</v>
      </c>
      <c r="M15">
        <v>1.7017223781568336E-4</v>
      </c>
      <c r="N15" s="1">
        <v>6.9958699455403002E-6</v>
      </c>
      <c r="O15" s="1">
        <v>1.25769250870235E-6</v>
      </c>
      <c r="P15" s="1">
        <v>-4.8244332741928204E-6</v>
      </c>
    </row>
    <row r="16" spans="1:16" x14ac:dyDescent="0.2">
      <c r="A16">
        <v>15</v>
      </c>
      <c r="B16">
        <v>745</v>
      </c>
      <c r="C16">
        <v>275</v>
      </c>
      <c r="D16">
        <v>0.29360163040809401</v>
      </c>
      <c r="E16">
        <v>7.2745236146633196</v>
      </c>
      <c r="F16">
        <v>0.78814193031614899</v>
      </c>
      <c r="G16">
        <v>-142.72513199450606</v>
      </c>
      <c r="H16">
        <v>-97.003185508124602</v>
      </c>
      <c r="I16">
        <v>44.909469255002399</v>
      </c>
      <c r="J16">
        <v>20.9308639568121</v>
      </c>
      <c r="K16">
        <v>9.22996650076119</v>
      </c>
      <c r="L16">
        <v>1.0692002373521451E-3</v>
      </c>
      <c r="M16">
        <v>1.6842709957735257E-4</v>
      </c>
      <c r="N16" s="1">
        <v>7.06450627488037E-6</v>
      </c>
      <c r="O16" s="1">
        <v>1.2564321674340699E-6</v>
      </c>
      <c r="P16" s="1">
        <v>-4.8341760406917004E-6</v>
      </c>
    </row>
    <row r="17" spans="1:16" x14ac:dyDescent="0.2">
      <c r="A17">
        <v>16</v>
      </c>
      <c r="B17">
        <v>744</v>
      </c>
      <c r="C17">
        <v>275</v>
      </c>
      <c r="D17">
        <v>0.29283832276459099</v>
      </c>
      <c r="E17">
        <v>7.4870614503787296</v>
      </c>
      <c r="F17">
        <v>0.803314016305685</v>
      </c>
      <c r="G17">
        <v>-146.20370134608149</v>
      </c>
      <c r="H17">
        <v>-100.04385944597048</v>
      </c>
      <c r="I17">
        <v>45.3841403774071</v>
      </c>
      <c r="J17">
        <v>21.216352961304501</v>
      </c>
      <c r="K17">
        <v>9.3202176215106292</v>
      </c>
      <c r="L17">
        <v>1.0608419998248565E-3</v>
      </c>
      <c r="M17">
        <v>1.6672083976474939E-4</v>
      </c>
      <c r="N17" s="1">
        <v>7.1333390843404698E-6</v>
      </c>
      <c r="O17" s="1">
        <v>1.2551293581844601E-6</v>
      </c>
      <c r="P17" s="1">
        <v>-4.84377867474939E-6</v>
      </c>
    </row>
    <row r="18" spans="1:16" x14ac:dyDescent="0.2">
      <c r="A18">
        <v>17</v>
      </c>
      <c r="B18">
        <v>743</v>
      </c>
      <c r="C18">
        <v>275</v>
      </c>
      <c r="D18">
        <v>0.29207351276878402</v>
      </c>
      <c r="E18">
        <v>7.6985741400224601</v>
      </c>
      <c r="F18">
        <v>0.81813269720287896</v>
      </c>
      <c r="G18">
        <v>-149.66427649543809</v>
      </c>
      <c r="H18">
        <v>-103.07053990997592</v>
      </c>
      <c r="I18">
        <v>45.855808574410702</v>
      </c>
      <c r="J18">
        <v>21.5004443917001</v>
      </c>
      <c r="K18">
        <v>9.4099333351951095</v>
      </c>
      <c r="L18">
        <v>1.0526801342463812E-3</v>
      </c>
      <c r="M18">
        <v>1.6505201730182445E-4</v>
      </c>
      <c r="N18" s="1">
        <v>7.20236503001719E-6</v>
      </c>
      <c r="O18" s="1">
        <v>1.2537844973576399E-6</v>
      </c>
      <c r="P18" s="1">
        <v>-4.8532412758326396E-6</v>
      </c>
    </row>
    <row r="19" spans="1:16" x14ac:dyDescent="0.2">
      <c r="A19">
        <v>18</v>
      </c>
      <c r="B19">
        <v>742</v>
      </c>
      <c r="C19">
        <v>275</v>
      </c>
      <c r="D19">
        <v>0.291307195980888</v>
      </c>
      <c r="E19">
        <v>7.9090697482985002</v>
      </c>
      <c r="F19">
        <v>0.83261095461236201</v>
      </c>
      <c r="G19">
        <v>-153.10699959744292</v>
      </c>
      <c r="H19">
        <v>-106.08333727179338</v>
      </c>
      <c r="I19">
        <v>46.324496280863002</v>
      </c>
      <c r="J19">
        <v>21.7831485882168</v>
      </c>
      <c r="K19">
        <v>9.4991180508557207</v>
      </c>
      <c r="L19">
        <v>1.0447073167129011E-3</v>
      </c>
      <c r="M19">
        <v>1.6341926195399454E-4</v>
      </c>
      <c r="N19" s="1">
        <v>7.2715807458487998E-6</v>
      </c>
      <c r="O19" s="1">
        <v>1.2523979994390899E-6</v>
      </c>
      <c r="P19" s="1">
        <v>-4.8625639442206499E-6</v>
      </c>
    </row>
    <row r="20" spans="1:16" x14ac:dyDescent="0.2">
      <c r="A20">
        <v>19</v>
      </c>
      <c r="B20">
        <v>741</v>
      </c>
      <c r="C20">
        <v>275</v>
      </c>
      <c r="D20">
        <v>0.29053936794360102</v>
      </c>
      <c r="E20">
        <v>9.1268756568292009</v>
      </c>
      <c r="F20">
        <v>0.90719808140668901</v>
      </c>
      <c r="G20">
        <v>-172.85519752327897</v>
      </c>
      <c r="H20">
        <v>-122.98639151119768</v>
      </c>
      <c r="I20">
        <v>49.175658230714703</v>
      </c>
      <c r="J20">
        <v>23.3964384617524</v>
      </c>
      <c r="K20">
        <v>10.0605103162003</v>
      </c>
      <c r="L20">
        <v>1.0004106918963607E-3</v>
      </c>
      <c r="M20">
        <v>1.5607302037684036E-4</v>
      </c>
      <c r="N20" s="1">
        <v>7.4212634469363697E-6</v>
      </c>
      <c r="O20" s="1">
        <v>1.2655543191613901E-6</v>
      </c>
      <c r="P20" s="1">
        <v>-4.9285122805115198E-6</v>
      </c>
    </row>
    <row r="21" spans="1:16" x14ac:dyDescent="0.2">
      <c r="A21">
        <v>20</v>
      </c>
      <c r="B21">
        <v>740</v>
      </c>
      <c r="C21">
        <v>275</v>
      </c>
      <c r="D21">
        <v>0.28977002418201098</v>
      </c>
      <c r="E21">
        <v>26.622215261908501</v>
      </c>
      <c r="F21">
        <v>1.44713136249668</v>
      </c>
      <c r="G21">
        <v>-458.47523946048767</v>
      </c>
      <c r="H21">
        <v>-365.77147415779427</v>
      </c>
      <c r="I21">
        <v>91.503790709090197</v>
      </c>
      <c r="J21">
        <v>47.009538378583301</v>
      </c>
      <c r="K21">
        <v>18.396543639257501</v>
      </c>
      <c r="L21">
        <v>6.7786483523494666E-4</v>
      </c>
      <c r="M21">
        <v>1.0500233538348274E-4</v>
      </c>
      <c r="N21" s="1">
        <v>9.0330480385886808E-6</v>
      </c>
      <c r="O21" s="1">
        <v>1.54824891434771E-6</v>
      </c>
      <c r="P21" s="1">
        <v>-6.0470579733204698E-6</v>
      </c>
    </row>
    <row r="22" spans="1:16" x14ac:dyDescent="0.2">
      <c r="A22">
        <v>21</v>
      </c>
      <c r="B22">
        <v>739</v>
      </c>
      <c r="C22">
        <v>275</v>
      </c>
      <c r="D22">
        <v>0.28899916020352701</v>
      </c>
      <c r="E22">
        <v>85.824507509332506</v>
      </c>
      <c r="F22">
        <v>1.84301349729875</v>
      </c>
      <c r="G22">
        <v>-1420.9224465667041</v>
      </c>
      <c r="H22">
        <v>-1183.0573321022441</v>
      </c>
      <c r="I22">
        <v>235.01508791582299</v>
      </c>
      <c r="J22">
        <v>127.01061747997601</v>
      </c>
      <c r="K22">
        <v>46.567487234967402</v>
      </c>
      <c r="L22">
        <v>4.456635535157107E-4</v>
      </c>
      <c r="M22">
        <v>6.8312134453540701E-5</v>
      </c>
      <c r="N22" s="1">
        <v>1.4469470698078399E-5</v>
      </c>
      <c r="O22" s="1">
        <v>2.5271981542131698E-6</v>
      </c>
      <c r="P22" s="1">
        <v>-9.8986194422180894E-6</v>
      </c>
    </row>
    <row r="23" spans="1:16" x14ac:dyDescent="0.2">
      <c r="A23">
        <v>22</v>
      </c>
      <c r="B23">
        <v>738</v>
      </c>
      <c r="C23">
        <v>275</v>
      </c>
      <c r="D23">
        <v>0.28822677149780002</v>
      </c>
      <c r="E23">
        <v>101.76869849350101</v>
      </c>
      <c r="F23">
        <v>1.8800811259152199</v>
      </c>
      <c r="G23">
        <v>-1679.7916535211766</v>
      </c>
      <c r="H23">
        <v>-1403.2180080849553</v>
      </c>
      <c r="I23">
        <v>273.529762481099</v>
      </c>
      <c r="J23">
        <v>148.59006838945399</v>
      </c>
      <c r="K23">
        <v>54.129950612615303</v>
      </c>
      <c r="L23">
        <v>4.2435762897483135E-4</v>
      </c>
      <c r="M23">
        <v>6.481064511489954E-5</v>
      </c>
      <c r="N23" s="1">
        <v>1.6001883181741798E-5</v>
      </c>
      <c r="O23" s="1">
        <v>2.7819217489160298E-6</v>
      </c>
      <c r="P23" s="1">
        <v>-1.0929024333371E-5</v>
      </c>
    </row>
    <row r="24" spans="1:16" x14ac:dyDescent="0.2">
      <c r="A24">
        <v>23</v>
      </c>
      <c r="B24">
        <v>759</v>
      </c>
      <c r="C24">
        <v>250</v>
      </c>
      <c r="D24">
        <v>0.33077604999273502</v>
      </c>
      <c r="E24">
        <v>4.8272914662431399</v>
      </c>
      <c r="F24">
        <v>0.52413384568172094</v>
      </c>
      <c r="G24">
        <v>-104.91260517988826</v>
      </c>
      <c r="H24">
        <v>-61.35008056369778</v>
      </c>
      <c r="I24">
        <v>42.208290547688897</v>
      </c>
      <c r="J24">
        <v>18.800209604062701</v>
      </c>
      <c r="K24">
        <v>9.2100357685630101</v>
      </c>
      <c r="L24">
        <v>1.2932992560888324E-3</v>
      </c>
      <c r="M24">
        <v>2.2978861796121934E-4</v>
      </c>
      <c r="N24" s="1">
        <v>7.1394123473446202E-6</v>
      </c>
      <c r="O24" s="1">
        <v>1.9627233158414102E-6</v>
      </c>
      <c r="P24" s="1">
        <v>-6.5232676532694396E-6</v>
      </c>
    </row>
    <row r="25" spans="1:16" x14ac:dyDescent="0.2">
      <c r="A25">
        <v>24</v>
      </c>
      <c r="B25">
        <v>758</v>
      </c>
      <c r="C25">
        <v>250</v>
      </c>
      <c r="D25">
        <v>0.330059157251614</v>
      </c>
      <c r="E25">
        <v>4.8286300057228004</v>
      </c>
      <c r="F25">
        <v>0.52481238107299999</v>
      </c>
      <c r="G25">
        <v>-104.89948507777089</v>
      </c>
      <c r="H25">
        <v>-61.38590216003746</v>
      </c>
      <c r="I25">
        <v>42.201761292085997</v>
      </c>
      <c r="J25">
        <v>18.814753012467101</v>
      </c>
      <c r="K25">
        <v>9.2006785279159704</v>
      </c>
      <c r="L25">
        <v>1.2941935850456405E-3</v>
      </c>
      <c r="M25">
        <v>2.2937696661968069E-4</v>
      </c>
      <c r="N25" s="1">
        <v>7.2108779237169104E-6</v>
      </c>
      <c r="O25" s="1">
        <v>1.9566607893170798E-6</v>
      </c>
      <c r="P25" s="1">
        <v>-6.5239019653826198E-6</v>
      </c>
    </row>
    <row r="26" spans="1:16" x14ac:dyDescent="0.2">
      <c r="A26">
        <v>25</v>
      </c>
      <c r="B26">
        <v>757</v>
      </c>
      <c r="C26">
        <v>250</v>
      </c>
      <c r="D26">
        <v>0.32934087268844398</v>
      </c>
      <c r="E26">
        <v>5.0481029086007503</v>
      </c>
      <c r="F26">
        <v>0.54320139890542196</v>
      </c>
      <c r="G26">
        <v>-108.50324785820283</v>
      </c>
      <c r="H26">
        <v>-64.521641289156918</v>
      </c>
      <c r="I26">
        <v>42.697060324630201</v>
      </c>
      <c r="J26">
        <v>19.111377802792799</v>
      </c>
      <c r="K26">
        <v>9.2932435718555393</v>
      </c>
      <c r="L26">
        <v>1.2837141026984548E-3</v>
      </c>
      <c r="M26">
        <v>2.2696534269673818E-4</v>
      </c>
      <c r="N26" s="1">
        <v>7.2986514099689298E-6</v>
      </c>
      <c r="O26" s="1">
        <v>1.9549061100854898E-6</v>
      </c>
      <c r="P26" s="1">
        <v>-6.5388989640895901E-6</v>
      </c>
    </row>
    <row r="27" spans="1:16" x14ac:dyDescent="0.2">
      <c r="A27">
        <v>26</v>
      </c>
      <c r="B27">
        <v>756</v>
      </c>
      <c r="C27">
        <v>250</v>
      </c>
      <c r="D27">
        <v>0.32862119224602798</v>
      </c>
      <c r="E27">
        <v>5.2667684203900498</v>
      </c>
      <c r="F27">
        <v>0.56116819542155705</v>
      </c>
      <c r="G27">
        <v>-112.09256536169561</v>
      </c>
      <c r="H27">
        <v>-67.646504387214691</v>
      </c>
      <c r="I27">
        <v>43.189853720583102</v>
      </c>
      <c r="J27">
        <v>19.406905115859399</v>
      </c>
      <c r="K27">
        <v>9.3853651425016604</v>
      </c>
      <c r="L27">
        <v>1.2734773037650356E-3</v>
      </c>
      <c r="M27">
        <v>2.2460626382362381E-4</v>
      </c>
      <c r="N27" s="1">
        <v>7.3868396216512097E-6</v>
      </c>
      <c r="O27" s="1">
        <v>1.9530913960845501E-6</v>
      </c>
      <c r="P27" s="1">
        <v>-6.5537401049750199E-6</v>
      </c>
    </row>
    <row r="28" spans="1:16" x14ac:dyDescent="0.2">
      <c r="A28">
        <v>27</v>
      </c>
      <c r="B28">
        <v>755</v>
      </c>
      <c r="C28">
        <v>250</v>
      </c>
      <c r="D28">
        <v>0.32790011185138401</v>
      </c>
      <c r="E28">
        <v>5.4843651728864797</v>
      </c>
      <c r="F28">
        <v>0.57870743787185497</v>
      </c>
      <c r="G28">
        <v>-115.66311238137244</v>
      </c>
      <c r="H28">
        <v>-70.75677303323755</v>
      </c>
      <c r="I28">
        <v>43.6795439892378</v>
      </c>
      <c r="J28">
        <v>19.700996781461502</v>
      </c>
      <c r="K28">
        <v>9.4769218675583993</v>
      </c>
      <c r="L28">
        <v>1.2634875159257782E-3</v>
      </c>
      <c r="M28">
        <v>2.2230015219391148E-4</v>
      </c>
      <c r="N28" s="1">
        <v>7.4754185182241504E-6</v>
      </c>
      <c r="O28" s="1">
        <v>1.95121182435656E-6</v>
      </c>
      <c r="P28" s="1">
        <v>-6.5684072100404096E-6</v>
      </c>
    </row>
    <row r="29" spans="1:16" x14ac:dyDescent="0.2">
      <c r="A29">
        <v>28</v>
      </c>
      <c r="B29">
        <v>754</v>
      </c>
      <c r="C29">
        <v>250</v>
      </c>
      <c r="D29">
        <v>0.32717762741566497</v>
      </c>
      <c r="E29">
        <v>5.70090162300259</v>
      </c>
      <c r="F29">
        <v>0.59583509707178295</v>
      </c>
      <c r="G29">
        <v>-119.2150381500775</v>
      </c>
      <c r="H29">
        <v>-73.852562993839229</v>
      </c>
      <c r="I29">
        <v>44.166154649218697</v>
      </c>
      <c r="J29">
        <v>19.9936635403783</v>
      </c>
      <c r="K29">
        <v>9.5679184576731497</v>
      </c>
      <c r="L29">
        <v>1.2537353603305609E-3</v>
      </c>
      <c r="M29">
        <v>2.2004503108007123E-4</v>
      </c>
      <c r="N29" s="1">
        <v>7.5643837466136399E-6</v>
      </c>
      <c r="O29" s="1">
        <v>1.9492679278916999E-6</v>
      </c>
      <c r="P29" s="1">
        <v>-6.5828999638593997E-6</v>
      </c>
    </row>
    <row r="30" spans="1:16" x14ac:dyDescent="0.2">
      <c r="A30">
        <v>29</v>
      </c>
      <c r="B30">
        <v>753</v>
      </c>
      <c r="C30">
        <v>250</v>
      </c>
      <c r="D30">
        <v>0.32645373483409301</v>
      </c>
      <c r="E30">
        <v>5.9163861376890496</v>
      </c>
      <c r="F30">
        <v>0.61256635679161997</v>
      </c>
      <c r="G30">
        <v>-122.74849031785566</v>
      </c>
      <c r="H30">
        <v>-76.933988802386466</v>
      </c>
      <c r="I30">
        <v>44.649708970179503</v>
      </c>
      <c r="J30">
        <v>20.284916012842</v>
      </c>
      <c r="K30">
        <v>9.6583595754045799</v>
      </c>
      <c r="L30">
        <v>1.2442119199513489E-3</v>
      </c>
      <c r="M30">
        <v>2.1783902134837725E-4</v>
      </c>
      <c r="N30" s="1">
        <v>7.6537308975817099E-6</v>
      </c>
      <c r="O30" s="1">
        <v>1.9472602380555501E-6</v>
      </c>
      <c r="P30" s="1">
        <v>-6.5972180509015998E-6</v>
      </c>
    </row>
    <row r="31" spans="1:16" x14ac:dyDescent="0.2">
      <c r="A31">
        <v>30</v>
      </c>
      <c r="B31">
        <v>752</v>
      </c>
      <c r="C31">
        <v>250</v>
      </c>
      <c r="D31">
        <v>0.32572842998585799</v>
      </c>
      <c r="E31">
        <v>6.1308269953639796</v>
      </c>
      <c r="F31">
        <v>0.62891566163148904</v>
      </c>
      <c r="G31">
        <v>-126.26361497700715</v>
      </c>
      <c r="H31">
        <v>-80.001163778663084</v>
      </c>
      <c r="I31">
        <v>45.130229976848099</v>
      </c>
      <c r="J31">
        <v>20.5747647005395</v>
      </c>
      <c r="K31">
        <v>9.7482498360111105</v>
      </c>
      <c r="L31">
        <v>1.2349087115017933E-3</v>
      </c>
      <c r="M31">
        <v>2.1568033552344604E-4</v>
      </c>
      <c r="N31" s="1">
        <v>7.7434555061006392E-6</v>
      </c>
      <c r="O31" s="1">
        <v>1.94518928466079E-6</v>
      </c>
      <c r="P31" s="1">
        <v>-6.6113611558491901E-6</v>
      </c>
    </row>
    <row r="32" spans="1:16" x14ac:dyDescent="0.2">
      <c r="A32">
        <v>31</v>
      </c>
      <c r="B32">
        <v>751</v>
      </c>
      <c r="C32">
        <v>250</v>
      </c>
      <c r="D32">
        <v>0.32500170873407402</v>
      </c>
      <c r="E32">
        <v>6.3442323848006099</v>
      </c>
      <c r="F32">
        <v>0.64489676127599005</v>
      </c>
      <c r="G32">
        <v>-129.76055664436933</v>
      </c>
      <c r="H32">
        <v>-83.054200012592361</v>
      </c>
      <c r="I32">
        <v>45.607740446423897</v>
      </c>
      <c r="J32">
        <v>20.863219984990199</v>
      </c>
      <c r="K32">
        <v>9.8375938068721798</v>
      </c>
      <c r="L32">
        <v>1.2258176594903221E-3</v>
      </c>
      <c r="M32">
        <v>2.1356727229957951E-4</v>
      </c>
      <c r="N32" s="1">
        <v>7.8335530513664297E-6</v>
      </c>
      <c r="O32" s="1">
        <v>1.9430555959410998E-6</v>
      </c>
      <c r="P32" s="1">
        <v>-6.6253289635852896E-6</v>
      </c>
    </row>
    <row r="33" spans="1:16" x14ac:dyDescent="0.2">
      <c r="A33">
        <v>32</v>
      </c>
      <c r="B33">
        <v>750</v>
      </c>
      <c r="C33">
        <v>250</v>
      </c>
      <c r="D33">
        <v>0.324273566925672</v>
      </c>
      <c r="E33">
        <v>6.5566104091738699</v>
      </c>
      <c r="F33">
        <v>0.66052275194042998</v>
      </c>
      <c r="G33">
        <v>-133.23945833042427</v>
      </c>
      <c r="H33">
        <v>-86.093208420921599</v>
      </c>
      <c r="I33">
        <v>46.082262919510001</v>
      </c>
      <c r="J33">
        <v>21.150292133293402</v>
      </c>
      <c r="K33">
        <v>9.9263960096944306</v>
      </c>
      <c r="L33">
        <v>1.2169310718999594E-3</v>
      </c>
      <c r="M33">
        <v>2.1149821140449391E-4</v>
      </c>
      <c r="N33" s="1">
        <v>7.9240189576269508E-6</v>
      </c>
      <c r="O33" s="1">
        <v>1.9408596987250001E-6</v>
      </c>
      <c r="P33" s="1">
        <v>-6.6391211598651602E-6</v>
      </c>
    </row>
    <row r="34" spans="1:16" x14ac:dyDescent="0.2">
      <c r="A34">
        <v>33</v>
      </c>
      <c r="B34">
        <v>749</v>
      </c>
      <c r="C34">
        <v>250</v>
      </c>
      <c r="D34">
        <v>0.32354400039133302</v>
      </c>
      <c r="E34">
        <v>6.7679690857391801</v>
      </c>
      <c r="F34">
        <v>0.67580611462062601</v>
      </c>
      <c r="G34">
        <v>-136.70046153437522</v>
      </c>
      <c r="H34">
        <v>-89.118298742290605</v>
      </c>
      <c r="I34">
        <v>46.553819698964098</v>
      </c>
      <c r="J34">
        <v>21.435991297389801</v>
      </c>
      <c r="K34">
        <v>10.014660920223299</v>
      </c>
      <c r="L34">
        <v>1.2082416177595899E-3</v>
      </c>
      <c r="M34">
        <v>2.0947160885584421E-4</v>
      </c>
      <c r="N34" s="1">
        <v>8.0148485942244999E-6</v>
      </c>
      <c r="O34" s="1">
        <v>1.9386021184022498E-6</v>
      </c>
      <c r="P34" s="1">
        <v>-6.6527374312879198E-6</v>
      </c>
    </row>
    <row r="35" spans="1:16" x14ac:dyDescent="0.2">
      <c r="A35">
        <v>34</v>
      </c>
      <c r="B35">
        <v>748</v>
      </c>
      <c r="C35">
        <v>250</v>
      </c>
      <c r="D35">
        <v>0.32281300494540499</v>
      </c>
      <c r="E35">
        <v>6.9783163459966504</v>
      </c>
      <c r="F35">
        <v>0.69075875069751602</v>
      </c>
      <c r="G35">
        <v>-140.14370624851506</v>
      </c>
      <c r="H35">
        <v>-92.129579538844126</v>
      </c>
      <c r="I35">
        <v>47.022432851432796</v>
      </c>
      <c r="J35">
        <v>21.7203275145988</v>
      </c>
      <c r="K35">
        <v>10.1023929685292</v>
      </c>
      <c r="L35">
        <v>1.199742306266284E-3</v>
      </c>
      <c r="M35">
        <v>2.0748599254594795E-4</v>
      </c>
      <c r="N35" s="1">
        <v>8.1060372760441102E-6</v>
      </c>
      <c r="O35" s="1">
        <v>1.9362833789922E-6</v>
      </c>
      <c r="P35" s="1">
        <v>-6.6661774656160298E-6</v>
      </c>
    </row>
    <row r="36" spans="1:16" x14ac:dyDescent="0.2">
      <c r="A36">
        <v>35</v>
      </c>
      <c r="B36">
        <v>747</v>
      </c>
      <c r="C36">
        <v>250</v>
      </c>
      <c r="D36">
        <v>0.32208057638582899</v>
      </c>
      <c r="E36">
        <v>7.18766003803327</v>
      </c>
      <c r="F36">
        <v>0.70539201525088002</v>
      </c>
      <c r="G36">
        <v>-143.56933099799889</v>
      </c>
      <c r="H36">
        <v>-95.127158229010647</v>
      </c>
      <c r="I36">
        <v>47.488124213050199</v>
      </c>
      <c r="J36">
        <v>22.003310710626302</v>
      </c>
      <c r="K36">
        <v>10.1895965401265</v>
      </c>
      <c r="L36">
        <v>1.1914264672409644E-3</v>
      </c>
      <c r="M36">
        <v>2.0553995811246255E-4</v>
      </c>
      <c r="N36" s="1">
        <v>8.1975802639661708E-6</v>
      </c>
      <c r="O36" s="1">
        <v>1.9339040032040799E-6</v>
      </c>
      <c r="P36" s="1">
        <v>-6.6794409520730399E-6</v>
      </c>
    </row>
    <row r="37" spans="1:16" x14ac:dyDescent="0.2">
      <c r="A37">
        <v>36</v>
      </c>
      <c r="B37">
        <v>746</v>
      </c>
      <c r="C37">
        <v>250</v>
      </c>
      <c r="D37">
        <v>0.32134671049404001</v>
      </c>
      <c r="E37">
        <v>7.3960079292188396</v>
      </c>
      <c r="F37">
        <v>0.71971674812438702</v>
      </c>
      <c r="G37">
        <v>-146.97747288664107</v>
      </c>
      <c r="H37">
        <v>-98.111141125276333</v>
      </c>
      <c r="I37">
        <v>47.950915396178999</v>
      </c>
      <c r="J37">
        <v>22.284950703142101</v>
      </c>
      <c r="K37">
        <v>10.2762759773107</v>
      </c>
      <c r="L37">
        <v>1.1832877329021948E-3</v>
      </c>
      <c r="M37">
        <v>2.0363216508811481E-4</v>
      </c>
      <c r="N37" s="1">
        <v>8.2894727654472903E-6</v>
      </c>
      <c r="O37" s="1">
        <v>1.9314645125177401E-6</v>
      </c>
      <c r="P37" s="1">
        <v>-6.6925275817162501E-6</v>
      </c>
    </row>
    <row r="38" spans="1:16" x14ac:dyDescent="0.2">
      <c r="A38">
        <v>37</v>
      </c>
      <c r="B38">
        <v>745</v>
      </c>
      <c r="C38">
        <v>250</v>
      </c>
      <c r="D38">
        <v>0.32061140303491598</v>
      </c>
      <c r="E38">
        <v>7.6033677025672803</v>
      </c>
      <c r="F38">
        <v>0.73374330249763098</v>
      </c>
      <c r="G38">
        <v>-150.36826753772093</v>
      </c>
      <c r="H38">
        <v>-101.08163338188578</v>
      </c>
      <c r="I38">
        <v>48.410827781539403</v>
      </c>
      <c r="J38">
        <v>22.565257197117202</v>
      </c>
      <c r="K38">
        <v>10.362435577518299</v>
      </c>
      <c r="L38">
        <v>1.1753200211278875E-3</v>
      </c>
      <c r="M38">
        <v>2.0176133335419162E-4</v>
      </c>
      <c r="N38" s="1">
        <v>8.3817099345527207E-6</v>
      </c>
      <c r="O38" s="1">
        <v>1.9289654271356402E-6</v>
      </c>
      <c r="P38" s="1">
        <v>-6.70543704736775E-6</v>
      </c>
    </row>
    <row r="39" spans="1:16" x14ac:dyDescent="0.2">
      <c r="A39">
        <v>38</v>
      </c>
      <c r="B39">
        <v>744</v>
      </c>
      <c r="C39">
        <v>250</v>
      </c>
      <c r="D39">
        <v>0.31987464975667701</v>
      </c>
      <c r="E39">
        <v>20.605008626079801</v>
      </c>
      <c r="F39">
        <v>1.2417973619995699</v>
      </c>
      <c r="G39">
        <v>-363.03509123281844</v>
      </c>
      <c r="H39">
        <v>-281.85258918120752</v>
      </c>
      <c r="I39">
        <v>79.816931637341696</v>
      </c>
      <c r="J39">
        <v>40.079488818367302</v>
      </c>
      <c r="K39">
        <v>16.592891285339</v>
      </c>
      <c r="L39">
        <v>8.5215173002405585E-4</v>
      </c>
      <c r="M39">
        <v>1.4542793632883435E-4</v>
      </c>
      <c r="N39" s="1">
        <v>9.6624750320186393E-6</v>
      </c>
      <c r="O39" s="1">
        <v>2.2186830174530201E-6</v>
      </c>
      <c r="P39" s="1">
        <v>-7.7370009039808906E-6</v>
      </c>
    </row>
    <row r="40" spans="1:16" x14ac:dyDescent="0.2">
      <c r="A40">
        <v>39</v>
      </c>
      <c r="B40">
        <v>743</v>
      </c>
      <c r="C40">
        <v>250</v>
      </c>
      <c r="D40">
        <v>0.31913644639078897</v>
      </c>
      <c r="E40">
        <v>39.181962000636297</v>
      </c>
      <c r="F40">
        <v>1.53801641614954</v>
      </c>
      <c r="G40">
        <v>-666.46877504596171</v>
      </c>
      <c r="H40">
        <v>-539.92439011149827</v>
      </c>
      <c r="I40">
        <v>124.537020941264</v>
      </c>
      <c r="J40">
        <v>65.047164497752306</v>
      </c>
      <c r="K40">
        <v>25.4756461564494</v>
      </c>
      <c r="L40">
        <v>6.6344301957936753E-4</v>
      </c>
      <c r="M40">
        <v>1.1254360973081503E-4</v>
      </c>
      <c r="N40" s="1">
        <v>1.1457581624926201E-5</v>
      </c>
      <c r="O40" s="1">
        <v>2.6266314266284602E-6</v>
      </c>
      <c r="P40" s="1">
        <v>-9.18862600059851E-6</v>
      </c>
    </row>
    <row r="41" spans="1:16" x14ac:dyDescent="0.2">
      <c r="A41">
        <v>40</v>
      </c>
      <c r="B41">
        <v>742</v>
      </c>
      <c r="C41">
        <v>250</v>
      </c>
      <c r="D41">
        <v>0.318396788651924</v>
      </c>
      <c r="E41">
        <v>98.604734498087794</v>
      </c>
      <c r="F41">
        <v>1.8340077158358501</v>
      </c>
      <c r="G41">
        <v>-1631.0883693657263</v>
      </c>
      <c r="H41">
        <v>-1359.615186576628</v>
      </c>
      <c r="I41">
        <v>267.42754772804699</v>
      </c>
      <c r="J41">
        <v>144.75210106578999</v>
      </c>
      <c r="K41">
        <v>53.764623587283097</v>
      </c>
      <c r="L41">
        <v>4.7925422786182769E-4</v>
      </c>
      <c r="M41">
        <v>8.0583551431233626E-5</v>
      </c>
      <c r="N41" s="1">
        <v>1.70836077829961E-5</v>
      </c>
      <c r="O41" s="1">
        <v>3.9451886587503603E-6</v>
      </c>
      <c r="P41" s="1">
        <v>-1.3844345659641601E-5</v>
      </c>
    </row>
    <row r="42" spans="1:16" x14ac:dyDescent="0.2">
      <c r="A42">
        <v>41</v>
      </c>
      <c r="B42">
        <v>741</v>
      </c>
      <c r="C42">
        <v>250</v>
      </c>
      <c r="D42">
        <v>0.31765567223783697</v>
      </c>
      <c r="E42">
        <v>104.531393281447</v>
      </c>
      <c r="F42">
        <v>1.8481947709325</v>
      </c>
      <c r="G42">
        <v>-1727.1109106704341</v>
      </c>
      <c r="H42">
        <v>-1441.6167726119043</v>
      </c>
      <c r="I42">
        <v>281.51676467861603</v>
      </c>
      <c r="J42">
        <v>152.731683661061</v>
      </c>
      <c r="K42">
        <v>56.558645725799799</v>
      </c>
      <c r="L42">
        <v>4.7082445623465829E-4</v>
      </c>
      <c r="M42">
        <v>7.8933973674382546E-5</v>
      </c>
      <c r="N42" s="1">
        <v>1.7763538420677101E-5</v>
      </c>
      <c r="O42" s="1">
        <v>4.06199904304254E-6</v>
      </c>
      <c r="P42" s="1">
        <v>-1.4300200395195499E-5</v>
      </c>
    </row>
    <row r="43" spans="1:16" x14ac:dyDescent="0.2">
      <c r="A43">
        <v>42</v>
      </c>
      <c r="B43">
        <v>759</v>
      </c>
      <c r="C43">
        <v>225</v>
      </c>
      <c r="D43">
        <v>0.35741946422516302</v>
      </c>
      <c r="E43">
        <v>5.2149764089183597</v>
      </c>
      <c r="F43">
        <v>0.49213085957542302</v>
      </c>
      <c r="G43">
        <v>-113.59474420495164</v>
      </c>
      <c r="H43">
        <v>-66.176806991566252</v>
      </c>
      <c r="I43">
        <v>45.943827489340499</v>
      </c>
      <c r="J43">
        <v>20.5102312350079</v>
      </c>
      <c r="K43">
        <v>10.596727084778699</v>
      </c>
      <c r="L43">
        <v>1.4041719922708539E-3</v>
      </c>
      <c r="M43">
        <v>2.7663959775880412E-4</v>
      </c>
      <c r="N43" s="1">
        <v>7.6636680948732398E-6</v>
      </c>
      <c r="O43" s="1">
        <v>3.12402027822979E-6</v>
      </c>
      <c r="P43" s="1">
        <v>-9.1646603112623695E-6</v>
      </c>
    </row>
    <row r="44" spans="1:16" x14ac:dyDescent="0.2">
      <c r="A44">
        <v>43</v>
      </c>
      <c r="B44">
        <v>758</v>
      </c>
      <c r="C44">
        <v>225</v>
      </c>
      <c r="D44">
        <v>0.356728410027642</v>
      </c>
      <c r="E44">
        <v>5.2881181192454001</v>
      </c>
      <c r="F44">
        <v>0.49802520157935998</v>
      </c>
      <c r="G44">
        <v>-114.7682170916524</v>
      </c>
      <c r="H44">
        <v>-67.235604467236669</v>
      </c>
      <c r="I44">
        <v>46.099597145153801</v>
      </c>
      <c r="J44">
        <v>20.619959277161399</v>
      </c>
      <c r="K44">
        <v>10.6181737439701</v>
      </c>
      <c r="L44">
        <v>1.4018493062863081E-3</v>
      </c>
      <c r="M44">
        <v>2.7546442878272743E-4</v>
      </c>
      <c r="N44" s="1">
        <v>7.7716959633887504E-6</v>
      </c>
      <c r="O44" s="1">
        <v>3.1167907090329001E-6</v>
      </c>
      <c r="P44" s="1">
        <v>-9.1748217055430998E-6</v>
      </c>
    </row>
    <row r="45" spans="1:16" x14ac:dyDescent="0.2">
      <c r="A45">
        <v>44</v>
      </c>
      <c r="B45">
        <v>757</v>
      </c>
      <c r="C45">
        <v>225</v>
      </c>
      <c r="D45">
        <v>0.35603601417269398</v>
      </c>
      <c r="E45">
        <v>5.5002879943721696</v>
      </c>
      <c r="F45">
        <v>0.51381023543677595</v>
      </c>
      <c r="G45">
        <v>-118.24649955917232</v>
      </c>
      <c r="H45">
        <v>-70.272007926773526</v>
      </c>
      <c r="I45">
        <v>46.573299971526403</v>
      </c>
      <c r="J45">
        <v>20.908854502976901</v>
      </c>
      <c r="K45">
        <v>10.7049015668139</v>
      </c>
      <c r="L45">
        <v>1.392721040576927E-3</v>
      </c>
      <c r="M45">
        <v>2.729647713295612E-4</v>
      </c>
      <c r="N45" s="1">
        <v>7.8900685124373995E-6</v>
      </c>
      <c r="O45" s="1">
        <v>3.1133922654631198E-6</v>
      </c>
      <c r="P45" s="1">
        <v>-9.1962926684250204E-6</v>
      </c>
    </row>
    <row r="46" spans="1:16" x14ac:dyDescent="0.2">
      <c r="A46">
        <v>45</v>
      </c>
      <c r="B46">
        <v>756</v>
      </c>
      <c r="C46">
        <v>225</v>
      </c>
      <c r="D46">
        <v>0.35534227274935698</v>
      </c>
      <c r="E46">
        <v>5.7114480006457802</v>
      </c>
      <c r="F46">
        <v>0.52927449236214896</v>
      </c>
      <c r="G46">
        <v>-121.70703649858761</v>
      </c>
      <c r="H46">
        <v>-73.294623155890321</v>
      </c>
      <c r="I46">
        <v>47.044078129081299</v>
      </c>
      <c r="J46">
        <v>21.196409992740101</v>
      </c>
      <c r="K46">
        <v>10.7910887130713</v>
      </c>
      <c r="L46">
        <v>1.3837820196450587E-3</v>
      </c>
      <c r="M46">
        <v>2.7051222125854994E-4</v>
      </c>
      <c r="N46" s="1">
        <v>8.0091492024641898E-6</v>
      </c>
      <c r="O46" s="1">
        <v>3.1098993695526799E-6</v>
      </c>
      <c r="P46" s="1">
        <v>-9.2175543661383301E-6</v>
      </c>
    </row>
    <row r="47" spans="1:16" x14ac:dyDescent="0.2">
      <c r="A47">
        <v>46</v>
      </c>
      <c r="B47">
        <v>755</v>
      </c>
      <c r="C47">
        <v>225</v>
      </c>
      <c r="D47">
        <v>0.354647181831445</v>
      </c>
      <c r="E47">
        <v>5.9216059216644297</v>
      </c>
      <c r="F47">
        <v>0.54442839670867604</v>
      </c>
      <c r="G47">
        <v>-125.14996545279311</v>
      </c>
      <c r="H47">
        <v>-76.303556714364007</v>
      </c>
      <c r="I47">
        <v>47.511953219126802</v>
      </c>
      <c r="J47">
        <v>21.482635395845001</v>
      </c>
      <c r="K47">
        <v>10.8767396364027</v>
      </c>
      <c r="L47">
        <v>1.3750259042083978E-3</v>
      </c>
      <c r="M47">
        <v>2.6810524436590618E-4</v>
      </c>
      <c r="N47" s="1">
        <v>8.1289326551400999E-6</v>
      </c>
      <c r="O47" s="1">
        <v>3.1063126186670601E-6</v>
      </c>
      <c r="P47" s="1">
        <v>-9.2386056129255397E-6</v>
      </c>
    </row>
    <row r="48" spans="1:16" x14ac:dyDescent="0.2">
      <c r="A48">
        <v>47</v>
      </c>
      <c r="B48">
        <v>754</v>
      </c>
      <c r="C48">
        <v>225</v>
      </c>
      <c r="D48">
        <v>0.35395073747748601</v>
      </c>
      <c r="E48">
        <v>6.1307694582746501</v>
      </c>
      <c r="F48">
        <v>0.55928192475417404</v>
      </c>
      <c r="G48">
        <v>-128.57542250883293</v>
      </c>
      <c r="H48">
        <v>-79.29891402634135</v>
      </c>
      <c r="I48">
        <v>47.976946615333503</v>
      </c>
      <c r="J48">
        <v>21.767540249323702</v>
      </c>
      <c r="K48">
        <v>10.961858745871901</v>
      </c>
      <c r="L48">
        <v>1.3664466267041082E-3</v>
      </c>
      <c r="M48">
        <v>2.6574237263063318E-4</v>
      </c>
      <c r="N48" s="1">
        <v>8.2494133663482497E-6</v>
      </c>
      <c r="O48" s="1">
        <v>3.1026326099243401E-6</v>
      </c>
      <c r="P48" s="1">
        <v>-9.2594452181871606E-6</v>
      </c>
    </row>
    <row r="49" spans="1:16" x14ac:dyDescent="0.2">
      <c r="A49">
        <v>48</v>
      </c>
      <c r="B49">
        <v>753</v>
      </c>
      <c r="C49">
        <v>225</v>
      </c>
      <c r="D49">
        <v>0.35325293573064698</v>
      </c>
      <c r="E49">
        <v>6.33894623272049</v>
      </c>
      <c r="F49">
        <v>0.57384462867089203</v>
      </c>
      <c r="G49">
        <v>-131.9835423690958</v>
      </c>
      <c r="H49">
        <v>-82.280799438425063</v>
      </c>
      <c r="I49">
        <v>48.439079475400703</v>
      </c>
      <c r="J49">
        <v>22.051133983953701</v>
      </c>
      <c r="K49">
        <v>11.0464504083664</v>
      </c>
      <c r="L49">
        <v>1.3580383767558119E-3</v>
      </c>
      <c r="M49">
        <v>2.6342220067924923E-4</v>
      </c>
      <c r="N49" s="1">
        <v>8.3705857066539293E-6</v>
      </c>
      <c r="O49" s="1">
        <v>3.0988599405316301E-6</v>
      </c>
      <c r="P49" s="1">
        <v>-9.2800719876359596E-6</v>
      </c>
    </row>
    <row r="50" spans="1:16" x14ac:dyDescent="0.2">
      <c r="A50">
        <v>49</v>
      </c>
      <c r="B50">
        <v>752</v>
      </c>
      <c r="C50">
        <v>225</v>
      </c>
      <c r="D50">
        <v>0.35255377261864101</v>
      </c>
      <c r="E50">
        <v>6.54614378579884</v>
      </c>
      <c r="F50">
        <v>0.588125658552203</v>
      </c>
      <c r="G50">
        <v>-135.37445830450505</v>
      </c>
      <c r="H50">
        <v>-85.249316178879127</v>
      </c>
      <c r="I50">
        <v>48.8983727341353</v>
      </c>
      <c r="J50">
        <v>22.3334259203031</v>
      </c>
      <c r="K50">
        <v>11.1305189471133</v>
      </c>
      <c r="L50">
        <v>1.3497955878539029E-3</v>
      </c>
      <c r="M50">
        <v>2.6114338253090932E-4</v>
      </c>
      <c r="N50" s="1">
        <v>8.4924439207535699E-6</v>
      </c>
      <c r="O50" s="1">
        <v>3.0949952077000699E-6</v>
      </c>
      <c r="P50" s="1">
        <v>-9.3004847232097303E-6</v>
      </c>
    </row>
    <row r="51" spans="1:16" x14ac:dyDescent="0.2">
      <c r="A51">
        <v>50</v>
      </c>
      <c r="B51">
        <v>751</v>
      </c>
      <c r="C51">
        <v>225</v>
      </c>
      <c r="D51">
        <v>0.35185324415369101</v>
      </c>
      <c r="E51">
        <v>6.7523695812895204</v>
      </c>
      <c r="F51">
        <v>0.60213378352420499</v>
      </c>
      <c r="G51">
        <v>-138.74830222944644</v>
      </c>
      <c r="H51">
        <v>-88.204566419989845</v>
      </c>
      <c r="I51">
        <v>49.354847114633799</v>
      </c>
      <c r="J51">
        <v>22.6144252747489</v>
      </c>
      <c r="K51">
        <v>11.214068643962801</v>
      </c>
      <c r="L51">
        <v>1.341712924550999E-3</v>
      </c>
      <c r="M51">
        <v>2.5890462848433067E-4</v>
      </c>
      <c r="N51" s="1">
        <v>8.6149821278040195E-6</v>
      </c>
      <c r="O51" s="1">
        <v>3.0910390088874502E-6</v>
      </c>
      <c r="P51" s="1">
        <v>-9.3206822239669796E-6</v>
      </c>
    </row>
    <row r="52" spans="1:16" x14ac:dyDescent="0.2">
      <c r="A52">
        <v>51</v>
      </c>
      <c r="B52">
        <v>750</v>
      </c>
      <c r="C52">
        <v>225</v>
      </c>
      <c r="D52">
        <v>0.35115134633240402</v>
      </c>
      <c r="E52">
        <v>7.6045436306906504</v>
      </c>
      <c r="F52">
        <v>0.65448552956267503</v>
      </c>
      <c r="G52">
        <v>-152.85734782184034</v>
      </c>
      <c r="H52">
        <v>-100.24513132458942</v>
      </c>
      <c r="I52">
        <v>51.424794453754501</v>
      </c>
      <c r="J52">
        <v>23.789348678106901</v>
      </c>
      <c r="K52">
        <v>11.6191165231292</v>
      </c>
      <c r="L52">
        <v>1.3078660473153491E-3</v>
      </c>
      <c r="M52">
        <v>2.5167090544973126E-4</v>
      </c>
      <c r="N52" s="1">
        <v>8.8035206140444304E-6</v>
      </c>
      <c r="O52" s="1">
        <v>3.1123378337652301E-6</v>
      </c>
      <c r="P52" s="1">
        <v>-9.4173290816868103E-6</v>
      </c>
    </row>
    <row r="53" spans="1:16" x14ac:dyDescent="0.2">
      <c r="A53">
        <v>52</v>
      </c>
      <c r="B53">
        <v>749</v>
      </c>
      <c r="C53">
        <v>225</v>
      </c>
      <c r="D53">
        <v>0.350448075135744</v>
      </c>
      <c r="E53">
        <v>9.2359097287454599</v>
      </c>
      <c r="F53">
        <v>0.74413350349214902</v>
      </c>
      <c r="G53">
        <v>-179.90472321989083</v>
      </c>
      <c r="H53">
        <v>-123.24106631728694</v>
      </c>
      <c r="I53">
        <v>55.4388102757474</v>
      </c>
      <c r="J53">
        <v>26.0434611033115</v>
      </c>
      <c r="K53">
        <v>12.4116300171974</v>
      </c>
      <c r="L53">
        <v>1.2488713105220106E-3</v>
      </c>
      <c r="M53">
        <v>2.395982682256489E-4</v>
      </c>
      <c r="N53" s="1">
        <v>9.0733824867955905E-6</v>
      </c>
      <c r="O53" s="1">
        <v>3.1637866445270399E-6</v>
      </c>
      <c r="P53" s="1">
        <v>-9.6060733088933703E-6</v>
      </c>
    </row>
    <row r="54" spans="1:16" x14ac:dyDescent="0.2">
      <c r="A54">
        <v>53</v>
      </c>
      <c r="B54">
        <v>748</v>
      </c>
      <c r="C54">
        <v>225</v>
      </c>
      <c r="D54">
        <v>0.34974342652891699</v>
      </c>
      <c r="E54">
        <v>20.587961588814299</v>
      </c>
      <c r="F54">
        <v>1.1518834835804399</v>
      </c>
      <c r="G54">
        <v>-365.61873039786002</v>
      </c>
      <c r="H54">
        <v>-281.17883319932224</v>
      </c>
      <c r="I54">
        <v>82.694395103387507</v>
      </c>
      <c r="J54">
        <v>41.246098894878102</v>
      </c>
      <c r="K54">
        <v>17.873302189228301</v>
      </c>
      <c r="L54">
        <v>9.7132942038880075E-4</v>
      </c>
      <c r="M54">
        <v>1.8539493676141396E-4</v>
      </c>
      <c r="N54" s="1">
        <v>1.0174131911266299E-5</v>
      </c>
      <c r="O54" s="1">
        <v>3.5179864914060399E-6</v>
      </c>
      <c r="P54" s="1">
        <v>-1.0718173932571099E-5</v>
      </c>
    </row>
    <row r="55" spans="1:16" x14ac:dyDescent="0.2">
      <c r="A55">
        <v>54</v>
      </c>
      <c r="B55">
        <v>747</v>
      </c>
      <c r="C55">
        <v>225</v>
      </c>
      <c r="D55">
        <v>0.34903739646130499</v>
      </c>
      <c r="E55">
        <v>38.705576126837499</v>
      </c>
      <c r="F55">
        <v>1.4566961517041701</v>
      </c>
      <c r="G55">
        <v>-661.55631311820866</v>
      </c>
      <c r="H55">
        <v>-532.98511796698961</v>
      </c>
      <c r="I55">
        <v>126.035628168722</v>
      </c>
      <c r="J55">
        <v>65.440264595103599</v>
      </c>
      <c r="K55">
        <v>26.570795894227</v>
      </c>
      <c r="L55">
        <v>7.6336180394764646E-4</v>
      </c>
      <c r="M55">
        <v>1.4486806424871782E-4</v>
      </c>
      <c r="N55" s="1">
        <v>1.18687588833143E-5</v>
      </c>
      <c r="O55" s="1">
        <v>4.0762152046948996E-6</v>
      </c>
      <c r="P55" s="1">
        <v>-1.24614815175481E-5</v>
      </c>
    </row>
    <row r="56" spans="1:16" x14ac:dyDescent="0.2">
      <c r="A56">
        <v>55</v>
      </c>
      <c r="B56">
        <v>746</v>
      </c>
      <c r="C56">
        <v>225</v>
      </c>
      <c r="D56">
        <v>0.34832998086640898</v>
      </c>
      <c r="E56">
        <v>97.161605577639904</v>
      </c>
      <c r="F56">
        <v>1.78278090957168</v>
      </c>
      <c r="G56">
        <v>-1610.3956639113867</v>
      </c>
      <c r="H56">
        <v>-1339.696394423418</v>
      </c>
      <c r="I56">
        <v>265.61855066820101</v>
      </c>
      <c r="J56">
        <v>143.284717885536</v>
      </c>
      <c r="K56">
        <v>54.500025805741203</v>
      </c>
      <c r="L56">
        <v>5.4522279488343147E-4</v>
      </c>
      <c r="M56">
        <v>1.0258935886496325E-4</v>
      </c>
      <c r="N56" s="1">
        <v>1.7142873849439301E-5</v>
      </c>
      <c r="O56" s="1">
        <v>5.8931021114028701E-6</v>
      </c>
      <c r="P56" s="1">
        <v>-1.8077084210038201E-5</v>
      </c>
    </row>
    <row r="57" spans="1:16" x14ac:dyDescent="0.2">
      <c r="A57">
        <v>56</v>
      </c>
      <c r="B57">
        <v>745</v>
      </c>
      <c r="C57">
        <v>225</v>
      </c>
      <c r="D57">
        <v>0.347621175661739</v>
      </c>
      <c r="E57">
        <v>103.646428701083</v>
      </c>
      <c r="F57">
        <v>1.8004609763056101</v>
      </c>
      <c r="G57">
        <v>-1715.463027573413</v>
      </c>
      <c r="H57">
        <v>-1429.4303537838246</v>
      </c>
      <c r="I57">
        <v>280.93969577177302</v>
      </c>
      <c r="J57">
        <v>151.947735190234</v>
      </c>
      <c r="K57">
        <v>57.566606588584101</v>
      </c>
      <c r="L57">
        <v>5.3393551029447175E-4</v>
      </c>
      <c r="M57">
        <v>1.0015612026467377E-4</v>
      </c>
      <c r="N57" s="1">
        <v>1.7902038478236299E-5</v>
      </c>
      <c r="O57" s="1">
        <v>6.0738760263372102E-6</v>
      </c>
      <c r="P57" s="1">
        <v>-1.8696154641307801E-5</v>
      </c>
    </row>
    <row r="58" spans="1:16" x14ac:dyDescent="0.2">
      <c r="A58">
        <v>57</v>
      </c>
      <c r="B58">
        <v>760</v>
      </c>
      <c r="C58">
        <v>200</v>
      </c>
      <c r="D58">
        <v>0.38472680636887402</v>
      </c>
      <c r="E58">
        <v>5.6014800055213199</v>
      </c>
      <c r="F58">
        <v>0.45505687206717499</v>
      </c>
      <c r="G58">
        <v>-122.35888220198427</v>
      </c>
      <c r="H58">
        <v>-70.907292741344605</v>
      </c>
      <c r="I58">
        <v>49.803799033508298</v>
      </c>
      <c r="J58">
        <v>22.212248268869601</v>
      </c>
      <c r="K58">
        <v>12.309406470614499</v>
      </c>
      <c r="L58">
        <v>1.5294024524042345E-3</v>
      </c>
      <c r="M58">
        <v>3.418239052123918E-4</v>
      </c>
      <c r="N58" s="1">
        <v>6.6384570150326003E-6</v>
      </c>
      <c r="O58" s="1">
        <v>5.1918471678867703E-6</v>
      </c>
      <c r="P58" s="1">
        <v>-1.30189622107057E-5</v>
      </c>
    </row>
    <row r="59" spans="1:16" x14ac:dyDescent="0.2">
      <c r="A59">
        <v>58</v>
      </c>
      <c r="B59">
        <v>759</v>
      </c>
      <c r="C59">
        <v>200</v>
      </c>
      <c r="D59">
        <v>0.38406287845759102</v>
      </c>
      <c r="E59">
        <v>5.6235470306799202</v>
      </c>
      <c r="F59">
        <v>0.457092988963897</v>
      </c>
      <c r="G59">
        <v>-122.68060188235985</v>
      </c>
      <c r="H59">
        <v>-71.241919002775902</v>
      </c>
      <c r="I59">
        <v>49.839548059517597</v>
      </c>
      <c r="J59">
        <v>22.259513771033699</v>
      </c>
      <c r="K59">
        <v>12.302851206330899</v>
      </c>
      <c r="L59">
        <v>1.5302155910686622E-3</v>
      </c>
      <c r="M59">
        <v>3.4106937183196197E-4</v>
      </c>
      <c r="N59" s="1">
        <v>6.7840579259542899E-6</v>
      </c>
      <c r="O59" s="1">
        <v>5.1787187841596103E-6</v>
      </c>
      <c r="P59" s="1">
        <v>-1.30340077781263E-5</v>
      </c>
    </row>
    <row r="60" spans="1:16" x14ac:dyDescent="0.2">
      <c r="A60">
        <v>59</v>
      </c>
      <c r="B60">
        <v>758</v>
      </c>
      <c r="C60">
        <v>200</v>
      </c>
      <c r="D60">
        <v>0.383397662803666</v>
      </c>
      <c r="E60">
        <v>5.8281552433880996</v>
      </c>
      <c r="F60">
        <v>0.47066925392542402</v>
      </c>
      <c r="G60">
        <v>-126.02910908368989</v>
      </c>
      <c r="H60">
        <v>-74.174841181872267</v>
      </c>
      <c r="I60">
        <v>50.290918231644</v>
      </c>
      <c r="J60">
        <v>22.5411710295527</v>
      </c>
      <c r="K60">
        <v>12.3826980300513</v>
      </c>
      <c r="L60">
        <v>1.5225354015753309E-3</v>
      </c>
      <c r="M60">
        <v>3.3843390661405994E-4</v>
      </c>
      <c r="N60" s="1">
        <v>6.94066034059969E-6</v>
      </c>
      <c r="O60" s="1">
        <v>5.1730117149897599E-6</v>
      </c>
      <c r="P60" s="1">
        <v>-1.30678026478335E-5</v>
      </c>
    </row>
    <row r="61" spans="1:16" x14ac:dyDescent="0.2">
      <c r="A61">
        <v>60</v>
      </c>
      <c r="B61">
        <v>757</v>
      </c>
      <c r="C61">
        <v>200</v>
      </c>
      <c r="D61">
        <v>0.38273115565694399</v>
      </c>
      <c r="E61">
        <v>6.0318214309363096</v>
      </c>
      <c r="F61">
        <v>0.484015961667147</v>
      </c>
      <c r="G61">
        <v>-129.36104891980457</v>
      </c>
      <c r="H61">
        <v>-77.0949083992477</v>
      </c>
      <c r="I61">
        <v>50.7395609468836</v>
      </c>
      <c r="J61">
        <v>22.821603605125802</v>
      </c>
      <c r="K61">
        <v>12.4620299920694</v>
      </c>
      <c r="L61">
        <v>1.5149900859508351E-3</v>
      </c>
      <c r="M61">
        <v>3.3583868499303173E-4</v>
      </c>
      <c r="N61" s="1">
        <v>7.0985888952284898E-6</v>
      </c>
      <c r="O61" s="1">
        <v>5.1671620869320701E-6</v>
      </c>
      <c r="P61" s="1">
        <v>-1.31013761018363E-5</v>
      </c>
    </row>
    <row r="62" spans="1:16" x14ac:dyDescent="0.2">
      <c r="A62">
        <v>61</v>
      </c>
      <c r="B62">
        <v>756</v>
      </c>
      <c r="C62">
        <v>200</v>
      </c>
      <c r="D62">
        <v>0.38206335325268598</v>
      </c>
      <c r="E62">
        <v>6.7681941681762998</v>
      </c>
      <c r="F62">
        <v>0.52841622929430798</v>
      </c>
      <c r="G62">
        <v>-141.54780431845853</v>
      </c>
      <c r="H62">
        <v>-87.512253173003273</v>
      </c>
      <c r="I62">
        <v>52.508180716586303</v>
      </c>
      <c r="J62">
        <v>23.832165727245702</v>
      </c>
      <c r="K62">
        <v>12.808452490596499</v>
      </c>
      <c r="L62">
        <v>1.4851263774335554E-3</v>
      </c>
      <c r="M62">
        <v>3.2827861851077416E-4</v>
      </c>
      <c r="N62" s="1">
        <v>7.29661568174822E-6</v>
      </c>
      <c r="O62" s="1">
        <v>5.19178130468811E-6</v>
      </c>
      <c r="P62" s="1">
        <v>-1.3212609394080501E-5</v>
      </c>
    </row>
    <row r="63" spans="1:16" x14ac:dyDescent="0.2">
      <c r="A63">
        <v>62</v>
      </c>
      <c r="B63">
        <v>755</v>
      </c>
      <c r="C63">
        <v>200</v>
      </c>
      <c r="D63">
        <v>0.38139425181150599</v>
      </c>
      <c r="E63">
        <v>8.3709433394800801</v>
      </c>
      <c r="F63">
        <v>0.61601173461029801</v>
      </c>
      <c r="G63">
        <v>-168.1263075023017</v>
      </c>
      <c r="H63">
        <v>-110.11950675414711</v>
      </c>
      <c r="I63">
        <v>56.421825270807702</v>
      </c>
      <c r="J63">
        <v>26.030936417936498</v>
      </c>
      <c r="K63">
        <v>13.5889348678977</v>
      </c>
      <c r="L63">
        <v>1.4241175830083366E-3</v>
      </c>
      <c r="M63">
        <v>3.1383025760542318E-4</v>
      </c>
      <c r="N63" s="1">
        <v>7.5615032418170799E-6</v>
      </c>
      <c r="O63" s="1">
        <v>5.26562687489627E-6</v>
      </c>
      <c r="P63" s="1">
        <v>-1.34502670579289E-5</v>
      </c>
    </row>
    <row r="64" spans="1:16" x14ac:dyDescent="0.2">
      <c r="A64">
        <v>63</v>
      </c>
      <c r="B64">
        <v>754</v>
      </c>
      <c r="C64">
        <v>200</v>
      </c>
      <c r="D64">
        <v>0.38072384753930699</v>
      </c>
      <c r="E64">
        <v>9.9802359146324697</v>
      </c>
      <c r="F64">
        <v>0.69441851369514795</v>
      </c>
      <c r="G64">
        <v>-194.79712909944956</v>
      </c>
      <c r="H64">
        <v>-132.81397613647732</v>
      </c>
      <c r="I64">
        <v>60.348058119103399</v>
      </c>
      <c r="J64">
        <v>28.239737781152801</v>
      </c>
      <c r="K64">
        <v>14.372076374412099</v>
      </c>
      <c r="L64">
        <v>1.3695342873616728E-3</v>
      </c>
      <c r="M64">
        <v>3.0087865909539895E-4</v>
      </c>
      <c r="N64" s="1">
        <v>7.8318639275479308E-6</v>
      </c>
      <c r="O64" s="1">
        <v>5.3391593620698601E-6</v>
      </c>
      <c r="P64" s="1">
        <v>-1.36887723735327E-5</v>
      </c>
    </row>
    <row r="65" spans="1:16" x14ac:dyDescent="0.2">
      <c r="A65">
        <v>64</v>
      </c>
      <c r="B65">
        <v>753</v>
      </c>
      <c r="C65">
        <v>200</v>
      </c>
      <c r="D65">
        <v>0.380052136627202</v>
      </c>
      <c r="E65">
        <v>11.602165212267799</v>
      </c>
      <c r="F65">
        <v>0.76527270419910098</v>
      </c>
      <c r="G65">
        <v>-221.65975667716299</v>
      </c>
      <c r="H65">
        <v>-155.68027888017994</v>
      </c>
      <c r="I65">
        <v>64.301407301506202</v>
      </c>
      <c r="J65">
        <v>30.466688225311199</v>
      </c>
      <c r="K65">
        <v>15.160824564375501</v>
      </c>
      <c r="L65">
        <v>1.3202229521767457E-3</v>
      </c>
      <c r="M65">
        <v>2.8915743828797905E-4</v>
      </c>
      <c r="N65" s="1">
        <v>8.1080979944790993E-6</v>
      </c>
      <c r="O65" s="1">
        <v>5.4126538267451297E-6</v>
      </c>
      <c r="P65" s="1">
        <v>-1.39288354355671E-5</v>
      </c>
    </row>
    <row r="66" spans="1:16" x14ac:dyDescent="0.2">
      <c r="A66">
        <v>65</v>
      </c>
      <c r="B66">
        <v>752</v>
      </c>
      <c r="C66">
        <v>200</v>
      </c>
      <c r="D66">
        <v>0.37937911525142798</v>
      </c>
      <c r="E66">
        <v>29.642613044866501</v>
      </c>
      <c r="F66">
        <v>1.2409597539729</v>
      </c>
      <c r="G66">
        <v>-516.49110027305824</v>
      </c>
      <c r="H66">
        <v>-406.53915283907958</v>
      </c>
      <c r="I66">
        <v>107.258341048172</v>
      </c>
      <c r="J66">
        <v>54.408074972192203</v>
      </c>
      <c r="K66">
        <v>23.8868447989278</v>
      </c>
      <c r="L66">
        <v>9.7264861835481267E-4</v>
      </c>
      <c r="M66">
        <v>2.1177134212692282E-4</v>
      </c>
      <c r="N66" s="1">
        <v>9.4610544229438107E-6</v>
      </c>
      <c r="O66" s="1">
        <v>6.2341860342733099E-6</v>
      </c>
      <c r="P66" s="1">
        <v>-1.6102335680387901E-5</v>
      </c>
    </row>
    <row r="67" spans="1:16" x14ac:dyDescent="0.2">
      <c r="A67">
        <v>66</v>
      </c>
      <c r="B67">
        <v>751</v>
      </c>
      <c r="C67">
        <v>200</v>
      </c>
      <c r="D67">
        <v>0.378704779573308</v>
      </c>
      <c r="E67">
        <v>81.8682715535395</v>
      </c>
      <c r="F67">
        <v>1.6697571091652299</v>
      </c>
      <c r="G67">
        <v>-1365.0292595135365</v>
      </c>
      <c r="H67">
        <v>-1128.1849712832293</v>
      </c>
      <c r="I67">
        <v>231.264710235725</v>
      </c>
      <c r="J67">
        <v>123.48183697732701</v>
      </c>
      <c r="K67">
        <v>49.030048205315197</v>
      </c>
      <c r="L67">
        <v>6.6293630272710893E-4</v>
      </c>
      <c r="M67">
        <v>1.4312619610062598E-4</v>
      </c>
      <c r="N67" s="1">
        <v>1.31557279385281E-5</v>
      </c>
      <c r="O67" s="1">
        <v>8.6187890358995902E-6</v>
      </c>
      <c r="P67" s="1">
        <v>-2.2343566496851601E-5</v>
      </c>
    </row>
    <row r="68" spans="1:16" x14ac:dyDescent="0.2">
      <c r="A68">
        <v>67</v>
      </c>
      <c r="B68">
        <v>750</v>
      </c>
      <c r="C68">
        <v>200</v>
      </c>
      <c r="D68">
        <v>0.37802912573913899</v>
      </c>
      <c r="E68">
        <v>99.527719129020994</v>
      </c>
      <c r="F68">
        <v>1.7313565980664301</v>
      </c>
      <c r="G68">
        <v>-1651.6272244138418</v>
      </c>
      <c r="H68">
        <v>-1372.3171868840425</v>
      </c>
      <c r="I68">
        <v>272.99615251388002</v>
      </c>
      <c r="J68">
        <v>146.837919942691</v>
      </c>
      <c r="K68">
        <v>57.485395695013203</v>
      </c>
      <c r="L68">
        <v>6.1932669424910006E-4</v>
      </c>
      <c r="M68">
        <v>1.3317437165524213E-4</v>
      </c>
      <c r="N68" s="1">
        <v>1.46015660846147E-5</v>
      </c>
      <c r="O68" s="1">
        <v>9.3963212271753606E-6</v>
      </c>
      <c r="P68" s="1">
        <v>-2.44500453530926E-5</v>
      </c>
    </row>
    <row r="69" spans="1:16" x14ac:dyDescent="0.2">
      <c r="A69">
        <v>68</v>
      </c>
      <c r="B69">
        <v>749</v>
      </c>
      <c r="C69">
        <v>200</v>
      </c>
      <c r="D69">
        <v>0.37735214988015597</v>
      </c>
      <c r="E69">
        <v>104.316206620499</v>
      </c>
      <c r="F69">
        <v>1.74592332106862</v>
      </c>
      <c r="G69">
        <v>-1729.1214300609672</v>
      </c>
      <c r="H69">
        <v>-1438.6493249782402</v>
      </c>
      <c r="I69">
        <v>284.18355326922</v>
      </c>
      <c r="J69">
        <v>153.19748661889699</v>
      </c>
      <c r="K69">
        <v>59.748446774083497</v>
      </c>
      <c r="L69">
        <v>6.0967421311290519E-4</v>
      </c>
      <c r="M69">
        <v>1.3069532829512482E-4</v>
      </c>
      <c r="N69" s="1">
        <v>1.51967583778883E-5</v>
      </c>
      <c r="O69" s="1">
        <v>9.5838596991618107E-6</v>
      </c>
      <c r="P69" s="1">
        <v>-2.5031296778295801E-5</v>
      </c>
    </row>
    <row r="70" spans="1:16" x14ac:dyDescent="0.2">
      <c r="A70">
        <v>69</v>
      </c>
      <c r="B70">
        <v>765</v>
      </c>
      <c r="C70">
        <v>175</v>
      </c>
      <c r="D70">
        <v>0.41451668833983701</v>
      </c>
      <c r="E70">
        <v>5.9928830979851497</v>
      </c>
      <c r="F70">
        <v>0.40990071422263102</v>
      </c>
      <c r="G70">
        <v>-131.5231067030835</v>
      </c>
      <c r="H70">
        <v>-75.517787012278816</v>
      </c>
      <c r="I70">
        <v>53.950536229368097</v>
      </c>
      <c r="J70">
        <v>23.788810550322101</v>
      </c>
      <c r="K70">
        <v>14.6203285089427</v>
      </c>
      <c r="L70">
        <v>1.6546654349248423E-3</v>
      </c>
      <c r="M70">
        <v>4.35945822597033E-4</v>
      </c>
      <c r="N70" s="1">
        <v>1.48223592519327E-6</v>
      </c>
      <c r="O70" s="1">
        <v>9.1317689327355295E-6</v>
      </c>
      <c r="P70" s="1">
        <v>-1.8504421565377398E-5</v>
      </c>
    </row>
    <row r="71" spans="1:16" x14ac:dyDescent="0.2">
      <c r="A71">
        <v>70</v>
      </c>
      <c r="B71">
        <v>764</v>
      </c>
      <c r="C71">
        <v>175</v>
      </c>
      <c r="D71">
        <v>0.41388468398978101</v>
      </c>
      <c r="E71">
        <v>6.0943718933029398</v>
      </c>
      <c r="F71">
        <v>0.41598002821209201</v>
      </c>
      <c r="G71">
        <v>-133.16296227886627</v>
      </c>
      <c r="H71">
        <v>-76.960295807841305</v>
      </c>
      <c r="I71">
        <v>54.192836353572602</v>
      </c>
      <c r="J71">
        <v>23.954040112527</v>
      </c>
      <c r="K71">
        <v>14.6506357997448</v>
      </c>
      <c r="L71">
        <v>1.6532599294309897E-3</v>
      </c>
      <c r="M71">
        <v>4.3432287577344498E-4</v>
      </c>
      <c r="N71" s="1">
        <v>1.66145072099333E-6</v>
      </c>
      <c r="O71" s="1">
        <v>9.1214793827633806E-6</v>
      </c>
      <c r="P71" s="1">
        <v>-1.8555937026547901E-5</v>
      </c>
    </row>
    <row r="72" spans="1:16" x14ac:dyDescent="0.2">
      <c r="A72">
        <v>71</v>
      </c>
      <c r="B72">
        <v>763</v>
      </c>
      <c r="C72">
        <v>175</v>
      </c>
      <c r="D72">
        <v>0.41325145973073701</v>
      </c>
      <c r="E72">
        <v>6.4347947700217496</v>
      </c>
      <c r="F72">
        <v>0.434606901159586</v>
      </c>
      <c r="G72">
        <v>-138.78019661563084</v>
      </c>
      <c r="H72">
        <v>-81.745179343728367</v>
      </c>
      <c r="I72">
        <v>55.048462508868802</v>
      </c>
      <c r="J72">
        <v>24.453966243337</v>
      </c>
      <c r="K72">
        <v>14.806011484983101</v>
      </c>
      <c r="L72">
        <v>1.6424277590462828E-3</v>
      </c>
      <c r="M72">
        <v>4.3019819414237537E-4</v>
      </c>
      <c r="N72" s="1">
        <v>1.84542800315236E-6</v>
      </c>
      <c r="O72" s="1">
        <v>9.1352886948765896E-6</v>
      </c>
      <c r="P72" s="1">
        <v>-1.8656940703996001E-5</v>
      </c>
    </row>
    <row r="73" spans="1:16" x14ac:dyDescent="0.2">
      <c r="A73">
        <v>72</v>
      </c>
      <c r="B73">
        <v>762</v>
      </c>
      <c r="C73">
        <v>175</v>
      </c>
      <c r="D73">
        <v>0.41261701202724399</v>
      </c>
      <c r="E73">
        <v>7.2794496411687</v>
      </c>
      <c r="F73">
        <v>0.47851618033814097</v>
      </c>
      <c r="G73">
        <v>-152.77114107352801</v>
      </c>
      <c r="H73">
        <v>-93.654032353524315</v>
      </c>
      <c r="I73">
        <v>57.113060450789497</v>
      </c>
      <c r="J73">
        <v>25.625734511887501</v>
      </c>
      <c r="K73">
        <v>15.2125464932548</v>
      </c>
      <c r="L73">
        <v>1.612094019909269E-3</v>
      </c>
      <c r="M73">
        <v>4.2097616817565102E-4</v>
      </c>
      <c r="N73" s="1">
        <v>2.0391753443817E-6</v>
      </c>
      <c r="O73" s="1">
        <v>9.1891465521249104E-6</v>
      </c>
      <c r="P73" s="1">
        <v>-1.8840715851540899E-5</v>
      </c>
    </row>
    <row r="74" spans="1:16" x14ac:dyDescent="0.2">
      <c r="A74">
        <v>73</v>
      </c>
      <c r="B74">
        <v>761</v>
      </c>
      <c r="C74">
        <v>175</v>
      </c>
      <c r="D74">
        <v>0.411981337330175</v>
      </c>
      <c r="E74">
        <v>8.8527819767649092</v>
      </c>
      <c r="F74">
        <v>0.55393089259933803</v>
      </c>
      <c r="G74">
        <v>-178.85544725135912</v>
      </c>
      <c r="H74">
        <v>-115.85503607245741</v>
      </c>
      <c r="I74">
        <v>60.923403406531001</v>
      </c>
      <c r="J74">
        <v>27.768680032908701</v>
      </c>
      <c r="K74">
        <v>15.981744464951101</v>
      </c>
      <c r="L74">
        <v>1.5573274414662978E-3</v>
      </c>
      <c r="M74">
        <v>4.054118296505503E-4</v>
      </c>
      <c r="N74" s="1">
        <v>2.2482061057809101E-6</v>
      </c>
      <c r="O74" s="1">
        <v>9.3005729561454805E-6</v>
      </c>
      <c r="P74" s="1">
        <v>-1.9144295569674701E-5</v>
      </c>
    </row>
    <row r="75" spans="1:16" x14ac:dyDescent="0.2">
      <c r="A75">
        <v>74</v>
      </c>
      <c r="B75">
        <v>760</v>
      </c>
      <c r="C75">
        <v>175</v>
      </c>
      <c r="D75">
        <v>0.41134443207665999</v>
      </c>
      <c r="E75">
        <v>10.4312582179665</v>
      </c>
      <c r="F75">
        <v>0.62265653474788596</v>
      </c>
      <c r="G75">
        <v>-205.00923776765111</v>
      </c>
      <c r="H75">
        <v>-138.12380869487095</v>
      </c>
      <c r="I75">
        <v>64.742783020209998</v>
      </c>
      <c r="J75">
        <v>29.919540800251699</v>
      </c>
      <c r="K75">
        <v>16.752828623552599</v>
      </c>
      <c r="L75">
        <v>1.5074579987747663E-3</v>
      </c>
      <c r="M75">
        <v>3.9120984718253593E-4</v>
      </c>
      <c r="N75" s="1">
        <v>2.4639411810771999E-6</v>
      </c>
      <c r="O75" s="1">
        <v>9.4115309084456396E-6</v>
      </c>
      <c r="P75" s="1">
        <v>-1.9449172453435798E-5</v>
      </c>
    </row>
    <row r="76" spans="1:16" x14ac:dyDescent="0.2">
      <c r="A76">
        <v>75</v>
      </c>
      <c r="B76">
        <v>759</v>
      </c>
      <c r="C76">
        <v>175</v>
      </c>
      <c r="D76">
        <v>0.41070629269001901</v>
      </c>
      <c r="E76">
        <v>12.0204447285633</v>
      </c>
      <c r="F76">
        <v>0.68576499576745298</v>
      </c>
      <c r="G76">
        <v>-231.32341765826919</v>
      </c>
      <c r="H76">
        <v>-160.53766605295414</v>
      </c>
      <c r="I76">
        <v>68.584391621188701</v>
      </c>
      <c r="J76">
        <v>32.085661271965598</v>
      </c>
      <c r="K76">
        <v>17.528518957300999</v>
      </c>
      <c r="L76">
        <v>1.4616901979267133E-3</v>
      </c>
      <c r="M76">
        <v>3.7815186106943376E-4</v>
      </c>
      <c r="N76" s="1">
        <v>2.6865356230168299E-6</v>
      </c>
      <c r="O76" s="1">
        <v>9.5224052834851503E-6</v>
      </c>
      <c r="P76" s="1">
        <v>-1.9756152171421899E-5</v>
      </c>
    </row>
    <row r="77" spans="1:16" x14ac:dyDescent="0.2">
      <c r="A77">
        <v>76</v>
      </c>
      <c r="B77">
        <v>758</v>
      </c>
      <c r="C77">
        <v>175</v>
      </c>
      <c r="D77">
        <v>0.41006691557969399</v>
      </c>
      <c r="E77">
        <v>14.2182440377691</v>
      </c>
      <c r="F77">
        <v>0.76437007736002305</v>
      </c>
      <c r="G77">
        <v>-267.5621507705365</v>
      </c>
      <c r="H77">
        <v>-191.40252116705963</v>
      </c>
      <c r="I77">
        <v>73.862508018645897</v>
      </c>
      <c r="J77">
        <v>35.052103924310103</v>
      </c>
      <c r="K77">
        <v>18.6012567196194</v>
      </c>
      <c r="L77">
        <v>1.4035375816700752E-3</v>
      </c>
      <c r="M77">
        <v>3.6193938483291009E-4</v>
      </c>
      <c r="N77" s="1">
        <v>2.92669191168672E-6</v>
      </c>
      <c r="O77" s="1">
        <v>9.6752875154438902E-6</v>
      </c>
      <c r="P77" s="1">
        <v>-2.0152912949278898E-5</v>
      </c>
    </row>
    <row r="78" spans="1:16" x14ac:dyDescent="0.2">
      <c r="A78">
        <v>77</v>
      </c>
      <c r="B78">
        <v>757</v>
      </c>
      <c r="C78">
        <v>175</v>
      </c>
      <c r="D78">
        <v>0.40942629714119499</v>
      </c>
      <c r="E78">
        <v>32.8164464623923</v>
      </c>
      <c r="F78">
        <v>1.18543536359204</v>
      </c>
      <c r="G78">
        <v>-571.47598526179763</v>
      </c>
      <c r="H78">
        <v>-450.06165910762809</v>
      </c>
      <c r="I78">
        <v>117.864900829558</v>
      </c>
      <c r="J78">
        <v>59.536147680387501</v>
      </c>
      <c r="K78">
        <v>27.683033145690601</v>
      </c>
      <c r="L78">
        <v>1.076438974896544E-3</v>
      </c>
      <c r="M78">
        <v>2.7604274690535034E-4</v>
      </c>
      <c r="N78" s="1">
        <v>3.4887097047556002E-6</v>
      </c>
      <c r="O78" s="1">
        <v>1.0972598676174999E-5</v>
      </c>
      <c r="P78" s="1">
        <v>-2.2945593199163901E-5</v>
      </c>
    </row>
    <row r="79" spans="1:16" x14ac:dyDescent="0.2">
      <c r="A79">
        <v>78</v>
      </c>
      <c r="B79">
        <v>756</v>
      </c>
      <c r="C79">
        <v>175</v>
      </c>
      <c r="D79">
        <v>0.40878443375601398</v>
      </c>
      <c r="E79">
        <v>81.663069381891603</v>
      </c>
      <c r="F79">
        <v>1.5880561704877201</v>
      </c>
      <c r="G79">
        <v>-1364.8458023042012</v>
      </c>
      <c r="H79">
        <v>-1124.9565881505098</v>
      </c>
      <c r="I79">
        <v>233.099876026418</v>
      </c>
      <c r="J79">
        <v>123.611172465991</v>
      </c>
      <c r="K79">
        <v>51.4232877271658</v>
      </c>
      <c r="L79">
        <v>7.6709871053570917E-4</v>
      </c>
      <c r="M79">
        <v>1.9523178616184591E-4</v>
      </c>
      <c r="N79" s="1">
        <v>4.7347912943271003E-6</v>
      </c>
      <c r="O79" s="1">
        <v>1.43888872040933E-5</v>
      </c>
      <c r="P79" s="1">
        <v>-3.0208644008813301E-5</v>
      </c>
    </row>
    <row r="80" spans="1:16" x14ac:dyDescent="0.2">
      <c r="A80">
        <v>79</v>
      </c>
      <c r="B80">
        <v>755</v>
      </c>
      <c r="C80">
        <v>175</v>
      </c>
      <c r="D80">
        <v>0.40814132179156798</v>
      </c>
      <c r="E80">
        <v>98.786406325928397</v>
      </c>
      <c r="F80">
        <v>1.6549204833992699</v>
      </c>
      <c r="G80">
        <v>-1642.724697654158</v>
      </c>
      <c r="H80">
        <v>-1361.7476714791501</v>
      </c>
      <c r="I80">
        <v>273.28989767504697</v>
      </c>
      <c r="J80">
        <v>146.07328582418501</v>
      </c>
      <c r="K80">
        <v>59.692539500760297</v>
      </c>
      <c r="L80">
        <v>7.1687240755002532E-4</v>
      </c>
      <c r="M80">
        <v>1.8171629663760186E-4</v>
      </c>
      <c r="N80" s="1">
        <v>5.4156810384766904E-6</v>
      </c>
      <c r="O80" s="1">
        <v>1.55452446218078E-5</v>
      </c>
      <c r="P80" s="1">
        <v>-3.2766390822040201E-5</v>
      </c>
    </row>
    <row r="81" spans="1:16" x14ac:dyDescent="0.2">
      <c r="A81">
        <v>80</v>
      </c>
      <c r="B81">
        <v>754</v>
      </c>
      <c r="C81">
        <v>175</v>
      </c>
      <c r="D81">
        <v>0.40749695760112897</v>
      </c>
      <c r="E81">
        <v>103.87948348927701</v>
      </c>
      <c r="F81">
        <v>1.67230898912311</v>
      </c>
      <c r="G81">
        <v>-1725.1597880268191</v>
      </c>
      <c r="H81">
        <v>-1432.3074867281487</v>
      </c>
      <c r="I81">
        <v>285.11747962238502</v>
      </c>
      <c r="J81">
        <v>152.78209758717099</v>
      </c>
      <c r="K81">
        <v>62.117398258887</v>
      </c>
      <c r="L81">
        <v>7.0475364202574715E-4</v>
      </c>
      <c r="M81">
        <v>1.78074262014291E-4</v>
      </c>
      <c r="N81" s="1">
        <v>5.86321530910163E-6</v>
      </c>
      <c r="O81" s="1">
        <v>1.5857964924725999E-5</v>
      </c>
      <c r="P81" s="1">
        <v>-3.3559169035060202E-5</v>
      </c>
    </row>
    <row r="82" spans="1:16" x14ac:dyDescent="0.2">
      <c r="A82">
        <v>81</v>
      </c>
      <c r="B82">
        <v>776</v>
      </c>
      <c r="C82">
        <v>150</v>
      </c>
      <c r="D82">
        <v>0.447600915026452</v>
      </c>
      <c r="E82">
        <v>6.40302640777157</v>
      </c>
      <c r="F82">
        <v>0.35500396313718702</v>
      </c>
      <c r="G82">
        <v>-141.58244741066821</v>
      </c>
      <c r="H82">
        <v>-80.082144916366261</v>
      </c>
      <c r="I82">
        <v>58.622662821525303</v>
      </c>
      <c r="J82">
        <v>25.030313958529199</v>
      </c>
      <c r="K82">
        <v>18.036492751201099</v>
      </c>
      <c r="L82">
        <v>1.7449668098908986E-3</v>
      </c>
      <c r="M82">
        <v>5.7201298255247092E-4</v>
      </c>
      <c r="N82" s="1">
        <v>-1.1146754329014299E-5</v>
      </c>
      <c r="O82" s="1">
        <v>1.70961163564693E-5</v>
      </c>
      <c r="P82" s="1">
        <v>-2.5828242390776901E-5</v>
      </c>
    </row>
    <row r="83" spans="1:16" x14ac:dyDescent="0.2">
      <c r="A83">
        <v>82</v>
      </c>
      <c r="B83">
        <v>775</v>
      </c>
      <c r="C83">
        <v>150</v>
      </c>
      <c r="D83">
        <v>0.44700710776129698</v>
      </c>
      <c r="E83">
        <v>6.40325285261315</v>
      </c>
      <c r="F83">
        <v>0.35562462570499698</v>
      </c>
      <c r="G83">
        <v>-141.52884171531664</v>
      </c>
      <c r="H83">
        <v>-80.110021696865189</v>
      </c>
      <c r="I83">
        <v>58.6008532680803</v>
      </c>
      <c r="J83">
        <v>25.058121580987901</v>
      </c>
      <c r="K83">
        <v>18.0056508739214</v>
      </c>
      <c r="L83">
        <v>1.74863251799447E-3</v>
      </c>
      <c r="M83">
        <v>5.7157698103235167E-4</v>
      </c>
      <c r="N83" s="1">
        <v>-1.09971114590505E-5</v>
      </c>
      <c r="O83" s="1">
        <v>1.7067254135606901E-5</v>
      </c>
      <c r="P83" s="1">
        <v>-2.5885506355680601E-5</v>
      </c>
    </row>
    <row r="84" spans="1:16" x14ac:dyDescent="0.2">
      <c r="A84">
        <v>83</v>
      </c>
      <c r="B84">
        <v>774</v>
      </c>
      <c r="C84">
        <v>150</v>
      </c>
      <c r="D84">
        <v>0.44641216635630598</v>
      </c>
      <c r="E84">
        <v>6.6845038074273102</v>
      </c>
      <c r="F84">
        <v>0.368801670534944</v>
      </c>
      <c r="G84">
        <v>-146.15621406140366</v>
      </c>
      <c r="H84">
        <v>-84.06919152517537</v>
      </c>
      <c r="I84">
        <v>59.294940339217902</v>
      </c>
      <c r="J84">
        <v>25.473106008983901</v>
      </c>
      <c r="K84">
        <v>18.1249282242444</v>
      </c>
      <c r="L84">
        <v>1.7425938399441862E-3</v>
      </c>
      <c r="M84">
        <v>5.6792686135508032E-4</v>
      </c>
      <c r="N84" s="1">
        <v>-1.0875618287146501E-5</v>
      </c>
      <c r="O84" s="1">
        <v>1.7083730011999701E-5</v>
      </c>
      <c r="P84" s="1">
        <v>-2.6012194394909201E-5</v>
      </c>
    </row>
    <row r="85" spans="1:16" x14ac:dyDescent="0.2">
      <c r="A85">
        <v>84</v>
      </c>
      <c r="B85">
        <v>773</v>
      </c>
      <c r="C85">
        <v>150</v>
      </c>
      <c r="D85">
        <v>0.44581608755914398</v>
      </c>
      <c r="E85">
        <v>7.0091254290503704</v>
      </c>
      <c r="F85">
        <v>0.383699678427397</v>
      </c>
      <c r="G85">
        <v>-151.50382539220973</v>
      </c>
      <c r="H85">
        <v>-88.635162789394116</v>
      </c>
      <c r="I85">
        <v>60.098789138827797</v>
      </c>
      <c r="J85">
        <v>25.9482047195423</v>
      </c>
      <c r="K85">
        <v>18.267217365876899</v>
      </c>
      <c r="L85">
        <v>1.7351780117534498E-3</v>
      </c>
      <c r="M85">
        <v>5.6383521714057521E-4</v>
      </c>
      <c r="N85" s="1">
        <v>-1.07553967176406E-5</v>
      </c>
      <c r="O85" s="1">
        <v>1.7106934675834399E-5</v>
      </c>
      <c r="P85" s="1">
        <v>-2.6150112419608499E-5</v>
      </c>
    </row>
    <row r="86" spans="1:16" x14ac:dyDescent="0.2">
      <c r="A86">
        <v>85</v>
      </c>
      <c r="B86">
        <v>772</v>
      </c>
      <c r="C86">
        <v>150</v>
      </c>
      <c r="D86">
        <v>0.44521886810505501</v>
      </c>
      <c r="E86">
        <v>7.3340328017038301</v>
      </c>
      <c r="F86">
        <v>0.39838326060566798</v>
      </c>
      <c r="G86">
        <v>-156.85385047056553</v>
      </c>
      <c r="H86">
        <v>-93.20521487569043</v>
      </c>
      <c r="I86">
        <v>60.902581136725303</v>
      </c>
      <c r="J86">
        <v>26.424098623315999</v>
      </c>
      <c r="K86">
        <v>18.409490375056901</v>
      </c>
      <c r="L86">
        <v>1.7278791195792249E-3</v>
      </c>
      <c r="M86">
        <v>5.5979704284197282E-4</v>
      </c>
      <c r="N86" s="1">
        <v>-1.0631612508458401E-5</v>
      </c>
      <c r="O86" s="1">
        <v>1.7129884911507601E-5</v>
      </c>
      <c r="P86" s="1">
        <v>-2.6288674892390501E-5</v>
      </c>
    </row>
    <row r="87" spans="1:16" x14ac:dyDescent="0.2">
      <c r="A87">
        <v>86</v>
      </c>
      <c r="B87">
        <v>771</v>
      </c>
      <c r="C87">
        <v>150</v>
      </c>
      <c r="D87">
        <v>0.44462050471675502</v>
      </c>
      <c r="E87">
        <v>7.6591823544568598</v>
      </c>
      <c r="F87">
        <v>0.41285563154124899</v>
      </c>
      <c r="G87">
        <v>-162.20554184830405</v>
      </c>
      <c r="H87">
        <v>-97.778731495406163</v>
      </c>
      <c r="I87">
        <v>61.706190553956198</v>
      </c>
      <c r="J87">
        <v>26.900730681139901</v>
      </c>
      <c r="K87">
        <v>18.5517206725848</v>
      </c>
      <c r="L87">
        <v>1.7206956600828186E-3</v>
      </c>
      <c r="M87">
        <v>5.5581151290823934E-4</v>
      </c>
      <c r="N87" s="1">
        <v>-1.05042082988375E-5</v>
      </c>
      <c r="O87" s="1">
        <v>1.7152567821840299E-5</v>
      </c>
      <c r="P87" s="1">
        <v>-2.6427866290897699E-5</v>
      </c>
    </row>
    <row r="88" spans="1:16" x14ac:dyDescent="0.2">
      <c r="A88">
        <v>87</v>
      </c>
      <c r="B88">
        <v>770</v>
      </c>
      <c r="C88">
        <v>150</v>
      </c>
      <c r="D88">
        <v>0.44402099410439499</v>
      </c>
      <c r="E88">
        <v>7.9845314738492004</v>
      </c>
      <c r="F88">
        <v>0.427120026586573</v>
      </c>
      <c r="G88">
        <v>-167.55816811803658</v>
      </c>
      <c r="H88">
        <v>-102.35510927674137</v>
      </c>
      <c r="I88">
        <v>62.509494123982201</v>
      </c>
      <c r="J88">
        <v>27.378045248888899</v>
      </c>
      <c r="K88">
        <v>18.693882227109299</v>
      </c>
      <c r="L88">
        <v>1.7136260920629933E-3</v>
      </c>
      <c r="M88">
        <v>5.5187779527038675E-4</v>
      </c>
      <c r="N88" s="1">
        <v>-1.03731269710214E-5</v>
      </c>
      <c r="O88" s="1">
        <v>1.7174970648920301E-5</v>
      </c>
      <c r="P88" s="1">
        <v>-2.65676709781933E-5</v>
      </c>
    </row>
    <row r="89" spans="1:16" x14ac:dyDescent="0.2">
      <c r="A89">
        <v>88</v>
      </c>
      <c r="B89">
        <v>769</v>
      </c>
      <c r="C89">
        <v>150</v>
      </c>
      <c r="D89">
        <v>0.44342033296550898</v>
      </c>
      <c r="E89">
        <v>8.3100386791591507</v>
      </c>
      <c r="F89">
        <v>0.44117970343434698</v>
      </c>
      <c r="G89">
        <v>-172.91101676842626</v>
      </c>
      <c r="H89">
        <v>-106.93376017869608</v>
      </c>
      <c r="I89">
        <v>63.312371528222101</v>
      </c>
      <c r="J89">
        <v>27.855988324869202</v>
      </c>
      <c r="K89">
        <v>18.835949646980499</v>
      </c>
      <c r="L89">
        <v>1.7066688347967425E-3</v>
      </c>
      <c r="M89">
        <v>5.479950509800326E-4</v>
      </c>
      <c r="N89" s="1">
        <v>-1.02383116984399E-5</v>
      </c>
      <c r="O89" s="1">
        <v>1.71970807986808E-5</v>
      </c>
      <c r="P89" s="1">
        <v>-2.6708073238035302E-5</v>
      </c>
    </row>
    <row r="90" spans="1:16" x14ac:dyDescent="0.2">
      <c r="A90">
        <v>89</v>
      </c>
      <c r="B90">
        <v>768</v>
      </c>
      <c r="C90">
        <v>150</v>
      </c>
      <c r="D90">
        <v>0.442818517984921</v>
      </c>
      <c r="E90">
        <v>9.8355970997198305</v>
      </c>
      <c r="F90">
        <v>0.50215848120914297</v>
      </c>
      <c r="G90">
        <v>-198.19327521476754</v>
      </c>
      <c r="H90">
        <v>-128.465105785942</v>
      </c>
      <c r="I90">
        <v>66.975887898275403</v>
      </c>
      <c r="J90">
        <v>29.916140111745001</v>
      </c>
      <c r="K90">
        <v>19.586639413192302</v>
      </c>
      <c r="L90">
        <v>1.6619819922167266E-3</v>
      </c>
      <c r="M90">
        <v>5.319898364174613E-4</v>
      </c>
      <c r="N90" s="1">
        <v>-1.01941045108443E-5</v>
      </c>
      <c r="O90" s="1">
        <v>1.7372597919895201E-5</v>
      </c>
      <c r="P90" s="1">
        <v>-2.70887178894117E-5</v>
      </c>
    </row>
    <row r="91" spans="1:16" x14ac:dyDescent="0.2">
      <c r="A91">
        <v>90</v>
      </c>
      <c r="B91">
        <v>767</v>
      </c>
      <c r="C91">
        <v>150</v>
      </c>
      <c r="D91">
        <v>0.44221554583473799</v>
      </c>
      <c r="E91">
        <v>11.3786377056707</v>
      </c>
      <c r="F91">
        <v>0.55927357723557902</v>
      </c>
      <c r="G91">
        <v>-223.75017127323585</v>
      </c>
      <c r="H91">
        <v>-150.23853064303583</v>
      </c>
      <c r="I91">
        <v>70.6777504915447</v>
      </c>
      <c r="J91">
        <v>32.000256081408502</v>
      </c>
      <c r="K91">
        <v>20.345387604245399</v>
      </c>
      <c r="L91">
        <v>1.6201469984342954E-3</v>
      </c>
      <c r="M91">
        <v>5.1698543386376921E-4</v>
      </c>
      <c r="N91" s="1">
        <v>-1.0144429148207999E-5</v>
      </c>
      <c r="O91" s="1">
        <v>1.7549213338965001E-5</v>
      </c>
      <c r="P91" s="1">
        <v>-2.74740702580096E-5</v>
      </c>
    </row>
    <row r="92" spans="1:16" x14ac:dyDescent="0.2">
      <c r="A92">
        <v>91</v>
      </c>
      <c r="B92">
        <v>766</v>
      </c>
      <c r="C92">
        <v>150</v>
      </c>
      <c r="D92">
        <v>0.44161141317423203</v>
      </c>
      <c r="E92">
        <v>12.932451990868399</v>
      </c>
      <c r="F92">
        <v>0.61265898639222505</v>
      </c>
      <c r="G92">
        <v>-249.46870869877006</v>
      </c>
      <c r="H92">
        <v>-172.15794368087455</v>
      </c>
      <c r="I92">
        <v>74.4018015425697</v>
      </c>
      <c r="J92">
        <v>34.099425991369003</v>
      </c>
      <c r="K92">
        <v>21.1087281474869</v>
      </c>
      <c r="L92">
        <v>1.5810790509729002E-3</v>
      </c>
      <c r="M92">
        <v>5.0294637338523982E-4</v>
      </c>
      <c r="N92" s="1">
        <v>-1.0088553061922999E-5</v>
      </c>
      <c r="O92" s="1">
        <v>1.77259718740835E-5</v>
      </c>
      <c r="P92" s="1">
        <v>-2.7862680194454501E-5</v>
      </c>
    </row>
    <row r="93" spans="1:16" x14ac:dyDescent="0.2">
      <c r="A93">
        <v>92</v>
      </c>
      <c r="B93">
        <v>765</v>
      </c>
      <c r="C93">
        <v>150</v>
      </c>
      <c r="D93">
        <v>0.44100611664981298</v>
      </c>
      <c r="E93">
        <v>14.5045856150722</v>
      </c>
      <c r="F93">
        <v>0.66290284667537003</v>
      </c>
      <c r="G93">
        <v>-275.47208412423504</v>
      </c>
      <c r="H93">
        <v>-194.32813259683289</v>
      </c>
      <c r="I93">
        <v>78.1658377934084</v>
      </c>
      <c r="J93">
        <v>36.223506025040699</v>
      </c>
      <c r="K93">
        <v>21.880409305551201</v>
      </c>
      <c r="L93">
        <v>1.5443242506653352E-3</v>
      </c>
      <c r="M93">
        <v>4.8971980228649495E-4</v>
      </c>
      <c r="N93" s="1">
        <v>-1.0026833199688099E-5</v>
      </c>
      <c r="O93" s="1">
        <v>1.7903716766810599E-5</v>
      </c>
      <c r="P93" s="1">
        <v>-2.82559118899254E-5</v>
      </c>
    </row>
    <row r="94" spans="1:16" x14ac:dyDescent="0.2">
      <c r="A94">
        <v>93</v>
      </c>
      <c r="B94">
        <v>764</v>
      </c>
      <c r="C94">
        <v>150</v>
      </c>
      <c r="D94">
        <v>0.44039965289495597</v>
      </c>
      <c r="E94">
        <v>23.208523850878802</v>
      </c>
      <c r="F94">
        <v>0.88605101693127897</v>
      </c>
      <c r="G94">
        <v>-417.9300547515582</v>
      </c>
      <c r="H94">
        <v>-315.57615856890237</v>
      </c>
      <c r="I94">
        <v>98.691636805330504</v>
      </c>
      <c r="J94">
        <v>47.619371738680698</v>
      </c>
      <c r="K94">
        <v>26.193213942983199</v>
      </c>
      <c r="L94">
        <v>1.3657641012919186E-3</v>
      </c>
      <c r="M94">
        <v>4.3133707968760478E-4</v>
      </c>
      <c r="N94" s="1">
        <v>-1.04196081763245E-5</v>
      </c>
      <c r="O94" s="1">
        <v>1.8884507236421801E-5</v>
      </c>
      <c r="P94" s="1">
        <v>-2.99246607668445E-5</v>
      </c>
    </row>
    <row r="95" spans="1:16" x14ac:dyDescent="0.2">
      <c r="A95">
        <v>94</v>
      </c>
      <c r="B95">
        <v>763</v>
      </c>
      <c r="C95">
        <v>150</v>
      </c>
      <c r="D95">
        <v>0.43979201853014099</v>
      </c>
      <c r="E95">
        <v>37.997311088451802</v>
      </c>
      <c r="F95">
        <v>1.13382977511376</v>
      </c>
      <c r="G95">
        <v>-659.58533587785064</v>
      </c>
      <c r="H95">
        <v>-521.31989053859775</v>
      </c>
      <c r="I95">
        <v>133.44588127464101</v>
      </c>
      <c r="J95">
        <v>66.908958342284294</v>
      </c>
      <c r="K95">
        <v>33.512359546775201</v>
      </c>
      <c r="L95">
        <v>1.1659445204174773E-3</v>
      </c>
      <c r="M95">
        <v>3.6653224671068523E-4</v>
      </c>
      <c r="N95" s="1">
        <v>-1.11677867803475E-5</v>
      </c>
      <c r="O95" s="1">
        <v>2.0534555998047299E-5</v>
      </c>
      <c r="P95" s="1">
        <v>-3.2671659220304402E-5</v>
      </c>
    </row>
    <row r="96" spans="1:16" x14ac:dyDescent="0.2">
      <c r="A96">
        <v>95</v>
      </c>
      <c r="B96">
        <v>762</v>
      </c>
      <c r="C96">
        <v>150</v>
      </c>
      <c r="D96">
        <v>0.439183210162781</v>
      </c>
      <c r="E96">
        <v>84.311514138345601</v>
      </c>
      <c r="F96">
        <v>1.49637613256057</v>
      </c>
      <c r="G96">
        <v>-1411.3931802319746</v>
      </c>
      <c r="H96">
        <v>-1160.9112992688893</v>
      </c>
      <c r="I96">
        <v>241.98187308525701</v>
      </c>
      <c r="J96">
        <v>127.045587395094</v>
      </c>
      <c r="K96">
        <v>56.343797728230903</v>
      </c>
      <c r="L96">
        <v>8.7542612965195671E-4</v>
      </c>
      <c r="M96">
        <v>2.733550433989887E-4</v>
      </c>
      <c r="N96" s="1">
        <v>-1.38450369498048E-5</v>
      </c>
      <c r="O96" s="1">
        <v>2.573102645314E-5</v>
      </c>
      <c r="P96" s="1">
        <v>-4.1106195817793901E-5</v>
      </c>
    </row>
    <row r="97" spans="1:16" x14ac:dyDescent="0.2">
      <c r="A97">
        <v>96</v>
      </c>
      <c r="B97">
        <v>761</v>
      </c>
      <c r="C97">
        <v>150</v>
      </c>
      <c r="D97">
        <v>0.43857322438717999</v>
      </c>
      <c r="E97">
        <v>98.670726111764694</v>
      </c>
      <c r="F97">
        <v>1.55720265234497</v>
      </c>
      <c r="G97">
        <v>-1644.3688868162353</v>
      </c>
      <c r="H97">
        <v>-1359.5332164545068</v>
      </c>
      <c r="I97">
        <v>275.43555384431198</v>
      </c>
      <c r="J97">
        <v>145.70213401514599</v>
      </c>
      <c r="K97">
        <v>63.364088137903899</v>
      </c>
      <c r="L97">
        <v>8.2821068797655801E-4</v>
      </c>
      <c r="M97">
        <v>2.5762659846690164E-4</v>
      </c>
      <c r="N97" s="1">
        <v>-1.4431228980577E-5</v>
      </c>
      <c r="O97" s="1">
        <v>2.72846637272983E-5</v>
      </c>
      <c r="P97" s="1">
        <v>-4.3766733553196099E-5</v>
      </c>
    </row>
    <row r="98" spans="1:16" x14ac:dyDescent="0.2">
      <c r="A98">
        <v>97</v>
      </c>
      <c r="B98">
        <v>760</v>
      </c>
      <c r="C98">
        <v>150</v>
      </c>
      <c r="D98">
        <v>0.43796205778444602</v>
      </c>
      <c r="E98">
        <v>103.63351365214599</v>
      </c>
      <c r="F98">
        <v>1.5761497035073999</v>
      </c>
      <c r="G98">
        <v>-1724.6841129504362</v>
      </c>
      <c r="H98">
        <v>-1428.300258026447</v>
      </c>
      <c r="I98">
        <v>286.87991465715203</v>
      </c>
      <c r="J98">
        <v>152.17970939646401</v>
      </c>
      <c r="K98">
        <v>65.751059954223194</v>
      </c>
      <c r="L98">
        <v>8.14785198836699E-4</v>
      </c>
      <c r="M98">
        <v>2.5263275193332602E-4</v>
      </c>
      <c r="N98" s="1">
        <v>-1.4418710435887001E-5</v>
      </c>
      <c r="O98" s="1">
        <v>2.7782959336364599E-5</v>
      </c>
      <c r="P98" s="1">
        <v>-4.4749296012210601E-5</v>
      </c>
    </row>
    <row r="99" spans="1:16" x14ac:dyDescent="0.2">
      <c r="A99">
        <v>98</v>
      </c>
      <c r="B99">
        <v>788</v>
      </c>
      <c r="C99">
        <v>125</v>
      </c>
      <c r="D99">
        <v>0.48055458700466802</v>
      </c>
      <c r="E99">
        <v>6.8512802711523699</v>
      </c>
      <c r="F99">
        <v>0.29456293014801499</v>
      </c>
      <c r="G99">
        <v>-152.78242387486151</v>
      </c>
      <c r="H99">
        <v>-84.915209734366769</v>
      </c>
      <c r="I99">
        <v>63.959981966529398</v>
      </c>
      <c r="J99">
        <v>25.863890931521301</v>
      </c>
      <c r="K99">
        <v>23.259139456922298</v>
      </c>
      <c r="L99">
        <v>1.7755161207574587E-3</v>
      </c>
      <c r="M99">
        <v>7.6194404098586799E-4</v>
      </c>
      <c r="N99" s="1">
        <v>-3.1233815915649901E-5</v>
      </c>
      <c r="O99" s="1">
        <v>3.4064125086703397E-5</v>
      </c>
      <c r="P99" s="1">
        <v>-3.57093223472669E-5</v>
      </c>
    </row>
    <row r="100" spans="1:16" x14ac:dyDescent="0.2">
      <c r="A100">
        <v>99</v>
      </c>
      <c r="B100">
        <v>787</v>
      </c>
      <c r="C100">
        <v>125</v>
      </c>
      <c r="D100">
        <v>0.479998585105882</v>
      </c>
      <c r="E100">
        <v>7.0487284730108604</v>
      </c>
      <c r="F100">
        <v>0.30218460483059401</v>
      </c>
      <c r="G100">
        <v>-156.00779643704902</v>
      </c>
      <c r="H100">
        <v>-87.70310411944341</v>
      </c>
      <c r="I100">
        <v>64.432975579203003</v>
      </c>
      <c r="J100">
        <v>26.160428844101698</v>
      </c>
      <c r="K100">
        <v>23.325901982870299</v>
      </c>
      <c r="L100">
        <v>1.7745853023621626E-3</v>
      </c>
      <c r="M100">
        <v>7.5940016559366001E-4</v>
      </c>
      <c r="N100" s="1">
        <v>-3.1261448633642102E-5</v>
      </c>
      <c r="O100" s="1">
        <v>3.4075412384298098E-5</v>
      </c>
      <c r="P100" s="1">
        <v>-3.5847741242724201E-5</v>
      </c>
    </row>
    <row r="101" spans="1:16" x14ac:dyDescent="0.2">
      <c r="A101">
        <v>100</v>
      </c>
      <c r="B101">
        <v>786</v>
      </c>
      <c r="C101">
        <v>125</v>
      </c>
      <c r="D101">
        <v>0.47944153330501299</v>
      </c>
      <c r="E101">
        <v>7.3581291036636696</v>
      </c>
      <c r="F101">
        <v>0.313724553942412</v>
      </c>
      <c r="G101">
        <v>-161.09708768237059</v>
      </c>
      <c r="H101">
        <v>-92.056967149917213</v>
      </c>
      <c r="I101">
        <v>65.188176151489799</v>
      </c>
      <c r="J101">
        <v>26.608530693217499</v>
      </c>
      <c r="K101">
        <v>23.4541065122188</v>
      </c>
      <c r="L101">
        <v>1.7706323446137703E-3</v>
      </c>
      <c r="M101">
        <v>7.555501683977478E-4</v>
      </c>
      <c r="N101" s="1">
        <v>-3.1315098381871898E-5</v>
      </c>
      <c r="O101" s="1">
        <v>3.4116607408089297E-5</v>
      </c>
      <c r="P101" s="1">
        <v>-3.60188361871563E-5</v>
      </c>
    </row>
    <row r="102" spans="1:16" x14ac:dyDescent="0.2">
      <c r="A102">
        <v>101</v>
      </c>
      <c r="B102">
        <v>785</v>
      </c>
      <c r="C102">
        <v>125</v>
      </c>
      <c r="D102">
        <v>0.47888342862543298</v>
      </c>
      <c r="E102">
        <v>7.6676576940499004</v>
      </c>
      <c r="F102">
        <v>0.325146112319604</v>
      </c>
      <c r="G102">
        <v>-166.18635050233758</v>
      </c>
      <c r="H102">
        <v>-96.412727253106695</v>
      </c>
      <c r="I102">
        <v>65.942984443675996</v>
      </c>
      <c r="J102">
        <v>27.057200310460502</v>
      </c>
      <c r="K102">
        <v>23.582190909030199</v>
      </c>
      <c r="L102">
        <v>1.7667397302065088E-3</v>
      </c>
      <c r="M102">
        <v>7.5173600940205772E-4</v>
      </c>
      <c r="N102" s="1">
        <v>-3.13665831660809E-5</v>
      </c>
      <c r="O102" s="1">
        <v>3.41575543422134E-5</v>
      </c>
      <c r="P102" s="1">
        <v>-3.6191009446326702E-5</v>
      </c>
    </row>
    <row r="103" spans="1:16" x14ac:dyDescent="0.2">
      <c r="A103">
        <v>102</v>
      </c>
      <c r="B103">
        <v>784</v>
      </c>
      <c r="C103">
        <v>125</v>
      </c>
      <c r="D103">
        <v>0.47832426807926898</v>
      </c>
      <c r="E103">
        <v>7.97727625196831</v>
      </c>
      <c r="F103">
        <v>0.33645011015881299</v>
      </c>
      <c r="G103">
        <v>-171.2749363926745</v>
      </c>
      <c r="H103">
        <v>-100.76984805211465</v>
      </c>
      <c r="I103">
        <v>66.697293275271306</v>
      </c>
      <c r="J103">
        <v>27.506389326162601</v>
      </c>
      <c r="K103">
        <v>23.710131193604902</v>
      </c>
      <c r="L103">
        <v>1.7629073623792462E-3</v>
      </c>
      <c r="M103">
        <v>7.47957436735201E-4</v>
      </c>
      <c r="N103" s="1">
        <v>-3.1415832928348699E-5</v>
      </c>
      <c r="O103" s="1">
        <v>3.4198236670630698E-5</v>
      </c>
      <c r="P103" s="1">
        <v>-3.6364255446560802E-5</v>
      </c>
    </row>
    <row r="104" spans="1:16" x14ac:dyDescent="0.2">
      <c r="A104">
        <v>103</v>
      </c>
      <c r="B104">
        <v>783</v>
      </c>
      <c r="C104">
        <v>125</v>
      </c>
      <c r="D104">
        <v>0.47776404866733202</v>
      </c>
      <c r="E104">
        <v>8.2869475435541595</v>
      </c>
      <c r="F104">
        <v>0.34763742641845002</v>
      </c>
      <c r="G104">
        <v>-176.36220968934524</v>
      </c>
      <c r="H104">
        <v>-105.12780344837839</v>
      </c>
      <c r="I104">
        <v>67.450997485574504</v>
      </c>
      <c r="J104">
        <v>27.9560504449558</v>
      </c>
      <c r="K104">
        <v>23.8379038440446</v>
      </c>
      <c r="L104">
        <v>1.7591351025040265E-3</v>
      </c>
      <c r="M104">
        <v>7.4421418099291715E-4</v>
      </c>
      <c r="N104" s="1">
        <v>-3.1462776760502901E-5</v>
      </c>
      <c r="O104" s="1">
        <v>3.4238638052694501E-5</v>
      </c>
      <c r="P104" s="1">
        <v>-3.6538568676848302E-5</v>
      </c>
    </row>
    <row r="105" spans="1:16" x14ac:dyDescent="0.2">
      <c r="A105">
        <v>104</v>
      </c>
      <c r="B105">
        <v>782</v>
      </c>
      <c r="C105">
        <v>125</v>
      </c>
      <c r="D105">
        <v>0.47720276737904699</v>
      </c>
      <c r="E105">
        <v>8.5966352148093392</v>
      </c>
      <c r="F105">
        <v>0.35870898942678198</v>
      </c>
      <c r="G105">
        <v>-181.44754955354995</v>
      </c>
      <c r="H105">
        <v>-109.48607929817987</v>
      </c>
      <c r="I105">
        <v>68.203994235611006</v>
      </c>
      <c r="J105">
        <v>28.4061376138059</v>
      </c>
      <c r="K105">
        <v>23.9654858623609</v>
      </c>
      <c r="L105">
        <v>1.7554227689118647E-3</v>
      </c>
      <c r="M105">
        <v>7.4050595499304322E-4</v>
      </c>
      <c r="N105" s="1">
        <v>-3.1507342930520998E-5</v>
      </c>
      <c r="O105" s="1">
        <v>3.4278742352053899E-5</v>
      </c>
      <c r="P105" s="1">
        <v>-3.6713943718787197E-5</v>
      </c>
    </row>
    <row r="106" spans="1:16" x14ac:dyDescent="0.2">
      <c r="A106">
        <v>105</v>
      </c>
      <c r="B106">
        <v>781</v>
      </c>
      <c r="C106">
        <v>125</v>
      </c>
      <c r="D106">
        <v>0.476640421192431</v>
      </c>
      <c r="E106">
        <v>8.9063039194407292</v>
      </c>
      <c r="F106">
        <v>0.36966577756351698</v>
      </c>
      <c r="G106">
        <v>-186.53035205547638</v>
      </c>
      <c r="H106">
        <v>-113.84417517518001</v>
      </c>
      <c r="I106">
        <v>68.956183323864906</v>
      </c>
      <c r="J106">
        <v>28.856606198453001</v>
      </c>
      <c r="K106">
        <v>24.092854843482002</v>
      </c>
      <c r="L106">
        <v>1.7517701356421244E-3</v>
      </c>
      <c r="M106">
        <v>7.3683245350665203E-4</v>
      </c>
      <c r="N106" s="1">
        <v>-3.1549458910263E-5</v>
      </c>
      <c r="O106" s="1">
        <v>3.4318533666328697E-5</v>
      </c>
      <c r="P106" s="1">
        <v>-3.6890375277983501E-5</v>
      </c>
    </row>
    <row r="107" spans="1:16" x14ac:dyDescent="0.2">
      <c r="A107">
        <v>106</v>
      </c>
      <c r="B107">
        <v>780</v>
      </c>
      <c r="C107">
        <v>125</v>
      </c>
      <c r="D107">
        <v>0.47607700707401701</v>
      </c>
      <c r="E107">
        <v>9.2159194451690691</v>
      </c>
      <c r="F107">
        <v>0.38050881975658102</v>
      </c>
      <c r="G107">
        <v>-191.61003222644749</v>
      </c>
      <c r="H107">
        <v>-118.2016061098342</v>
      </c>
      <c r="I107">
        <v>69.707467495753704</v>
      </c>
      <c r="J107">
        <v>29.3074131576459</v>
      </c>
      <c r="K107">
        <v>24.2199890427366</v>
      </c>
      <c r="L107">
        <v>1.7481769313162307E-3</v>
      </c>
      <c r="M107">
        <v>7.3319335305139881E-4</v>
      </c>
      <c r="N107" s="1">
        <v>-3.1589051402375302E-5</v>
      </c>
      <c r="O107" s="1">
        <v>3.4357996355267202E-5</v>
      </c>
      <c r="P107" s="1">
        <v>-3.7067858214479303E-5</v>
      </c>
    </row>
    <row r="108" spans="1:16" x14ac:dyDescent="0.2">
      <c r="A108">
        <v>107</v>
      </c>
      <c r="B108">
        <v>779</v>
      </c>
      <c r="C108">
        <v>125</v>
      </c>
      <c r="D108">
        <v>0.475512521978807</v>
      </c>
      <c r="E108">
        <v>9.5254488392997008</v>
      </c>
      <c r="F108">
        <v>0.39123919583726902</v>
      </c>
      <c r="G108">
        <v>-196.68602609275649</v>
      </c>
      <c r="H108">
        <v>-122.55790431665194</v>
      </c>
      <c r="I108">
        <v>70.457752749015398</v>
      </c>
      <c r="J108">
        <v>29.758517216292301</v>
      </c>
      <c r="K108">
        <v>24.346867442345101</v>
      </c>
      <c r="L108">
        <v>1.7446428381055537E-3</v>
      </c>
      <c r="M108">
        <v>7.2958831173324055E-4</v>
      </c>
      <c r="N108" s="1">
        <v>-3.1626046366737203E-5</v>
      </c>
      <c r="O108" s="1">
        <v>3.4397115067764598E-5</v>
      </c>
      <c r="P108" s="1">
        <v>-3.7246387572586297E-5</v>
      </c>
    </row>
    <row r="109" spans="1:16" x14ac:dyDescent="0.2">
      <c r="A109">
        <v>108</v>
      </c>
      <c r="B109">
        <v>778</v>
      </c>
      <c r="C109">
        <v>125</v>
      </c>
      <c r="D109">
        <v>0.47494696285021398</v>
      </c>
      <c r="E109">
        <v>9.8348605383078702</v>
      </c>
      <c r="F109">
        <v>0.401858036917706</v>
      </c>
      <c r="G109">
        <v>-201.75779276999481</v>
      </c>
      <c r="H109">
        <v>-126.91262097510722</v>
      </c>
      <c r="I109">
        <v>71.206948647348895</v>
      </c>
      <c r="J109">
        <v>30.209879044072899</v>
      </c>
      <c r="K109">
        <v>24.473469819696199</v>
      </c>
      <c r="L109">
        <v>1.7411674906648163E-3</v>
      </c>
      <c r="M109">
        <v>7.260169690812637E-4</v>
      </c>
      <c r="N109" s="1">
        <v>-3.1660369047787398E-5</v>
      </c>
      <c r="O109" s="1">
        <v>3.44358747692713E-5</v>
      </c>
      <c r="P109" s="1">
        <v>-3.7425958611789599E-5</v>
      </c>
    </row>
    <row r="110" spans="1:16" x14ac:dyDescent="0.2">
      <c r="A110">
        <v>109</v>
      </c>
      <c r="B110">
        <v>777</v>
      </c>
      <c r="C110">
        <v>125</v>
      </c>
      <c r="D110">
        <v>0.47438032662001101</v>
      </c>
      <c r="E110">
        <v>10.956080067002199</v>
      </c>
      <c r="F110">
        <v>0.43784153949875398</v>
      </c>
      <c r="G110">
        <v>-220.31397907134635</v>
      </c>
      <c r="H110">
        <v>-142.73334621524279</v>
      </c>
      <c r="I110">
        <v>73.879612558257605</v>
      </c>
      <c r="J110">
        <v>31.717379671543199</v>
      </c>
      <c r="K110">
        <v>25.022934277877901</v>
      </c>
      <c r="L110">
        <v>1.717225713102779E-3</v>
      </c>
      <c r="M110">
        <v>7.1390020087962246E-4</v>
      </c>
      <c r="N110" s="1">
        <v>-3.1855647116825497E-5</v>
      </c>
      <c r="O110" s="1">
        <v>3.4650036642529501E-5</v>
      </c>
      <c r="P110" s="1">
        <v>-3.7798303214243698E-5</v>
      </c>
    </row>
    <row r="111" spans="1:16" x14ac:dyDescent="0.2">
      <c r="A111">
        <v>110</v>
      </c>
      <c r="B111">
        <v>776</v>
      </c>
      <c r="C111">
        <v>125</v>
      </c>
      <c r="D111">
        <v>0.47381261020826598</v>
      </c>
      <c r="E111">
        <v>12.458259057620801</v>
      </c>
      <c r="F111">
        <v>0.48343872995769699</v>
      </c>
      <c r="G111">
        <v>-245.18550800650621</v>
      </c>
      <c r="H111">
        <v>-163.930450833355</v>
      </c>
      <c r="I111">
        <v>77.452355727279397</v>
      </c>
      <c r="J111">
        <v>33.721007327867703</v>
      </c>
      <c r="K111">
        <v>25.7700889184262</v>
      </c>
      <c r="L111">
        <v>1.6853543750209993E-3</v>
      </c>
      <c r="M111">
        <v>6.9853687075783176E-4</v>
      </c>
      <c r="N111" s="1">
        <v>-3.2124155192841697E-5</v>
      </c>
      <c r="O111" s="1">
        <v>3.49453704048472E-5</v>
      </c>
      <c r="P111" s="1">
        <v>-3.8262405126165803E-5</v>
      </c>
    </row>
    <row r="112" spans="1:16" x14ac:dyDescent="0.2">
      <c r="A112">
        <v>111</v>
      </c>
      <c r="B112">
        <v>775</v>
      </c>
      <c r="C112">
        <v>125</v>
      </c>
      <c r="D112">
        <v>0.473243810523307</v>
      </c>
      <c r="E112">
        <v>13.9717238668646</v>
      </c>
      <c r="F112">
        <v>0.52679566476464001</v>
      </c>
      <c r="G112">
        <v>-270.22742990848099</v>
      </c>
      <c r="H112">
        <v>-185.28068303772039</v>
      </c>
      <c r="I112">
        <v>81.048388575498294</v>
      </c>
      <c r="J112">
        <v>35.740008947189601</v>
      </c>
      <c r="K112">
        <v>26.522093482122401</v>
      </c>
      <c r="L112">
        <v>1.6550886660385723E-3</v>
      </c>
      <c r="M112">
        <v>6.8391793344434995E-4</v>
      </c>
      <c r="N112" s="1">
        <v>-3.2390978278403503E-5</v>
      </c>
      <c r="O112" s="1">
        <v>3.5241533073650899E-5</v>
      </c>
      <c r="P112" s="1">
        <v>-3.8731001906089502E-5</v>
      </c>
    </row>
    <row r="113" spans="1:16" x14ac:dyDescent="0.2">
      <c r="A113">
        <v>112</v>
      </c>
      <c r="B113">
        <v>774</v>
      </c>
      <c r="C113">
        <v>125</v>
      </c>
      <c r="D113">
        <v>0.47267392446163797</v>
      </c>
      <c r="E113">
        <v>15.5039912755859</v>
      </c>
      <c r="F113">
        <v>0.56827038401476104</v>
      </c>
      <c r="G113">
        <v>-295.56251649513246</v>
      </c>
      <c r="H113">
        <v>-206.88842001758937</v>
      </c>
      <c r="I113">
        <v>84.685344265634001</v>
      </c>
      <c r="J113">
        <v>37.784073859619198</v>
      </c>
      <c r="K113">
        <v>27.2827719193319</v>
      </c>
      <c r="L113">
        <v>1.6261517782715023E-3</v>
      </c>
      <c r="M113">
        <v>6.699226880672902E-4</v>
      </c>
      <c r="N113" s="1">
        <v>-3.2657331090821903E-5</v>
      </c>
      <c r="O113" s="1">
        <v>3.5539953092624998E-5</v>
      </c>
      <c r="P113" s="1">
        <v>-3.9205722089826099E-5</v>
      </c>
    </row>
    <row r="114" spans="1:16" x14ac:dyDescent="0.2">
      <c r="A114">
        <v>113</v>
      </c>
      <c r="B114">
        <v>773</v>
      </c>
      <c r="C114">
        <v>125</v>
      </c>
      <c r="D114">
        <v>0.472102948907902</v>
      </c>
      <c r="E114">
        <v>17.065815104503599</v>
      </c>
      <c r="F114">
        <v>0.60824223233144104</v>
      </c>
      <c r="G114">
        <v>-321.36633897976611</v>
      </c>
      <c r="H114">
        <v>-228.9029594896366</v>
      </c>
      <c r="I114">
        <v>88.388454845910701</v>
      </c>
      <c r="J114">
        <v>39.867068567380301</v>
      </c>
      <c r="K114">
        <v>28.0575964597015</v>
      </c>
      <c r="L114">
        <v>1.5982455095976871E-3</v>
      </c>
      <c r="M114">
        <v>6.5642286488096127E-4</v>
      </c>
      <c r="N114" s="1">
        <v>-3.2925001311338097E-5</v>
      </c>
      <c r="O114" s="1">
        <v>3.58426774811477E-5</v>
      </c>
      <c r="P114" s="1">
        <v>-3.9688903637689703E-5</v>
      </c>
    </row>
    <row r="115" spans="1:16" x14ac:dyDescent="0.2">
      <c r="A115">
        <v>114</v>
      </c>
      <c r="B115">
        <v>772</v>
      </c>
      <c r="C115">
        <v>125</v>
      </c>
      <c r="D115">
        <v>0.47153088073482102</v>
      </c>
      <c r="E115">
        <v>28.697805340964901</v>
      </c>
      <c r="F115">
        <v>0.84528749432768302</v>
      </c>
      <c r="G115">
        <v>-511.63829901592874</v>
      </c>
      <c r="H115">
        <v>-390.80420203269654</v>
      </c>
      <c r="I115">
        <v>115.618394574352</v>
      </c>
      <c r="J115">
        <v>54.876569550623003</v>
      </c>
      <c r="K115">
        <v>33.950348885488097</v>
      </c>
      <c r="L115">
        <v>1.407529392667844E-3</v>
      </c>
      <c r="M115">
        <v>5.7571807860556273E-4</v>
      </c>
      <c r="N115" s="1">
        <v>-3.4964969069699099E-5</v>
      </c>
      <c r="O115" s="1">
        <v>3.8059098041223702E-5</v>
      </c>
      <c r="P115" s="1">
        <v>-4.2302822650833701E-5</v>
      </c>
    </row>
    <row r="116" spans="1:16" x14ac:dyDescent="0.2">
      <c r="A116">
        <v>115</v>
      </c>
      <c r="B116">
        <v>771</v>
      </c>
      <c r="C116">
        <v>125</v>
      </c>
      <c r="D116">
        <v>0.47095771680314102</v>
      </c>
      <c r="E116">
        <v>52.831501264616001</v>
      </c>
      <c r="F116">
        <v>1.1447665653840899</v>
      </c>
      <c r="G116">
        <v>-904.34813936105024</v>
      </c>
      <c r="H116">
        <v>-724.81329269139769</v>
      </c>
      <c r="I116">
        <v>171.948341327658</v>
      </c>
      <c r="J116">
        <v>85.883569477060504</v>
      </c>
      <c r="K116">
        <v>46.1504579729665</v>
      </c>
      <c r="L116">
        <v>1.1659128496959617E-3</v>
      </c>
      <c r="M116">
        <v>4.7450895014265054E-4</v>
      </c>
      <c r="N116" s="1">
        <v>-3.9204792228527503E-5</v>
      </c>
      <c r="O116" s="1">
        <v>4.2653840658994598E-5</v>
      </c>
      <c r="P116" s="1">
        <v>-4.7590203606506597E-5</v>
      </c>
    </row>
    <row r="117" spans="1:16" x14ac:dyDescent="0.2">
      <c r="A117">
        <v>116</v>
      </c>
      <c r="B117">
        <v>770</v>
      </c>
      <c r="C117">
        <v>125</v>
      </c>
      <c r="D117">
        <v>0.47038345396155901</v>
      </c>
      <c r="E117">
        <v>80.869667174851102</v>
      </c>
      <c r="F117">
        <v>1.34188256746624</v>
      </c>
      <c r="G117">
        <v>-1359.7069678822772</v>
      </c>
      <c r="H117">
        <v>-1112.2891654815542</v>
      </c>
      <c r="I117">
        <v>237.188750579116</v>
      </c>
      <c r="J117">
        <v>121.847025878769</v>
      </c>
      <c r="K117">
        <v>60.265830360662598</v>
      </c>
      <c r="L117">
        <v>1.0080080532733355E-3</v>
      </c>
      <c r="M117">
        <v>4.0827176798958272E-4</v>
      </c>
      <c r="N117" s="1">
        <v>-4.4076603805894901E-5</v>
      </c>
      <c r="O117" s="1">
        <v>4.7941853281208901E-5</v>
      </c>
      <c r="P117" s="1">
        <v>-5.36945957912241E-5</v>
      </c>
    </row>
    <row r="118" spans="1:16" x14ac:dyDescent="0.2">
      <c r="A118">
        <v>117</v>
      </c>
      <c r="B118">
        <v>769</v>
      </c>
      <c r="C118">
        <v>125</v>
      </c>
      <c r="D118">
        <v>0.46980808904668597</v>
      </c>
      <c r="E118">
        <v>96.382691368516106</v>
      </c>
      <c r="F118">
        <v>1.4169741690752</v>
      </c>
      <c r="G118">
        <v>-1611.4553386299351</v>
      </c>
      <c r="H118">
        <v>-1326.8252552299689</v>
      </c>
      <c r="I118">
        <v>273.12389856187599</v>
      </c>
      <c r="J118">
        <v>141.74774902791501</v>
      </c>
      <c r="K118">
        <v>68.020076492587506</v>
      </c>
      <c r="L118">
        <v>9.4940608844431478E-4</v>
      </c>
      <c r="M118">
        <v>3.8308340873689019E-4</v>
      </c>
      <c r="N118" s="1">
        <v>-4.6693314863693402E-5</v>
      </c>
      <c r="O118" s="1">
        <v>5.0805111582155502E-5</v>
      </c>
      <c r="P118" s="1">
        <v>-5.7120014824122997E-5</v>
      </c>
    </row>
    <row r="119" spans="1:16" x14ac:dyDescent="0.2">
      <c r="A119">
        <v>118</v>
      </c>
      <c r="B119">
        <v>768</v>
      </c>
      <c r="C119">
        <v>125</v>
      </c>
      <c r="D119">
        <v>0.46923161888296799</v>
      </c>
      <c r="E119">
        <v>102.394138337906</v>
      </c>
      <c r="F119">
        <v>1.44261900550461</v>
      </c>
      <c r="G119">
        <v>-1708.8098090307292</v>
      </c>
      <c r="H119">
        <v>-1410.0755625480783</v>
      </c>
      <c r="I119">
        <v>286.93307087306403</v>
      </c>
      <c r="J119">
        <v>149.48652792770301</v>
      </c>
      <c r="K119">
        <v>70.977949096192603</v>
      </c>
      <c r="L119">
        <v>9.3105707984792124E-4</v>
      </c>
      <c r="M119">
        <v>3.7446938704548995E-4</v>
      </c>
      <c r="N119" s="1">
        <v>-4.76350412557531E-5</v>
      </c>
      <c r="O119" s="1">
        <v>5.1864486731578399E-5</v>
      </c>
      <c r="P119" s="1">
        <v>-5.8536177929053202E-5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738D8-30F5-418E-B741-5F003087E064}">
  <sheetPr codeName="Sheet6"/>
  <dimension ref="A1:AN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22</v>
      </c>
      <c r="B2">
        <v>738</v>
      </c>
      <c r="C2">
        <v>275</v>
      </c>
      <c r="D2">
        <v>0.28822677149780002</v>
      </c>
      <c r="E2">
        <v>1.59398306968449E-2</v>
      </c>
      <c r="F2">
        <v>4.6583855808580497</v>
      </c>
      <c r="G2">
        <v>-0.15080351806249032</v>
      </c>
      <c r="H2">
        <v>-0.12254530317891703</v>
      </c>
      <c r="I2">
        <v>2.7946610180065501E-2</v>
      </c>
      <c r="J2">
        <v>1.46081121974087E-2</v>
      </c>
      <c r="K2">
        <v>3.42174996469674E-3</v>
      </c>
      <c r="L2">
        <v>3.1703458826177889E-5</v>
      </c>
      <c r="M2">
        <v>5.530184644550604E-7</v>
      </c>
      <c r="N2" s="1">
        <v>1.6313388798505102E-11</v>
      </c>
      <c r="O2" s="1">
        <v>7.4778231818807193E-15</v>
      </c>
      <c r="P2" s="1">
        <v>2.7754703862471401E-14</v>
      </c>
      <c r="R2">
        <v>47.346792370587202</v>
      </c>
      <c r="S2">
        <v>2.1474792867210302</v>
      </c>
      <c r="T2">
        <v>9.8198979758954508</v>
      </c>
      <c r="V2">
        <v>37.731591925585498</v>
      </c>
      <c r="W2">
        <v>0.54916477003877195</v>
      </c>
      <c r="X2">
        <v>2.405073671172</v>
      </c>
      <c r="AJ2">
        <v>8.8385860431771102E-2</v>
      </c>
      <c r="AK2">
        <v>9.1081493248060003E-2</v>
      </c>
      <c r="AL2">
        <v>0.77786993714242503</v>
      </c>
      <c r="AM2">
        <v>1.1466589690092101E-2</v>
      </c>
      <c r="AN2">
        <v>3.1196119487650699E-2</v>
      </c>
    </row>
    <row r="3" spans="1:40" x14ac:dyDescent="0.2">
      <c r="A3">
        <v>41</v>
      </c>
      <c r="B3">
        <v>741</v>
      </c>
      <c r="C3">
        <v>250</v>
      </c>
      <c r="D3">
        <v>0.31765567223783697</v>
      </c>
      <c r="E3">
        <v>1.71181354625679E-2</v>
      </c>
      <c r="F3">
        <v>4.6563127760581802</v>
      </c>
      <c r="G3">
        <v>-0.16244601054834756</v>
      </c>
      <c r="H3">
        <v>-0.13191966432629706</v>
      </c>
      <c r="I3">
        <v>3.0100425205394101E-2</v>
      </c>
      <c r="J3">
        <v>1.5694517548401302E-2</v>
      </c>
      <c r="K3">
        <v>3.6763285212681501E-3</v>
      </c>
      <c r="L3">
        <v>3.1632762745749934E-5</v>
      </c>
      <c r="M3">
        <v>5.5321285968473435E-7</v>
      </c>
      <c r="N3" s="1">
        <v>1.8098547968814699E-11</v>
      </c>
      <c r="O3" s="1">
        <v>8.0250596647430999E-15</v>
      </c>
      <c r="P3" s="1">
        <v>2.9974250197794E-14</v>
      </c>
      <c r="R3">
        <v>47.341201298875298</v>
      </c>
      <c r="S3">
        <v>2.1345928507008498</v>
      </c>
      <c r="T3">
        <v>9.9379404208561493</v>
      </c>
      <c r="V3">
        <v>37.296029536135002</v>
      </c>
      <c r="W3">
        <v>0.76794457869574295</v>
      </c>
      <c r="X3">
        <v>2.52229131473685</v>
      </c>
      <c r="AJ3">
        <v>9.2619112171477599E-2</v>
      </c>
      <c r="AK3">
        <v>9.2102308194282306E-2</v>
      </c>
      <c r="AL3">
        <v>0.76827272938239899</v>
      </c>
      <c r="AM3">
        <v>1.6021841892084498E-2</v>
      </c>
      <c r="AN3">
        <v>3.0984008359755798E-2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3FB6-4D8E-40D9-8722-1B2EADE53D32}">
  <sheetPr codeName="Sheet7"/>
  <dimension ref="A1:AN20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21</v>
      </c>
      <c r="B2">
        <v>739</v>
      </c>
      <c r="C2">
        <v>275</v>
      </c>
      <c r="D2">
        <v>0.28899916020352701</v>
      </c>
      <c r="E2">
        <v>0.42491057625720102</v>
      </c>
      <c r="F2">
        <v>4.9456774239658303</v>
      </c>
      <c r="G2">
        <v>-2.8212182751047519</v>
      </c>
      <c r="H2">
        <v>-2.0656185831949485</v>
      </c>
      <c r="I2">
        <v>0.74652936018357297</v>
      </c>
      <c r="J2">
        <v>0.37636134380653502</v>
      </c>
      <c r="K2">
        <v>8.5915546007542601E-2</v>
      </c>
      <c r="L2">
        <v>3.6439128533604029E-5</v>
      </c>
      <c r="M2">
        <v>4.2331844899269788E-7</v>
      </c>
      <c r="N2" s="1">
        <v>1.7103572500149699E-9</v>
      </c>
      <c r="O2" s="1">
        <v>2.11625895348326E-13</v>
      </c>
      <c r="P2">
        <v>0</v>
      </c>
      <c r="R2">
        <v>8.4713584557273691</v>
      </c>
      <c r="S2">
        <v>1.7650670046930901</v>
      </c>
      <c r="T2">
        <v>51.0133300171535</v>
      </c>
      <c r="V2">
        <v>37.881512281636397</v>
      </c>
      <c r="X2">
        <v>0.86873224078952505</v>
      </c>
      <c r="AJ2">
        <v>0</v>
      </c>
      <c r="AK2">
        <v>-9.5828156817419092E-3</v>
      </c>
      <c r="AL2">
        <v>0.72145121298225801</v>
      </c>
      <c r="AM2">
        <v>4.8678868749507602E-2</v>
      </c>
      <c r="AN2">
        <v>0.23945273394997499</v>
      </c>
    </row>
    <row r="3" spans="1:40" x14ac:dyDescent="0.2">
      <c r="A3">
        <v>22</v>
      </c>
      <c r="B3">
        <v>738</v>
      </c>
      <c r="C3">
        <v>275</v>
      </c>
      <c r="D3">
        <v>0.28822677149780002</v>
      </c>
      <c r="E3">
        <v>0.52937718087076602</v>
      </c>
      <c r="F3">
        <v>4.9400042146309602</v>
      </c>
      <c r="G3">
        <v>-3.5329533853290509</v>
      </c>
      <c r="H3">
        <v>-2.5916279239845776</v>
      </c>
      <c r="I3">
        <v>0.93094541991244895</v>
      </c>
      <c r="J3">
        <v>0.46901414865305202</v>
      </c>
      <c r="K3">
        <v>0.107161281219739</v>
      </c>
      <c r="L3">
        <v>3.5610176422633439E-5</v>
      </c>
      <c r="M3">
        <v>4.1427112449089891E-7</v>
      </c>
      <c r="N3" s="1">
        <v>2.08449433073267E-9</v>
      </c>
      <c r="O3" s="1">
        <v>2.57606573495306E-13</v>
      </c>
      <c r="P3">
        <v>0</v>
      </c>
      <c r="R3">
        <v>9.1038409052556499</v>
      </c>
      <c r="S3">
        <v>1.7349760554840099</v>
      </c>
      <c r="T3">
        <v>49.8429950111368</v>
      </c>
      <c r="V3">
        <v>38.421610569714701</v>
      </c>
      <c r="X3">
        <v>0.89657745840881797</v>
      </c>
      <c r="AJ3">
        <v>0</v>
      </c>
      <c r="AK3">
        <v>-1.18018274970507E-2</v>
      </c>
      <c r="AL3">
        <v>0.70443494522304995</v>
      </c>
      <c r="AM3">
        <v>5.0206023004065597E-2</v>
      </c>
      <c r="AN3">
        <v>0.25716085926993398</v>
      </c>
    </row>
    <row r="4" spans="1:40" x14ac:dyDescent="0.2">
      <c r="A4">
        <v>40</v>
      </c>
      <c r="B4">
        <v>742</v>
      </c>
      <c r="C4">
        <v>250</v>
      </c>
      <c r="D4">
        <v>0.318396788651924</v>
      </c>
      <c r="E4">
        <v>0.53422871241242598</v>
      </c>
      <c r="F4">
        <v>4.93623199336756</v>
      </c>
      <c r="G4">
        <v>-3.5776835845982142</v>
      </c>
      <c r="H4">
        <v>-2.6215453589374142</v>
      </c>
      <c r="I4">
        <v>0.94186891164931197</v>
      </c>
      <c r="J4">
        <v>0.47355667114426597</v>
      </c>
      <c r="K4">
        <v>0.108226013917139</v>
      </c>
      <c r="L4">
        <v>3.5580665595608782E-5</v>
      </c>
      <c r="M4">
        <v>4.1404234811138633E-7</v>
      </c>
      <c r="N4" s="1">
        <v>2.0971958021059601E-9</v>
      </c>
      <c r="O4" s="1">
        <v>2.5880620594253001E-13</v>
      </c>
      <c r="P4">
        <v>0</v>
      </c>
      <c r="R4">
        <v>9.2566323355671507</v>
      </c>
      <c r="S4">
        <v>1.6974812453517201</v>
      </c>
      <c r="T4">
        <v>49.6203549958732</v>
      </c>
      <c r="V4">
        <v>38.476749909998098</v>
      </c>
      <c r="X4">
        <v>0.94878151320965698</v>
      </c>
      <c r="AJ4">
        <v>0</v>
      </c>
      <c r="AK4">
        <v>-1.5549800152585599E-2</v>
      </c>
      <c r="AL4">
        <v>0.70105039848996498</v>
      </c>
      <c r="AM4">
        <v>5.3111287700464298E-2</v>
      </c>
      <c r="AN4">
        <v>0.261388113962156</v>
      </c>
    </row>
    <row r="5" spans="1:40" x14ac:dyDescent="0.2">
      <c r="A5">
        <v>41</v>
      </c>
      <c r="B5">
        <v>741</v>
      </c>
      <c r="C5">
        <v>250</v>
      </c>
      <c r="D5">
        <v>0.31765567223783697</v>
      </c>
      <c r="E5">
        <v>0.55833802805028399</v>
      </c>
      <c r="F5">
        <v>4.9372284878157497</v>
      </c>
      <c r="G5">
        <v>-3.7356320755180672</v>
      </c>
      <c r="H5">
        <v>-2.7380074662283378</v>
      </c>
      <c r="I5">
        <v>0.98370518097887805</v>
      </c>
      <c r="J5">
        <v>0.49490778433237298</v>
      </c>
      <c r="K5">
        <v>0.113087338256304</v>
      </c>
      <c r="L5">
        <v>3.5706083547362117E-5</v>
      </c>
      <c r="M5">
        <v>4.1564408790233524E-7</v>
      </c>
      <c r="N5" s="1">
        <v>2.2006745637468102E-9</v>
      </c>
      <c r="O5" s="1">
        <v>2.7165404015373502E-13</v>
      </c>
      <c r="P5">
        <v>0</v>
      </c>
      <c r="R5">
        <v>9.1214396763594401</v>
      </c>
      <c r="S5">
        <v>1.73382647578099</v>
      </c>
      <c r="T5">
        <v>49.834644741244396</v>
      </c>
      <c r="V5">
        <v>38.368555680647802</v>
      </c>
      <c r="X5">
        <v>0.94153342596729495</v>
      </c>
      <c r="AJ5">
        <v>0</v>
      </c>
      <c r="AK5">
        <v>-1.43396205440175E-2</v>
      </c>
      <c r="AL5">
        <v>0.70406792939393603</v>
      </c>
      <c r="AM5">
        <v>5.27048015346935E-2</v>
      </c>
      <c r="AN5">
        <v>0.25756688961538698</v>
      </c>
    </row>
    <row r="6" spans="1:40" x14ac:dyDescent="0.2">
      <c r="A6">
        <v>55</v>
      </c>
      <c r="B6">
        <v>746</v>
      </c>
      <c r="C6">
        <v>225</v>
      </c>
      <c r="D6">
        <v>0.34832998086640898</v>
      </c>
      <c r="E6">
        <v>0.53191647197734404</v>
      </c>
      <c r="F6">
        <v>4.9371645521058598</v>
      </c>
      <c r="G6">
        <v>-3.5593283014434336</v>
      </c>
      <c r="H6">
        <v>-2.6022380676133845</v>
      </c>
      <c r="I6">
        <v>0.93910634727964404</v>
      </c>
      <c r="J6">
        <v>0.47166864312601497</v>
      </c>
      <c r="K6">
        <v>0.107737237915326</v>
      </c>
      <c r="L6">
        <v>3.6233803716725683E-5</v>
      </c>
      <c r="M6">
        <v>4.2142311901197584E-7</v>
      </c>
      <c r="N6" s="1">
        <v>2.1210687341821002E-9</v>
      </c>
      <c r="O6" s="1">
        <v>2.6167323266207999E-13</v>
      </c>
      <c r="P6">
        <v>0</v>
      </c>
      <c r="R6">
        <v>8.8563218713337104</v>
      </c>
      <c r="S6">
        <v>1.7138925764320401</v>
      </c>
      <c r="T6">
        <v>50.388132974081898</v>
      </c>
      <c r="V6">
        <v>38.066116247184603</v>
      </c>
      <c r="X6">
        <v>0.97553633096761205</v>
      </c>
      <c r="AJ6">
        <v>0</v>
      </c>
      <c r="AK6">
        <v>-1.6685904813880201E-2</v>
      </c>
      <c r="AL6">
        <v>0.71196428546207702</v>
      </c>
      <c r="AM6">
        <v>5.4614081418164102E-2</v>
      </c>
      <c r="AN6">
        <v>0.25010753793363799</v>
      </c>
    </row>
    <row r="7" spans="1:40" x14ac:dyDescent="0.2">
      <c r="A7">
        <v>56</v>
      </c>
      <c r="B7">
        <v>745</v>
      </c>
      <c r="C7">
        <v>225</v>
      </c>
      <c r="D7">
        <v>0.347621175661739</v>
      </c>
      <c r="E7">
        <v>0.58118726485946404</v>
      </c>
      <c r="F7">
        <v>4.9301867076721404</v>
      </c>
      <c r="G7">
        <v>-3.9132759260139629</v>
      </c>
      <c r="H7">
        <v>-2.8672975048641409</v>
      </c>
      <c r="I7">
        <v>1.0273323391934599</v>
      </c>
      <c r="J7">
        <v>0.51549745586290896</v>
      </c>
      <c r="K7">
        <v>0.117883418888588</v>
      </c>
      <c r="L7">
        <v>3.5248014019546109E-5</v>
      </c>
      <c r="M7">
        <v>4.1066033592453699E-7</v>
      </c>
      <c r="N7" s="1">
        <v>2.25680680922464E-9</v>
      </c>
      <c r="O7" s="1">
        <v>2.7795492545906899E-13</v>
      </c>
      <c r="P7">
        <v>0</v>
      </c>
      <c r="R7">
        <v>9.6171920977121896</v>
      </c>
      <c r="S7">
        <v>1.6748700595986701</v>
      </c>
      <c r="T7">
        <v>48.985854875407099</v>
      </c>
      <c r="V7">
        <v>38.708780391268697</v>
      </c>
      <c r="X7">
        <v>1.01330257601318</v>
      </c>
      <c r="AJ7">
        <v>0</v>
      </c>
      <c r="AK7">
        <v>-1.9647840276430399E-2</v>
      </c>
      <c r="AL7">
        <v>0.69159031921529801</v>
      </c>
      <c r="AM7">
        <v>5.6682448786887898E-2</v>
      </c>
      <c r="AN7">
        <v>0.27137507227424401</v>
      </c>
    </row>
    <row r="8" spans="1:40" x14ac:dyDescent="0.2">
      <c r="A8">
        <v>66</v>
      </c>
      <c r="B8">
        <v>751</v>
      </c>
      <c r="C8">
        <v>200</v>
      </c>
      <c r="D8">
        <v>0.378704779573308</v>
      </c>
      <c r="E8">
        <v>0.427881809695763</v>
      </c>
      <c r="F8">
        <v>4.9474401225779401</v>
      </c>
      <c r="G8">
        <v>-2.8352035907634026</v>
      </c>
      <c r="H8">
        <v>-2.0620565183407087</v>
      </c>
      <c r="I8">
        <v>0.75491585453565702</v>
      </c>
      <c r="J8">
        <v>0.37933016456783403</v>
      </c>
      <c r="K8">
        <v>8.6485495345986901E-2</v>
      </c>
      <c r="L8">
        <v>3.8363526688473757E-5</v>
      </c>
      <c r="M8">
        <v>4.4503188716606576E-7</v>
      </c>
      <c r="N8" s="1">
        <v>1.7997725473684999E-9</v>
      </c>
      <c r="O8" s="1">
        <v>2.2245693789559501E-13</v>
      </c>
      <c r="P8">
        <v>0</v>
      </c>
      <c r="R8">
        <v>7.2972804778937697</v>
      </c>
      <c r="S8">
        <v>1.8262320326427699</v>
      </c>
      <c r="T8">
        <v>53.251830075761703</v>
      </c>
      <c r="V8">
        <v>36.673766112526202</v>
      </c>
      <c r="X8">
        <v>0.95089130117544596</v>
      </c>
      <c r="AJ8">
        <v>0</v>
      </c>
      <c r="AK8">
        <v>-1.28339825786819E-2</v>
      </c>
      <c r="AL8">
        <v>0.75324012465717605</v>
      </c>
      <c r="AM8">
        <v>5.32918782674408E-2</v>
      </c>
      <c r="AN8">
        <v>0.20630197965406399</v>
      </c>
    </row>
    <row r="9" spans="1:40" x14ac:dyDescent="0.2">
      <c r="A9">
        <v>67</v>
      </c>
      <c r="B9">
        <v>750</v>
      </c>
      <c r="C9">
        <v>200</v>
      </c>
      <c r="D9">
        <v>0.37802912573913899</v>
      </c>
      <c r="E9">
        <v>0.55776697720416601</v>
      </c>
      <c r="F9">
        <v>4.9340886804785899</v>
      </c>
      <c r="G9">
        <v>-3.7428032362283683</v>
      </c>
      <c r="H9">
        <v>-2.7328972481278639</v>
      </c>
      <c r="I9">
        <v>0.98705564980746097</v>
      </c>
      <c r="J9">
        <v>0.49486059012425099</v>
      </c>
      <c r="K9">
        <v>0.113043565554655</v>
      </c>
      <c r="L9">
        <v>3.6350737909311382E-5</v>
      </c>
      <c r="M9">
        <v>4.2283867803868152E-7</v>
      </c>
      <c r="N9" s="1">
        <v>2.22634884722478E-9</v>
      </c>
      <c r="O9" s="1">
        <v>2.7432291476151301E-13</v>
      </c>
      <c r="P9">
        <v>0</v>
      </c>
      <c r="R9">
        <v>8.8812385850189894</v>
      </c>
      <c r="S9">
        <v>1.70604733290934</v>
      </c>
      <c r="T9">
        <v>50.375769726875802</v>
      </c>
      <c r="V9">
        <v>38.0123035146147</v>
      </c>
      <c r="X9">
        <v>1.0246408405810801</v>
      </c>
      <c r="AJ9">
        <v>0</v>
      </c>
      <c r="AK9">
        <v>-1.96016027273021E-2</v>
      </c>
      <c r="AL9">
        <v>0.71153674578563897</v>
      </c>
      <c r="AM9">
        <v>5.7342753603982298E-2</v>
      </c>
      <c r="AN9">
        <v>0.25072210333767903</v>
      </c>
    </row>
    <row r="10" spans="1:40" x14ac:dyDescent="0.2">
      <c r="A10">
        <v>68</v>
      </c>
      <c r="B10">
        <v>749</v>
      </c>
      <c r="C10">
        <v>200</v>
      </c>
      <c r="D10">
        <v>0.37735214988015597</v>
      </c>
      <c r="E10">
        <v>0.59372370887972103</v>
      </c>
      <c r="F10">
        <v>4.9283118890452302</v>
      </c>
      <c r="G10">
        <v>-4.004655075580799</v>
      </c>
      <c r="H10">
        <v>-2.9296993671241243</v>
      </c>
      <c r="I10">
        <v>1.05166140826363</v>
      </c>
      <c r="J10">
        <v>0.52688194121655296</v>
      </c>
      <c r="K10">
        <v>0.120472024142681</v>
      </c>
      <c r="L10">
        <v>3.5532165256497314E-5</v>
      </c>
      <c r="M10">
        <v>4.1395076233703625E-7</v>
      </c>
      <c r="N10" s="1">
        <v>2.3186451804717102E-9</v>
      </c>
      <c r="O10" s="1">
        <v>2.8528928033599398E-13</v>
      </c>
      <c r="P10">
        <v>0</v>
      </c>
      <c r="R10">
        <v>9.5077373829967193</v>
      </c>
      <c r="S10">
        <v>1.67805275542809</v>
      </c>
      <c r="T10">
        <v>49.216810786405297</v>
      </c>
      <c r="V10">
        <v>38.540666976895999</v>
      </c>
      <c r="X10">
        <v>1.05673209827377</v>
      </c>
      <c r="AJ10">
        <v>0</v>
      </c>
      <c r="AK10">
        <v>-2.2001504353916498E-2</v>
      </c>
      <c r="AL10">
        <v>0.69468254022217402</v>
      </c>
      <c r="AM10">
        <v>5.9097493068265602E-2</v>
      </c>
      <c r="AN10">
        <v>0.26822147106347599</v>
      </c>
    </row>
    <row r="11" spans="1:40" x14ac:dyDescent="0.2">
      <c r="A11">
        <v>78</v>
      </c>
      <c r="B11">
        <v>756</v>
      </c>
      <c r="C11">
        <v>175</v>
      </c>
      <c r="D11">
        <v>0.40878443375601398</v>
      </c>
      <c r="E11">
        <v>0.43558534965859602</v>
      </c>
      <c r="F11">
        <v>4.9466494219522001</v>
      </c>
      <c r="G11">
        <v>-2.887815747011794</v>
      </c>
      <c r="H11">
        <v>-2.0952360522920985</v>
      </c>
      <c r="I11">
        <v>0.77013039374211201</v>
      </c>
      <c r="J11">
        <v>0.38632468761155297</v>
      </c>
      <c r="K11">
        <v>8.8056644508818102E-2</v>
      </c>
      <c r="L11">
        <v>3.8903492434049419E-5</v>
      </c>
      <c r="M11">
        <v>4.5091167310907237E-7</v>
      </c>
      <c r="N11" s="1">
        <v>1.85262708410901E-9</v>
      </c>
      <c r="O11" s="1">
        <v>2.2885516126662502E-13</v>
      </c>
      <c r="P11">
        <v>0</v>
      </c>
      <c r="R11">
        <v>7.00441034869226</v>
      </c>
      <c r="S11">
        <v>1.84451617402691</v>
      </c>
      <c r="T11">
        <v>53.814567405237902</v>
      </c>
      <c r="V11">
        <v>36.350467732372401</v>
      </c>
      <c r="X11">
        <v>0.98603833967041998</v>
      </c>
      <c r="AJ11">
        <v>0</v>
      </c>
      <c r="AK11">
        <v>-1.4397479493175099E-2</v>
      </c>
      <c r="AL11">
        <v>0.76113515655389696</v>
      </c>
      <c r="AM11">
        <v>5.5256958218302399E-2</v>
      </c>
      <c r="AN11">
        <v>0.19800536472097399</v>
      </c>
    </row>
    <row r="12" spans="1:40" x14ac:dyDescent="0.2">
      <c r="A12">
        <v>79</v>
      </c>
      <c r="B12">
        <v>755</v>
      </c>
      <c r="C12">
        <v>175</v>
      </c>
      <c r="D12">
        <v>0.40814132179156798</v>
      </c>
      <c r="E12">
        <v>0.55960286828660399</v>
      </c>
      <c r="F12">
        <v>4.93377270927766</v>
      </c>
      <c r="G12">
        <v>-3.7562672670770509</v>
      </c>
      <c r="H12">
        <v>-2.7359640914886496</v>
      </c>
      <c r="I12">
        <v>0.99236801593969803</v>
      </c>
      <c r="J12">
        <v>0.49671998260577299</v>
      </c>
      <c r="K12">
        <v>0.113422912092059</v>
      </c>
      <c r="L12">
        <v>3.6921606775549105E-5</v>
      </c>
      <c r="M12">
        <v>4.2909615749245345E-7</v>
      </c>
      <c r="N12" s="1">
        <v>2.2620876203604499E-9</v>
      </c>
      <c r="O12" s="1">
        <v>2.7857456923249702E-13</v>
      </c>
      <c r="P12">
        <v>0</v>
      </c>
      <c r="R12">
        <v>8.56313990187566</v>
      </c>
      <c r="S12">
        <v>1.7227892186108</v>
      </c>
      <c r="T12">
        <v>50.988700349145198</v>
      </c>
      <c r="V12">
        <v>37.666162688782002</v>
      </c>
      <c r="X12">
        <v>1.0592078415861399</v>
      </c>
      <c r="AJ12">
        <v>0</v>
      </c>
      <c r="AK12">
        <v>-2.1164729678264299E-2</v>
      </c>
      <c r="AL12">
        <v>0.72015981413521701</v>
      </c>
      <c r="AM12">
        <v>5.9274428052939199E-2</v>
      </c>
      <c r="AN12">
        <v>0.241730487490107</v>
      </c>
    </row>
    <row r="13" spans="1:40" x14ac:dyDescent="0.2">
      <c r="A13">
        <v>80</v>
      </c>
      <c r="B13">
        <v>754</v>
      </c>
      <c r="C13">
        <v>175</v>
      </c>
      <c r="D13">
        <v>0.40749695760112897</v>
      </c>
      <c r="E13">
        <v>0.597389783595902</v>
      </c>
      <c r="F13">
        <v>4.9275905372223701</v>
      </c>
      <c r="G13">
        <v>-4.0323915895626037</v>
      </c>
      <c r="H13">
        <v>-2.9431003727663136</v>
      </c>
      <c r="I13">
        <v>1.0604986776968199</v>
      </c>
      <c r="J13">
        <v>0.53040696925432695</v>
      </c>
      <c r="K13">
        <v>0.121233649403962</v>
      </c>
      <c r="L13">
        <v>3.6032808317569776E-5</v>
      </c>
      <c r="M13">
        <v>4.1944556103426619E-7</v>
      </c>
      <c r="N13" s="1">
        <v>2.35890196169528E-9</v>
      </c>
      <c r="O13" s="1">
        <v>2.9004536637875502E-13</v>
      </c>
      <c r="P13">
        <v>0</v>
      </c>
      <c r="R13">
        <v>9.2457272855000294</v>
      </c>
      <c r="S13">
        <v>1.68889059669699</v>
      </c>
      <c r="T13">
        <v>49.730239091762101</v>
      </c>
      <c r="V13">
        <v>38.240487128750701</v>
      </c>
      <c r="X13">
        <v>1.09465589729006</v>
      </c>
      <c r="AJ13">
        <v>0</v>
      </c>
      <c r="AK13">
        <v>-2.3880528578343701E-2</v>
      </c>
      <c r="AL13">
        <v>0.70186279592573697</v>
      </c>
      <c r="AM13">
        <v>6.1212559567810597E-2</v>
      </c>
      <c r="AN13">
        <v>0.260805173084796</v>
      </c>
    </row>
    <row r="14" spans="1:40" x14ac:dyDescent="0.2">
      <c r="A14">
        <v>95</v>
      </c>
      <c r="B14">
        <v>762</v>
      </c>
      <c r="C14">
        <v>150</v>
      </c>
      <c r="D14">
        <v>0.439183210162781</v>
      </c>
      <c r="E14">
        <v>0.46183395449681902</v>
      </c>
      <c r="F14">
        <v>4.9437753699406999</v>
      </c>
      <c r="G14">
        <v>-3.0698686005278817</v>
      </c>
      <c r="H14">
        <v>-2.2220191609374993</v>
      </c>
      <c r="I14">
        <v>0.81905949822767998</v>
      </c>
      <c r="J14">
        <v>0.40987043212101998</v>
      </c>
      <c r="K14">
        <v>9.3417261088534806E-2</v>
      </c>
      <c r="L14">
        <v>3.9202351056598405E-5</v>
      </c>
      <c r="M14">
        <v>4.5388628309787943E-7</v>
      </c>
      <c r="N14" s="1">
        <v>1.9729730951310799E-9</v>
      </c>
      <c r="O14" s="1">
        <v>2.43469914488168E-13</v>
      </c>
      <c r="P14">
        <v>0</v>
      </c>
      <c r="R14">
        <v>6.9198049420274197</v>
      </c>
      <c r="S14">
        <v>1.8498452812963999</v>
      </c>
      <c r="T14">
        <v>53.997275844306799</v>
      </c>
      <c r="V14">
        <v>36.199461182928196</v>
      </c>
      <c r="X14">
        <v>1.0336127494410201</v>
      </c>
      <c r="AJ14">
        <v>0</v>
      </c>
      <c r="AK14">
        <v>-1.6940208810820399E-2</v>
      </c>
      <c r="AL14">
        <v>0.76348223603074505</v>
      </c>
      <c r="AM14">
        <v>5.7905016246043502E-2</v>
      </c>
      <c r="AN14">
        <v>0.19555295653402999</v>
      </c>
    </row>
    <row r="15" spans="1:40" x14ac:dyDescent="0.2">
      <c r="A15">
        <v>96</v>
      </c>
      <c r="B15">
        <v>761</v>
      </c>
      <c r="C15">
        <v>150</v>
      </c>
      <c r="D15">
        <v>0.43857322438717999</v>
      </c>
      <c r="E15">
        <v>0.56523197878449505</v>
      </c>
      <c r="F15">
        <v>4.93237118696437</v>
      </c>
      <c r="G15">
        <v>-3.7990328071511481</v>
      </c>
      <c r="H15">
        <v>-2.7596088603980644</v>
      </c>
      <c r="I15">
        <v>1.0050997889600899</v>
      </c>
      <c r="J15">
        <v>0.50201043269698997</v>
      </c>
      <c r="K15">
        <v>0.114596399451511</v>
      </c>
      <c r="L15">
        <v>3.7423958497319862E-5</v>
      </c>
      <c r="M15">
        <v>4.3438093001010128E-7</v>
      </c>
      <c r="N15" s="1">
        <v>2.3081254604978399E-9</v>
      </c>
      <c r="O15" s="1">
        <v>2.8402581674004099E-13</v>
      </c>
      <c r="P15">
        <v>0</v>
      </c>
      <c r="R15">
        <v>8.3149273750538395</v>
      </c>
      <c r="S15">
        <v>1.74098417095335</v>
      </c>
      <c r="T15">
        <v>51.4687355904531</v>
      </c>
      <c r="V15">
        <v>37.374725066684398</v>
      </c>
      <c r="X15">
        <v>1.1006277968551399</v>
      </c>
      <c r="AJ15">
        <v>0</v>
      </c>
      <c r="AK15">
        <v>-2.3076093621068699E-2</v>
      </c>
      <c r="AL15">
        <v>0.72681214180502096</v>
      </c>
      <c r="AM15">
        <v>6.1581518707681797E-2</v>
      </c>
      <c r="AN15">
        <v>0.23468243310836501</v>
      </c>
    </row>
    <row r="16" spans="1:40" x14ac:dyDescent="0.2">
      <c r="A16">
        <v>97</v>
      </c>
      <c r="B16">
        <v>760</v>
      </c>
      <c r="C16">
        <v>150</v>
      </c>
      <c r="D16">
        <v>0.43796205778444602</v>
      </c>
      <c r="E16">
        <v>0.60190290409534597</v>
      </c>
      <c r="F16">
        <v>4.9262021611989804</v>
      </c>
      <c r="G16">
        <v>-4.0684215489751931</v>
      </c>
      <c r="H16">
        <v>-2.9614299585837922</v>
      </c>
      <c r="I16">
        <v>1.0714722841711199</v>
      </c>
      <c r="J16">
        <v>0.53474060255645095</v>
      </c>
      <c r="K16">
        <v>0.122183963304674</v>
      </c>
      <c r="L16">
        <v>3.6524076213341571E-5</v>
      </c>
      <c r="M16">
        <v>4.2463185925291761E-7</v>
      </c>
      <c r="N16" s="1">
        <v>2.4009560372532699E-9</v>
      </c>
      <c r="O16" s="1">
        <v>2.9497803444450998E-13</v>
      </c>
      <c r="P16">
        <v>0</v>
      </c>
      <c r="R16">
        <v>9.0061575801999698</v>
      </c>
      <c r="S16">
        <v>1.70491326509902</v>
      </c>
      <c r="T16">
        <v>50.196755282528002</v>
      </c>
      <c r="V16">
        <v>37.954970925108597</v>
      </c>
      <c r="X16">
        <v>1.1372029470643199</v>
      </c>
      <c r="AJ16">
        <v>0</v>
      </c>
      <c r="AK16">
        <v>-2.59008892653378E-2</v>
      </c>
      <c r="AL16">
        <v>0.70831909107639401</v>
      </c>
      <c r="AM16">
        <v>6.3580292602443605E-2</v>
      </c>
      <c r="AN16">
        <v>0.25400150558649898</v>
      </c>
    </row>
    <row r="17" spans="1:40" x14ac:dyDescent="0.2">
      <c r="A17">
        <v>115</v>
      </c>
      <c r="B17">
        <v>771</v>
      </c>
      <c r="C17">
        <v>125</v>
      </c>
      <c r="D17">
        <v>0.47095771680314102</v>
      </c>
      <c r="E17">
        <v>0.19582323881765801</v>
      </c>
      <c r="F17">
        <v>4.9565770878119801</v>
      </c>
      <c r="G17">
        <v>-1.2858325966288553</v>
      </c>
      <c r="H17">
        <v>-0.92324458619701044</v>
      </c>
      <c r="I17">
        <v>0.347256630208155</v>
      </c>
      <c r="J17">
        <v>0.17364794974969</v>
      </c>
      <c r="K17">
        <v>3.95077561285547E-2</v>
      </c>
      <c r="L17">
        <v>4.1610012150671104E-5</v>
      </c>
      <c r="M17">
        <v>4.7871104742171718E-7</v>
      </c>
      <c r="N17" s="1">
        <v>8.8342693135843797E-10</v>
      </c>
      <c r="O17" s="1">
        <v>1.09476559399069E-13</v>
      </c>
      <c r="P17">
        <v>0</v>
      </c>
      <c r="R17">
        <v>5.0856222734230201</v>
      </c>
      <c r="S17">
        <v>2.0249356520896802</v>
      </c>
      <c r="T17">
        <v>57.262369803622498</v>
      </c>
      <c r="V17">
        <v>34.721618571771003</v>
      </c>
      <c r="X17">
        <v>0.90545369909369799</v>
      </c>
      <c r="AJ17">
        <v>0</v>
      </c>
      <c r="AK17">
        <v>-5.8936642762208204E-3</v>
      </c>
      <c r="AL17">
        <v>0.81110046814171399</v>
      </c>
      <c r="AM17">
        <v>5.0816274888063701E-2</v>
      </c>
      <c r="AN17">
        <v>0.14397692124644201</v>
      </c>
    </row>
    <row r="18" spans="1:40" x14ac:dyDescent="0.2">
      <c r="A18">
        <v>116</v>
      </c>
      <c r="B18">
        <v>770</v>
      </c>
      <c r="C18">
        <v>125</v>
      </c>
      <c r="D18">
        <v>0.47038345396155901</v>
      </c>
      <c r="E18">
        <v>0.44193322359068499</v>
      </c>
      <c r="F18">
        <v>4.9436254946871303</v>
      </c>
      <c r="G18">
        <v>-2.9369667702971611</v>
      </c>
      <c r="H18">
        <v>-2.1168961242513507</v>
      </c>
      <c r="I18">
        <v>0.78614834496075403</v>
      </c>
      <c r="J18">
        <v>0.39241623605111797</v>
      </c>
      <c r="K18">
        <v>8.9394559532396903E-2</v>
      </c>
      <c r="L18">
        <v>4.0113268508181388E-5</v>
      </c>
      <c r="M18">
        <v>4.6320016617076029E-7</v>
      </c>
      <c r="N18" s="1">
        <v>1.92327674301366E-9</v>
      </c>
      <c r="O18" s="1">
        <v>2.3726632966996998E-13</v>
      </c>
      <c r="P18">
        <v>0</v>
      </c>
      <c r="R18">
        <v>6.3797667036242904</v>
      </c>
      <c r="S18">
        <v>1.90587113526332</v>
      </c>
      <c r="T18">
        <v>54.991031562162703</v>
      </c>
      <c r="V18">
        <v>35.657652580811899</v>
      </c>
      <c r="X18">
        <v>1.0656780181376799</v>
      </c>
      <c r="AJ18">
        <v>0</v>
      </c>
      <c r="AK18">
        <v>-1.7495346827004401E-2</v>
      </c>
      <c r="AL18">
        <v>0.77750969834324202</v>
      </c>
      <c r="AM18">
        <v>5.9699569538242202E-2</v>
      </c>
      <c r="AN18">
        <v>0.18028607894552001</v>
      </c>
    </row>
    <row r="19" spans="1:40" x14ac:dyDescent="0.2">
      <c r="A19">
        <v>117</v>
      </c>
      <c r="B19">
        <v>769</v>
      </c>
      <c r="C19">
        <v>125</v>
      </c>
      <c r="D19">
        <v>0.46980808904668597</v>
      </c>
      <c r="E19">
        <v>0.55366009843310504</v>
      </c>
      <c r="F19">
        <v>4.9326284234935098</v>
      </c>
      <c r="G19">
        <v>-3.7203433896983751</v>
      </c>
      <c r="H19">
        <v>-2.6911427110877142</v>
      </c>
      <c r="I19">
        <v>0.98757441693677495</v>
      </c>
      <c r="J19">
        <v>0.49202391898807302</v>
      </c>
      <c r="K19">
        <v>0.112244436616407</v>
      </c>
      <c r="L19">
        <v>3.8321089598920596E-5</v>
      </c>
      <c r="M19">
        <v>4.43599134012375E-7</v>
      </c>
      <c r="N19" s="1">
        <v>2.3046931498106E-9</v>
      </c>
      <c r="O19" s="1">
        <v>2.8352919983228898E-13</v>
      </c>
      <c r="P19">
        <v>0</v>
      </c>
      <c r="R19">
        <v>7.7857406759952603</v>
      </c>
      <c r="S19">
        <v>1.78756944984822</v>
      </c>
      <c r="T19">
        <v>52.452594299584398</v>
      </c>
      <c r="V19">
        <v>36.841498623909601</v>
      </c>
      <c r="X19">
        <v>1.1325969506623701</v>
      </c>
      <c r="AJ19">
        <v>0</v>
      </c>
      <c r="AK19">
        <v>-2.3834767167236402E-2</v>
      </c>
      <c r="AL19">
        <v>0.74071457200382995</v>
      </c>
      <c r="AM19">
        <v>6.3370998053484007E-2</v>
      </c>
      <c r="AN19">
        <v>0.219749197109921</v>
      </c>
    </row>
    <row r="20" spans="1:40" x14ac:dyDescent="0.2">
      <c r="A20">
        <v>118</v>
      </c>
      <c r="B20">
        <v>768</v>
      </c>
      <c r="C20">
        <v>125</v>
      </c>
      <c r="D20">
        <v>0.46923161888296799</v>
      </c>
      <c r="E20">
        <v>0.59809080988121999</v>
      </c>
      <c r="F20">
        <v>4.9256477627245703</v>
      </c>
      <c r="G20">
        <v>-4.0453477573750112</v>
      </c>
      <c r="H20">
        <v>-2.9331082181816597</v>
      </c>
      <c r="I20">
        <v>1.0682798244185201</v>
      </c>
      <c r="J20">
        <v>0.53171810830952404</v>
      </c>
      <c r="K20">
        <v>0.121423788036031</v>
      </c>
      <c r="L20">
        <v>3.7271075039738918E-5</v>
      </c>
      <c r="M20">
        <v>4.3222521322137471E-7</v>
      </c>
      <c r="N20" s="1">
        <v>2.4237019155812E-9</v>
      </c>
      <c r="O20" s="1">
        <v>2.9761983590450901E-13</v>
      </c>
      <c r="P20">
        <v>0</v>
      </c>
      <c r="R20">
        <v>8.5968243713864503</v>
      </c>
      <c r="S20">
        <v>1.73755338962692</v>
      </c>
      <c r="T20">
        <v>50.969121745924497</v>
      </c>
      <c r="V20">
        <v>37.520956113787499</v>
      </c>
      <c r="X20">
        <v>1.17554437927446</v>
      </c>
      <c r="AJ20">
        <v>0</v>
      </c>
      <c r="AK20">
        <v>-2.7321105025236998E-2</v>
      </c>
      <c r="AL20">
        <v>0.71916343676282002</v>
      </c>
      <c r="AM20">
        <v>6.5718966013441293E-2</v>
      </c>
      <c r="AN20">
        <v>0.24243870224897399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9AE6A-F8A7-4960-BF3C-5740DA8F27A8}">
  <sheetPr codeName="Sheet8"/>
  <dimension ref="A1:AP1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21</v>
      </c>
      <c r="B2">
        <v>739</v>
      </c>
      <c r="C2">
        <v>275</v>
      </c>
      <c r="D2">
        <v>0.28899916020352701</v>
      </c>
      <c r="E2">
        <v>0.33618502435208902</v>
      </c>
      <c r="F2">
        <v>3.5811388119252898</v>
      </c>
      <c r="G2">
        <v>-4.2851124408653858</v>
      </c>
      <c r="H2">
        <v>-3.6405006968631262</v>
      </c>
      <c r="I2">
        <v>0.636873728204574</v>
      </c>
      <c r="J2">
        <v>0.37513987503775997</v>
      </c>
      <c r="K2">
        <v>9.3876568881547606E-2</v>
      </c>
      <c r="L2">
        <v>4.4354358678607563E-5</v>
      </c>
      <c r="M2">
        <v>9.1507548514129372E-7</v>
      </c>
      <c r="N2" s="1">
        <v>4.5863080119704201E-10</v>
      </c>
      <c r="O2" s="1">
        <v>9.0253784378252399E-14</v>
      </c>
      <c r="P2" s="1">
        <v>1.29768420900833E-13</v>
      </c>
      <c r="Q2">
        <v>49.942351673693203</v>
      </c>
      <c r="R2">
        <v>1.3492610549899701E-2</v>
      </c>
      <c r="S2">
        <v>1.8251593321284101</v>
      </c>
      <c r="T2">
        <v>0.525350572786355</v>
      </c>
      <c r="V2">
        <v>32.146201032794202</v>
      </c>
      <c r="X2">
        <v>15.179291964227501</v>
      </c>
      <c r="AA2">
        <v>0.35181821128672902</v>
      </c>
      <c r="AB2">
        <v>1.6334602533520998E-2</v>
      </c>
      <c r="AJ2">
        <v>-1.0847152525439601</v>
      </c>
      <c r="AK2">
        <v>0.98404159937941205</v>
      </c>
      <c r="AL2">
        <v>1.04993401066132</v>
      </c>
      <c r="AM2">
        <v>3.40632636667259E-2</v>
      </c>
      <c r="AN2">
        <v>-3.3270720211937901E-2</v>
      </c>
      <c r="AO2">
        <v>4.8710207043712601E-2</v>
      </c>
      <c r="AP2">
        <v>1.2368920047262299E-3</v>
      </c>
    </row>
    <row r="3" spans="1:42" x14ac:dyDescent="0.2">
      <c r="A3">
        <v>22</v>
      </c>
      <c r="B3">
        <v>738</v>
      </c>
      <c r="C3">
        <v>275</v>
      </c>
      <c r="D3">
        <v>0.28822677149780002</v>
      </c>
      <c r="E3">
        <v>0.46291878378103701</v>
      </c>
      <c r="F3">
        <v>3.5774368076523899</v>
      </c>
      <c r="G3">
        <v>-5.9149634968513007</v>
      </c>
      <c r="H3">
        <v>-5.0282383782780586</v>
      </c>
      <c r="I3">
        <v>0.87694715776416998</v>
      </c>
      <c r="J3">
        <v>0.517311421830837</v>
      </c>
      <c r="K3">
        <v>0.12939956976761099</v>
      </c>
      <c r="L3">
        <v>4.4360882673132043E-5</v>
      </c>
      <c r="M3">
        <v>9.1408234513466953E-7</v>
      </c>
      <c r="N3" s="1">
        <v>6.1960099265271102E-10</v>
      </c>
      <c r="O3" s="1">
        <v>1.2574560696948099E-13</v>
      </c>
      <c r="P3" s="1">
        <v>1.1607329134310201E-13</v>
      </c>
      <c r="Q3">
        <v>50.007123076910702</v>
      </c>
      <c r="R3">
        <v>1.5072477490740799E-2</v>
      </c>
      <c r="S3">
        <v>1.84778000611254</v>
      </c>
      <c r="T3">
        <v>0.51288261660095802</v>
      </c>
      <c r="V3">
        <v>31.878265290588001</v>
      </c>
      <c r="X3">
        <v>15.381818852166001</v>
      </c>
      <c r="AA3">
        <v>0.34072346077962801</v>
      </c>
      <c r="AB3">
        <v>1.6334219351301499E-2</v>
      </c>
      <c r="AJ3">
        <v>-1.0752458639721301</v>
      </c>
      <c r="AK3">
        <v>0.98452841587437701</v>
      </c>
      <c r="AL3">
        <v>1.03966839043598</v>
      </c>
      <c r="AM3">
        <v>3.4762852185180999E-2</v>
      </c>
      <c r="AN3">
        <v>-3.3878796636303402E-2</v>
      </c>
      <c r="AO3">
        <v>4.8929938274533402E-2</v>
      </c>
      <c r="AP3">
        <v>1.2350638383674601E-3</v>
      </c>
    </row>
    <row r="4" spans="1:42" x14ac:dyDescent="0.2">
      <c r="A4">
        <v>40</v>
      </c>
      <c r="B4">
        <v>742</v>
      </c>
      <c r="C4">
        <v>250</v>
      </c>
      <c r="D4">
        <v>0.318396788651924</v>
      </c>
      <c r="E4">
        <v>0.41339777332036198</v>
      </c>
      <c r="F4">
        <v>3.5663623544562801</v>
      </c>
      <c r="G4">
        <v>-5.316856744727839</v>
      </c>
      <c r="H4">
        <v>-4.5188511232397852</v>
      </c>
      <c r="I4">
        <v>0.78609626310205805</v>
      </c>
      <c r="J4">
        <v>0.46347277105519002</v>
      </c>
      <c r="K4">
        <v>0.115915807826932</v>
      </c>
      <c r="L4">
        <v>4.4365184707150826E-5</v>
      </c>
      <c r="M4">
        <v>9.1208064679165839E-7</v>
      </c>
      <c r="N4" s="1">
        <v>5.1280472458303499E-10</v>
      </c>
      <c r="O4" s="1">
        <v>1.13523027259941E-13</v>
      </c>
      <c r="P4" s="1">
        <v>4.2912146434904198E-13</v>
      </c>
      <c r="Q4">
        <v>50.241120319463597</v>
      </c>
      <c r="R4">
        <v>1.51576965664636E-2</v>
      </c>
      <c r="S4">
        <v>1.7274654504087099</v>
      </c>
      <c r="T4">
        <v>0.49330789706278599</v>
      </c>
      <c r="V4">
        <v>31.2896655570379</v>
      </c>
      <c r="X4">
        <v>15.851975657270801</v>
      </c>
      <c r="AA4">
        <v>0.36517754172322398</v>
      </c>
      <c r="AB4">
        <v>1.6129880466417199E-2</v>
      </c>
      <c r="AJ4">
        <v>-1.0487955433293501</v>
      </c>
      <c r="AK4">
        <v>0.98357206608757897</v>
      </c>
      <c r="AL4">
        <v>1.0173773583341501</v>
      </c>
      <c r="AM4">
        <v>3.2197406561387497E-2</v>
      </c>
      <c r="AN4">
        <v>-3.1311048688068499E-2</v>
      </c>
      <c r="AO4">
        <v>4.5743846193823302E-2</v>
      </c>
      <c r="AP4">
        <v>1.2159148404727899E-3</v>
      </c>
    </row>
    <row r="5" spans="1:42" x14ac:dyDescent="0.2">
      <c r="A5">
        <v>41</v>
      </c>
      <c r="B5">
        <v>741</v>
      </c>
      <c r="C5">
        <v>250</v>
      </c>
      <c r="D5">
        <v>0.31765567223783697</v>
      </c>
      <c r="E5">
        <v>0.46814962406322602</v>
      </c>
      <c r="F5">
        <v>3.5682318024069</v>
      </c>
      <c r="G5">
        <v>-6.0155681015342282</v>
      </c>
      <c r="H5">
        <v>-5.1134606734292793</v>
      </c>
      <c r="I5">
        <v>0.889520710057632</v>
      </c>
      <c r="J5">
        <v>0.52466087215205803</v>
      </c>
      <c r="K5">
        <v>0.131199330645347</v>
      </c>
      <c r="L5">
        <v>4.4365406919275883E-5</v>
      </c>
      <c r="M5">
        <v>9.122938451916439E-7</v>
      </c>
      <c r="N5" s="1">
        <v>5.8991306863371601E-10</v>
      </c>
      <c r="O5" s="1">
        <v>1.28802801107135E-13</v>
      </c>
      <c r="P5" s="1">
        <v>3.4189753342697299E-13</v>
      </c>
      <c r="Q5">
        <v>50.184178456932401</v>
      </c>
      <c r="R5">
        <v>1.51787548342834E-2</v>
      </c>
      <c r="S5">
        <v>1.7819950933590201</v>
      </c>
      <c r="T5">
        <v>0.50090865019230801</v>
      </c>
      <c r="V5">
        <v>31.374628654603999</v>
      </c>
      <c r="X5">
        <v>15.7785898393042</v>
      </c>
      <c r="AA5">
        <v>0.34860202152466102</v>
      </c>
      <c r="AB5">
        <v>1.5918529248937201E-2</v>
      </c>
      <c r="AJ5">
        <v>-1.0540629217564399</v>
      </c>
      <c r="AK5">
        <v>0.98427183313297195</v>
      </c>
      <c r="AL5">
        <v>1.02057099355953</v>
      </c>
      <c r="AM5">
        <v>3.33582385047538E-2</v>
      </c>
      <c r="AN5">
        <v>-3.2470274167867803E-2</v>
      </c>
      <c r="AO5">
        <v>4.7131641051624498E-2</v>
      </c>
      <c r="AP5">
        <v>1.2004896754266501E-3</v>
      </c>
    </row>
    <row r="6" spans="1:42" x14ac:dyDescent="0.2">
      <c r="A6">
        <v>55</v>
      </c>
      <c r="B6">
        <v>746</v>
      </c>
      <c r="C6">
        <v>225</v>
      </c>
      <c r="D6">
        <v>0.34832998086640898</v>
      </c>
      <c r="E6">
        <v>0.38564772918074702</v>
      </c>
      <c r="F6">
        <v>3.5595953238050102</v>
      </c>
      <c r="G6">
        <v>-4.9800742741603541</v>
      </c>
      <c r="H6">
        <v>-4.2303157980538399</v>
      </c>
      <c r="I6">
        <v>0.73567038817300101</v>
      </c>
      <c r="J6">
        <v>0.43318952017364298</v>
      </c>
      <c r="K6">
        <v>0.108340329194643</v>
      </c>
      <c r="L6">
        <v>4.4354526119706919E-5</v>
      </c>
      <c r="M6">
        <v>9.1086195472281576E-7</v>
      </c>
      <c r="N6" s="1">
        <v>4.6033512152052398E-10</v>
      </c>
      <c r="O6" s="1">
        <v>1.06287612042419E-13</v>
      </c>
      <c r="P6" s="1">
        <v>6.1716014218092304E-13</v>
      </c>
      <c r="Q6">
        <v>50.373185803744803</v>
      </c>
      <c r="R6">
        <v>1.4205598862221201E-2</v>
      </c>
      <c r="S6">
        <v>1.6500043047476101</v>
      </c>
      <c r="T6">
        <v>0.49020593377108501</v>
      </c>
      <c r="V6">
        <v>30.962830917983101</v>
      </c>
      <c r="X6">
        <v>16.1136096534544</v>
      </c>
      <c r="AA6">
        <v>0.38020326696088402</v>
      </c>
      <c r="AB6">
        <v>1.5754520475770702E-2</v>
      </c>
      <c r="AJ6">
        <v>-1.0340022909119699</v>
      </c>
      <c r="AK6">
        <v>0.98300249601235401</v>
      </c>
      <c r="AL6">
        <v>1.00509154767631</v>
      </c>
      <c r="AM6">
        <v>3.04041738319826E-2</v>
      </c>
      <c r="AN6">
        <v>-2.95748593347211E-2</v>
      </c>
      <c r="AO6">
        <v>4.3893270424082503E-2</v>
      </c>
      <c r="AP6">
        <v>1.1856623019602199E-3</v>
      </c>
    </row>
    <row r="7" spans="1:42" x14ac:dyDescent="0.2">
      <c r="A7">
        <v>56</v>
      </c>
      <c r="B7">
        <v>745</v>
      </c>
      <c r="C7">
        <v>225</v>
      </c>
      <c r="D7">
        <v>0.347621175661739</v>
      </c>
      <c r="E7">
        <v>0.43635416387131398</v>
      </c>
      <c r="F7">
        <v>3.5549273591228201</v>
      </c>
      <c r="G7">
        <v>-5.6515631372319657</v>
      </c>
      <c r="H7">
        <v>-4.803949606390379</v>
      </c>
      <c r="I7">
        <v>0.83250359067090995</v>
      </c>
      <c r="J7">
        <v>0.490914538080375</v>
      </c>
      <c r="K7">
        <v>0.122746295434566</v>
      </c>
      <c r="L7">
        <v>4.4333242926146339E-5</v>
      </c>
      <c r="M7">
        <v>9.0959042546686226E-7</v>
      </c>
      <c r="N7" s="1">
        <v>5.1466313953467998E-10</v>
      </c>
      <c r="O7" s="1">
        <v>1.21778342920852E-13</v>
      </c>
      <c r="P7" s="1">
        <v>6.5701261690095804E-13</v>
      </c>
      <c r="Q7">
        <v>50.461222040273903</v>
      </c>
      <c r="R7">
        <v>1.6086825658467099E-2</v>
      </c>
      <c r="S7">
        <v>1.66055543507033</v>
      </c>
      <c r="T7">
        <v>0.47522176082144602</v>
      </c>
      <c r="V7">
        <v>30.6347879515165</v>
      </c>
      <c r="X7">
        <v>16.361141461050199</v>
      </c>
      <c r="AA7">
        <v>0.37519201096679899</v>
      </c>
      <c r="AB7">
        <v>1.5792514642166501E-2</v>
      </c>
      <c r="AJ7">
        <v>-1.02185324607818</v>
      </c>
      <c r="AK7">
        <v>0.98323732166306999</v>
      </c>
      <c r="AL7">
        <v>0.99270900952561003</v>
      </c>
      <c r="AM7">
        <v>3.0863928391330502E-2</v>
      </c>
      <c r="AN7">
        <v>-2.9926426417329399E-2</v>
      </c>
      <c r="AO7">
        <v>4.3782963474094397E-2</v>
      </c>
      <c r="AP7">
        <v>1.186449441404E-3</v>
      </c>
    </row>
    <row r="8" spans="1:42" x14ac:dyDescent="0.2">
      <c r="A8">
        <v>66</v>
      </c>
      <c r="B8">
        <v>751</v>
      </c>
      <c r="C8">
        <v>200</v>
      </c>
      <c r="D8">
        <v>0.378704779573308</v>
      </c>
      <c r="E8">
        <v>0.24007261976455499</v>
      </c>
      <c r="F8">
        <v>3.5605987628450402</v>
      </c>
      <c r="G8">
        <v>-3.0982839424045978</v>
      </c>
      <c r="H8">
        <v>-2.6280160258436589</v>
      </c>
      <c r="I8">
        <v>0.45917874975437001</v>
      </c>
      <c r="J8">
        <v>0.269545786079605</v>
      </c>
      <c r="K8">
        <v>6.7424788850044104E-2</v>
      </c>
      <c r="L8">
        <v>4.4367660725430257E-5</v>
      </c>
      <c r="M8">
        <v>9.1145150929459758E-7</v>
      </c>
      <c r="N8" s="1">
        <v>2.8612301994027498E-10</v>
      </c>
      <c r="O8" s="1">
        <v>6.5401843948212102E-14</v>
      </c>
      <c r="P8" s="1">
        <v>4.81132211693762E-13</v>
      </c>
      <c r="Q8">
        <v>50.338797988147299</v>
      </c>
      <c r="R8">
        <v>1.09867104291319E-2</v>
      </c>
      <c r="S8">
        <v>1.6046953025020001</v>
      </c>
      <c r="T8">
        <v>0.51553117582094699</v>
      </c>
      <c r="V8">
        <v>31.1459406980631</v>
      </c>
      <c r="X8">
        <v>15.984833290407501</v>
      </c>
      <c r="AA8">
        <v>0.38397901360112602</v>
      </c>
      <c r="AB8">
        <v>1.5235821028771201E-2</v>
      </c>
      <c r="AJ8">
        <v>-1.0401277985828801</v>
      </c>
      <c r="AK8">
        <v>0.98286672514152496</v>
      </c>
      <c r="AL8">
        <v>1.0120859350195199</v>
      </c>
      <c r="AM8">
        <v>2.8953541334214999E-2</v>
      </c>
      <c r="AN8">
        <v>-2.83114772660529E-2</v>
      </c>
      <c r="AO8">
        <v>4.3385257327089803E-2</v>
      </c>
      <c r="AP8">
        <v>1.1478170265811799E-3</v>
      </c>
    </row>
    <row r="9" spans="1:42" x14ac:dyDescent="0.2">
      <c r="A9">
        <v>67</v>
      </c>
      <c r="B9">
        <v>750</v>
      </c>
      <c r="C9">
        <v>200</v>
      </c>
      <c r="D9">
        <v>0.37802912573913899</v>
      </c>
      <c r="E9">
        <v>0.38839664287600001</v>
      </c>
      <c r="F9">
        <v>3.5500989818203399</v>
      </c>
      <c r="G9">
        <v>-5.0446276169687785</v>
      </c>
      <c r="H9">
        <v>-4.2838440810445917</v>
      </c>
      <c r="I9">
        <v>0.74356989290346898</v>
      </c>
      <c r="J9">
        <v>0.43748811732440301</v>
      </c>
      <c r="K9">
        <v>0.10940445459829</v>
      </c>
      <c r="L9">
        <v>4.4317642494511339E-5</v>
      </c>
      <c r="M9">
        <v>9.0884280012380194E-7</v>
      </c>
      <c r="N9" s="1">
        <v>4.4793488890556802E-10</v>
      </c>
      <c r="O9" s="1">
        <v>1.07995346030117E-13</v>
      </c>
      <c r="P9" s="1">
        <v>8.3302478666659297E-13</v>
      </c>
      <c r="Q9">
        <v>50.555639918179502</v>
      </c>
      <c r="R9">
        <v>1.4272205093931701E-2</v>
      </c>
      <c r="S9">
        <v>1.5760438525140701</v>
      </c>
      <c r="T9">
        <v>0.479499337745809</v>
      </c>
      <c r="V9">
        <v>30.4497003039581</v>
      </c>
      <c r="X9">
        <v>16.5131865574259</v>
      </c>
      <c r="AA9">
        <v>0.39621201267824901</v>
      </c>
      <c r="AB9">
        <v>1.5445812404413299E-2</v>
      </c>
      <c r="AJ9">
        <v>-1.01218936101575</v>
      </c>
      <c r="AK9">
        <v>0.98240612189006804</v>
      </c>
      <c r="AL9">
        <v>0.98584804728730602</v>
      </c>
      <c r="AM9">
        <v>2.8806773689766502E-2</v>
      </c>
      <c r="AN9">
        <v>-2.7975751181488599E-2</v>
      </c>
      <c r="AO9">
        <v>4.194478192803E-2</v>
      </c>
      <c r="AP9">
        <v>1.15938740206827E-3</v>
      </c>
    </row>
    <row r="10" spans="1:42" x14ac:dyDescent="0.2">
      <c r="A10">
        <v>68</v>
      </c>
      <c r="B10">
        <v>749</v>
      </c>
      <c r="C10">
        <v>200</v>
      </c>
      <c r="D10">
        <v>0.37735214988015597</v>
      </c>
      <c r="E10">
        <v>0.42724435449467302</v>
      </c>
      <c r="F10">
        <v>3.5464075870670899</v>
      </c>
      <c r="G10">
        <v>-5.5622890114356505</v>
      </c>
      <c r="H10">
        <v>-4.7262341807076735</v>
      </c>
      <c r="I10">
        <v>0.81793751477569498</v>
      </c>
      <c r="J10">
        <v>0.48183375329629302</v>
      </c>
      <c r="K10">
        <v>0.120472434147933</v>
      </c>
      <c r="L10">
        <v>4.4291650685326305E-5</v>
      </c>
      <c r="M10">
        <v>9.0777248232532835E-7</v>
      </c>
      <c r="N10" s="1">
        <v>4.91279285634334E-10</v>
      </c>
      <c r="O10" s="1">
        <v>1.2008211378472101E-13</v>
      </c>
      <c r="P10" s="1">
        <v>8.6194324080109901E-13</v>
      </c>
      <c r="Q10">
        <v>50.623150604848</v>
      </c>
      <c r="R10">
        <v>1.5870348410090902E-2</v>
      </c>
      <c r="S10">
        <v>1.5906143637855601</v>
      </c>
      <c r="T10">
        <v>0.46807496634034901</v>
      </c>
      <c r="V10">
        <v>30.1839491785327</v>
      </c>
      <c r="X10">
        <v>16.712614849295299</v>
      </c>
      <c r="AA10">
        <v>0.39027540697324498</v>
      </c>
      <c r="AB10">
        <v>1.5450281814640299E-2</v>
      </c>
      <c r="AJ10">
        <v>-1.00262722576357</v>
      </c>
      <c r="AK10">
        <v>0.98267650901502601</v>
      </c>
      <c r="AL10">
        <v>0.97586512492136901</v>
      </c>
      <c r="AM10">
        <v>2.9310536116422901E-2</v>
      </c>
      <c r="AN10">
        <v>-2.83877629678412E-2</v>
      </c>
      <c r="AO10">
        <v>4.2004732162064802E-2</v>
      </c>
      <c r="AP10">
        <v>1.1580865165362101E-3</v>
      </c>
    </row>
    <row r="11" spans="1:42" x14ac:dyDescent="0.2">
      <c r="A11">
        <v>78</v>
      </c>
      <c r="B11">
        <v>756</v>
      </c>
      <c r="C11">
        <v>175</v>
      </c>
      <c r="D11">
        <v>0.40878443375601398</v>
      </c>
      <c r="E11">
        <v>0.21556085977532599</v>
      </c>
      <c r="F11">
        <v>3.5530515798331401</v>
      </c>
      <c r="G11">
        <v>-2.794914670814229</v>
      </c>
      <c r="H11">
        <v>-2.368968343924128</v>
      </c>
      <c r="I11">
        <v>0.41388167603371701</v>
      </c>
      <c r="J11">
        <v>0.242573612601094</v>
      </c>
      <c r="K11">
        <v>6.0669217694117997E-2</v>
      </c>
      <c r="L11">
        <v>4.4348055039295031E-5</v>
      </c>
      <c r="M11">
        <v>9.0991945760579047E-7</v>
      </c>
      <c r="N11" s="1">
        <v>2.49579179429412E-10</v>
      </c>
      <c r="O11" s="1">
        <v>5.8964746852864194E-14</v>
      </c>
      <c r="P11" s="1">
        <v>5.5051746659948703E-13</v>
      </c>
      <c r="Q11">
        <v>50.477198472379897</v>
      </c>
      <c r="R11">
        <v>1.0442748055382501E-2</v>
      </c>
      <c r="S11">
        <v>1.53822294513671</v>
      </c>
      <c r="T11">
        <v>0.513232358496862</v>
      </c>
      <c r="V11">
        <v>30.768531534591201</v>
      </c>
      <c r="X11">
        <v>16.2807401288661</v>
      </c>
      <c r="AA11">
        <v>0.39668689657753697</v>
      </c>
      <c r="AB11">
        <v>1.4944915896168601E-2</v>
      </c>
      <c r="AJ11">
        <v>-1.0238202500728699</v>
      </c>
      <c r="AK11">
        <v>0.98239320187384105</v>
      </c>
      <c r="AL11">
        <v>0.99791745340702198</v>
      </c>
      <c r="AM11">
        <v>2.7407860566017201E-2</v>
      </c>
      <c r="AN11">
        <v>-2.6798748223186199E-2</v>
      </c>
      <c r="AO11">
        <v>4.17767260252273E-2</v>
      </c>
      <c r="AP11">
        <v>1.1237564239490799E-3</v>
      </c>
    </row>
    <row r="12" spans="1:42" x14ac:dyDescent="0.2">
      <c r="A12">
        <v>79</v>
      </c>
      <c r="B12">
        <v>755</v>
      </c>
      <c r="C12">
        <v>175</v>
      </c>
      <c r="D12">
        <v>0.40814132179156798</v>
      </c>
      <c r="E12">
        <v>0.36633833300559199</v>
      </c>
      <c r="F12">
        <v>3.5427760344889698</v>
      </c>
      <c r="G12">
        <v>-4.7794797140824867</v>
      </c>
      <c r="H12">
        <v>-4.0556410656442603</v>
      </c>
      <c r="I12">
        <v>0.70402047214727903</v>
      </c>
      <c r="J12">
        <v>0.41349915400825099</v>
      </c>
      <c r="K12">
        <v>0.103404316118005</v>
      </c>
      <c r="L12">
        <v>4.4278731835647447E-5</v>
      </c>
      <c r="M12">
        <v>9.0729547782470419E-7</v>
      </c>
      <c r="N12" s="1">
        <v>4.1623200888221298E-10</v>
      </c>
      <c r="O12" s="1">
        <v>1.0211012069162701E-13</v>
      </c>
      <c r="P12" s="1">
        <v>9.8741582669203496E-13</v>
      </c>
      <c r="Q12">
        <v>50.689970909683403</v>
      </c>
      <c r="R12">
        <v>1.36020411974794E-2</v>
      </c>
      <c r="S12">
        <v>1.50810425636062</v>
      </c>
      <c r="T12">
        <v>0.47807804909483398</v>
      </c>
      <c r="V12">
        <v>30.086504496372999</v>
      </c>
      <c r="X12">
        <v>16.795048756550401</v>
      </c>
      <c r="AA12">
        <v>0.41355797146976497</v>
      </c>
      <c r="AB12">
        <v>1.513351927026E-2</v>
      </c>
      <c r="AJ12">
        <v>-0.996328100478164</v>
      </c>
      <c r="AK12">
        <v>0.98174313340469599</v>
      </c>
      <c r="AL12">
        <v>0.972328195017784</v>
      </c>
      <c r="AM12">
        <v>2.7220432244674599E-2</v>
      </c>
      <c r="AN12">
        <v>-2.6429862877237201E-2</v>
      </c>
      <c r="AO12">
        <v>4.0332310030809601E-2</v>
      </c>
      <c r="AP12">
        <v>1.1338926574364001E-3</v>
      </c>
    </row>
    <row r="13" spans="1:42" x14ac:dyDescent="0.2">
      <c r="A13">
        <v>80</v>
      </c>
      <c r="B13">
        <v>754</v>
      </c>
      <c r="C13">
        <v>175</v>
      </c>
      <c r="D13">
        <v>0.40749695760112897</v>
      </c>
      <c r="E13">
        <v>0.40953326138756801</v>
      </c>
      <c r="F13">
        <v>3.5386829519189198</v>
      </c>
      <c r="G13">
        <v>-5.3568019969684295</v>
      </c>
      <c r="H13">
        <v>-4.5483591296405486</v>
      </c>
      <c r="I13">
        <v>0.78707381329687098</v>
      </c>
      <c r="J13">
        <v>0.46285008115730703</v>
      </c>
      <c r="K13">
        <v>0.11573041918476699</v>
      </c>
      <c r="L13">
        <v>4.4242662381020558E-5</v>
      </c>
      <c r="M13">
        <v>9.061049622299688E-7</v>
      </c>
      <c r="N13" s="1">
        <v>4.6575802454334103E-10</v>
      </c>
      <c r="O13" s="1">
        <v>1.15410552002349E-13</v>
      </c>
      <c r="P13" s="1">
        <v>1.05793245314764E-12</v>
      </c>
      <c r="Q13">
        <v>50.767134175540299</v>
      </c>
      <c r="R13">
        <v>1.5276233086651299E-2</v>
      </c>
      <c r="S13">
        <v>1.5181801953971199</v>
      </c>
      <c r="T13">
        <v>0.46538571836474601</v>
      </c>
      <c r="V13">
        <v>29.795493766376399</v>
      </c>
      <c r="X13">
        <v>17.013527072509302</v>
      </c>
      <c r="AA13">
        <v>0.40985369336023197</v>
      </c>
      <c r="AB13">
        <v>1.51491453650867E-2</v>
      </c>
      <c r="AJ13">
        <v>-0.98565424485796505</v>
      </c>
      <c r="AK13">
        <v>0.98192312695494899</v>
      </c>
      <c r="AL13">
        <v>0.96144521088696799</v>
      </c>
      <c r="AM13">
        <v>2.7640005028361499E-2</v>
      </c>
      <c r="AN13">
        <v>-2.67534922893417E-2</v>
      </c>
      <c r="AO13">
        <v>4.0266073241800197E-2</v>
      </c>
      <c r="AP13">
        <v>1.13332103522682E-3</v>
      </c>
    </row>
    <row r="14" spans="1:42" x14ac:dyDescent="0.2">
      <c r="A14">
        <v>95</v>
      </c>
      <c r="B14">
        <v>762</v>
      </c>
      <c r="C14">
        <v>150</v>
      </c>
      <c r="D14">
        <v>0.439183210162781</v>
      </c>
      <c r="E14">
        <v>0.21703104001641599</v>
      </c>
      <c r="F14">
        <v>3.5440427097371399</v>
      </c>
      <c r="G14">
        <v>-2.8297748084633909</v>
      </c>
      <c r="H14">
        <v>-2.3964400131584052</v>
      </c>
      <c r="I14">
        <v>0.41862029203978701</v>
      </c>
      <c r="J14">
        <v>0.24488886554813999</v>
      </c>
      <c r="K14">
        <v>6.1238268777103103E-2</v>
      </c>
      <c r="L14">
        <v>4.430652897639332E-5</v>
      </c>
      <c r="M14">
        <v>9.0792206474083716E-7</v>
      </c>
      <c r="N14" s="1">
        <v>2.4707756635712002E-10</v>
      </c>
      <c r="O14" s="1">
        <v>5.9637151211108102E-14</v>
      </c>
      <c r="P14" s="1">
        <v>6.8438918088472303E-13</v>
      </c>
      <c r="Q14">
        <v>50.639272829188201</v>
      </c>
      <c r="R14">
        <v>1.03393830480174E-2</v>
      </c>
      <c r="S14">
        <v>1.4715510104970699</v>
      </c>
      <c r="T14">
        <v>0.50925514744423495</v>
      </c>
      <c r="V14">
        <v>30.3005189415472</v>
      </c>
      <c r="X14">
        <v>16.639440688533401</v>
      </c>
      <c r="AA14">
        <v>0.41489885014174099</v>
      </c>
      <c r="AB14">
        <v>1.4723149599902801E-2</v>
      </c>
      <c r="AJ14">
        <v>-1.00394414286696</v>
      </c>
      <c r="AK14">
        <v>0.98169623615814405</v>
      </c>
      <c r="AL14">
        <v>0.98042986722319303</v>
      </c>
      <c r="AM14">
        <v>2.5886562060941299E-2</v>
      </c>
      <c r="AN14">
        <v>-2.52848955455417E-2</v>
      </c>
      <c r="AO14">
        <v>4.01118924657861E-2</v>
      </c>
      <c r="AP14">
        <v>1.1044805044463401E-3</v>
      </c>
    </row>
    <row r="15" spans="1:42" x14ac:dyDescent="0.2">
      <c r="A15">
        <v>96</v>
      </c>
      <c r="B15">
        <v>761</v>
      </c>
      <c r="C15">
        <v>150</v>
      </c>
      <c r="D15">
        <v>0.43857322438717999</v>
      </c>
      <c r="E15">
        <v>0.34929157241273501</v>
      </c>
      <c r="F15">
        <v>3.5349377255073802</v>
      </c>
      <c r="G15">
        <v>-4.5793289787118017</v>
      </c>
      <c r="H15">
        <v>-3.8820624604391982</v>
      </c>
      <c r="I15">
        <v>0.67424118191036497</v>
      </c>
      <c r="J15">
        <v>0.39515238364393102</v>
      </c>
      <c r="K15">
        <v>9.8811237859246906E-2</v>
      </c>
      <c r="L15">
        <v>4.4225763817117436E-5</v>
      </c>
      <c r="M15">
        <v>9.0550512498656617E-7</v>
      </c>
      <c r="N15" s="1">
        <v>3.9662951502567001E-10</v>
      </c>
      <c r="O15" s="1">
        <v>9.7529360871182596E-14</v>
      </c>
      <c r="P15" s="1">
        <v>1.1363286491123701E-12</v>
      </c>
      <c r="Q15">
        <v>50.827322508926898</v>
      </c>
      <c r="R15">
        <v>1.3158979096397299E-2</v>
      </c>
      <c r="S15">
        <v>1.44616918695389</v>
      </c>
      <c r="T15">
        <v>0.47831272974552402</v>
      </c>
      <c r="V15">
        <v>29.692561792476699</v>
      </c>
      <c r="X15">
        <v>17.094844415944699</v>
      </c>
      <c r="AA15">
        <v>0.43276325344435002</v>
      </c>
      <c r="AB15">
        <v>1.4867133411415601E-2</v>
      </c>
      <c r="AJ15">
        <v>-0.97948269235615204</v>
      </c>
      <c r="AK15">
        <v>0.98100493711991998</v>
      </c>
      <c r="AL15">
        <v>0.95773025903725695</v>
      </c>
      <c r="AM15">
        <v>2.57535140192998E-2</v>
      </c>
      <c r="AN15">
        <v>-2.4990183743783499E-2</v>
      </c>
      <c r="AO15">
        <v>3.8872399274659103E-2</v>
      </c>
      <c r="AP15">
        <v>1.1117666487993601E-3</v>
      </c>
    </row>
    <row r="16" spans="1:42" x14ac:dyDescent="0.2">
      <c r="A16">
        <v>97</v>
      </c>
      <c r="B16">
        <v>760</v>
      </c>
      <c r="C16">
        <v>150</v>
      </c>
      <c r="D16">
        <v>0.43796205778444602</v>
      </c>
      <c r="E16">
        <v>0.39335366909976999</v>
      </c>
      <c r="F16">
        <v>3.5307791434285001</v>
      </c>
      <c r="G16">
        <v>-5.1703852979506388</v>
      </c>
      <c r="H16">
        <v>-4.3858670844758407</v>
      </c>
      <c r="I16">
        <v>0.75934589698959198</v>
      </c>
      <c r="J16">
        <v>0.44556010644573901</v>
      </c>
      <c r="K16">
        <v>0.11140704448531701</v>
      </c>
      <c r="L16">
        <v>4.4181673615418439E-5</v>
      </c>
      <c r="M16">
        <v>9.042744821855082E-7</v>
      </c>
      <c r="N16" s="1">
        <v>4.4922545074902999E-10</v>
      </c>
      <c r="O16" s="1">
        <v>1.11006932805109E-13</v>
      </c>
      <c r="P16" s="1">
        <v>1.23799269173841E-12</v>
      </c>
      <c r="Q16">
        <v>50.906867948694099</v>
      </c>
      <c r="R16">
        <v>1.4821428897484199E-2</v>
      </c>
      <c r="S16">
        <v>1.4537060536672599</v>
      </c>
      <c r="T16">
        <v>0.46540542694550202</v>
      </c>
      <c r="V16">
        <v>29.397739507416102</v>
      </c>
      <c r="X16">
        <v>17.315869346645499</v>
      </c>
      <c r="AA16">
        <v>0.43070816251116101</v>
      </c>
      <c r="AB16">
        <v>1.4882125222666499E-2</v>
      </c>
      <c r="AJ16">
        <v>-0.96858866528732201</v>
      </c>
      <c r="AK16">
        <v>0.98111800336030597</v>
      </c>
      <c r="AL16">
        <v>0.94675349841682399</v>
      </c>
      <c r="AM16">
        <v>2.6119296923485601E-2</v>
      </c>
      <c r="AN16">
        <v>-2.5260861151175699E-2</v>
      </c>
      <c r="AO16">
        <v>3.8747562109578498E-2</v>
      </c>
      <c r="AP16">
        <v>1.1111656283025501E-3</v>
      </c>
    </row>
    <row r="17" spans="1:42" x14ac:dyDescent="0.2">
      <c r="A17">
        <v>116</v>
      </c>
      <c r="B17">
        <v>770</v>
      </c>
      <c r="C17">
        <v>125</v>
      </c>
      <c r="D17">
        <v>0.47038345396155901</v>
      </c>
      <c r="E17">
        <v>0.159349995698716</v>
      </c>
      <c r="F17">
        <v>3.5379034620771699</v>
      </c>
      <c r="G17">
        <v>-2.0860299365151294</v>
      </c>
      <c r="H17">
        <v>-1.7637168961643723</v>
      </c>
      <c r="I17">
        <v>0.30898053046134899</v>
      </c>
      <c r="J17">
        <v>0.180157367466308</v>
      </c>
      <c r="K17">
        <v>4.5040798146922398E-2</v>
      </c>
      <c r="L17">
        <v>4.4278786942180458E-5</v>
      </c>
      <c r="M17">
        <v>9.0652779033199026E-7</v>
      </c>
      <c r="N17" s="1">
        <v>1.8221628368471599E-10</v>
      </c>
      <c r="O17" s="1">
        <v>4.3682722141258002E-14</v>
      </c>
      <c r="P17" s="1">
        <v>5.9158941070371295E-13</v>
      </c>
      <c r="Q17">
        <v>50.7301304028571</v>
      </c>
      <c r="R17">
        <v>9.4608049217350006E-3</v>
      </c>
      <c r="S17">
        <v>1.42422834807194</v>
      </c>
      <c r="T17">
        <v>0.52119955311902699</v>
      </c>
      <c r="V17">
        <v>30.030038128610599</v>
      </c>
      <c r="X17">
        <v>16.843775630099199</v>
      </c>
      <c r="AA17">
        <v>0.42665342189081201</v>
      </c>
      <c r="AB17">
        <v>1.4513710429513301E-2</v>
      </c>
      <c r="AJ17">
        <v>-0.99249560271162496</v>
      </c>
      <c r="AK17">
        <v>0.981248978511847</v>
      </c>
      <c r="AL17">
        <v>0.97042000570181697</v>
      </c>
      <c r="AM17">
        <v>2.4584145356679299E-2</v>
      </c>
      <c r="AN17">
        <v>-2.4034317554894401E-2</v>
      </c>
      <c r="AO17">
        <v>3.9189431142325599E-2</v>
      </c>
      <c r="AP17">
        <v>1.08735955384962E-3</v>
      </c>
    </row>
    <row r="18" spans="1:42" x14ac:dyDescent="0.2">
      <c r="A18">
        <v>117</v>
      </c>
      <c r="B18">
        <v>769</v>
      </c>
      <c r="C18">
        <v>125</v>
      </c>
      <c r="D18">
        <v>0.46980808904668597</v>
      </c>
      <c r="E18">
        <v>0.31122617649955697</v>
      </c>
      <c r="F18">
        <v>3.5287393609140998</v>
      </c>
      <c r="G18">
        <v>-4.0965902463188657</v>
      </c>
      <c r="H18">
        <v>-3.4671983019052757</v>
      </c>
      <c r="I18">
        <v>0.60393604031434001</v>
      </c>
      <c r="J18">
        <v>0.35275021119203998</v>
      </c>
      <c r="K18">
        <v>8.8197552912759103E-2</v>
      </c>
      <c r="L18">
        <v>4.4183827082748948E-5</v>
      </c>
      <c r="M18">
        <v>9.0406729880507031E-7</v>
      </c>
      <c r="N18" s="1">
        <v>3.5814671477334599E-10</v>
      </c>
      <c r="O18" s="1">
        <v>8.6547131945152704E-14</v>
      </c>
      <c r="P18" s="1">
        <v>1.1974570571365699E-12</v>
      </c>
      <c r="Q18">
        <v>50.921009560594101</v>
      </c>
      <c r="R18">
        <v>1.21969819244814E-2</v>
      </c>
      <c r="S18">
        <v>1.3939738974287901</v>
      </c>
      <c r="T18">
        <v>0.48916575159098302</v>
      </c>
      <c r="V18">
        <v>29.420134822298799</v>
      </c>
      <c r="X18">
        <v>17.296598418801999</v>
      </c>
      <c r="AA18">
        <v>0.45228293392160801</v>
      </c>
      <c r="AB18">
        <v>1.4637633439083499E-2</v>
      </c>
      <c r="AJ18">
        <v>-0.96759974888566602</v>
      </c>
      <c r="AK18">
        <v>0.980240821526418</v>
      </c>
      <c r="AL18">
        <v>0.94772755750387905</v>
      </c>
      <c r="AM18">
        <v>2.4359148046117801E-2</v>
      </c>
      <c r="AN18">
        <v>-2.36525279550425E-2</v>
      </c>
      <c r="AO18">
        <v>3.7831547353658901E-2</v>
      </c>
      <c r="AP18">
        <v>1.0932024106337899E-3</v>
      </c>
    </row>
    <row r="19" spans="1:42" x14ac:dyDescent="0.2">
      <c r="A19">
        <v>118</v>
      </c>
      <c r="B19">
        <v>768</v>
      </c>
      <c r="C19">
        <v>125</v>
      </c>
      <c r="D19">
        <v>0.46923161888296799</v>
      </c>
      <c r="E19">
        <v>0.36780203242584603</v>
      </c>
      <c r="F19">
        <v>3.5237254506303102</v>
      </c>
      <c r="G19">
        <v>-4.8561713206846813</v>
      </c>
      <c r="H19">
        <v>-4.1129368561071544</v>
      </c>
      <c r="I19">
        <v>0.713859160137854</v>
      </c>
      <c r="J19">
        <v>0.41747521561268303</v>
      </c>
      <c r="K19">
        <v>0.104378742776357</v>
      </c>
      <c r="L19">
        <v>4.4124187799143193E-5</v>
      </c>
      <c r="M19">
        <v>9.0259462698452782E-7</v>
      </c>
      <c r="N19" s="1">
        <v>4.2771679350108099E-10</v>
      </c>
      <c r="O19" s="1">
        <v>1.03402944192684E-13</v>
      </c>
      <c r="P19" s="1">
        <v>1.38999305897207E-12</v>
      </c>
      <c r="Q19">
        <v>51.0203238329252</v>
      </c>
      <c r="R19">
        <v>1.40352088061342E-2</v>
      </c>
      <c r="S19">
        <v>1.39361229474175</v>
      </c>
      <c r="T19">
        <v>0.47307707746808902</v>
      </c>
      <c r="V19">
        <v>29.071286580462001</v>
      </c>
      <c r="X19">
        <v>17.557313676176701</v>
      </c>
      <c r="AA19">
        <v>0.45568022205821701</v>
      </c>
      <c r="AB19">
        <v>1.46711073617782E-2</v>
      </c>
      <c r="AJ19">
        <v>-0.95429751486113201</v>
      </c>
      <c r="AK19">
        <v>0.98013423118767595</v>
      </c>
      <c r="AL19">
        <v>0.93479038142017301</v>
      </c>
      <c r="AM19">
        <v>2.4591402809567502E-2</v>
      </c>
      <c r="AN19">
        <v>-2.3779762492826501E-2</v>
      </c>
      <c r="AO19">
        <v>3.7467548012748597E-2</v>
      </c>
      <c r="AP19">
        <v>1.0937139237935001E-3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47464-7AA3-4716-A15B-8EAE19BED087}">
  <sheetPr codeName="Sheet9"/>
  <dimension ref="A1:AL6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741</v>
      </c>
      <c r="C2">
        <v>275</v>
      </c>
      <c r="D2">
        <v>0.29053936794360102</v>
      </c>
      <c r="E2">
        <v>0.63262060457835601</v>
      </c>
      <c r="F2">
        <v>2.5255482338048698</v>
      </c>
      <c r="G2">
        <v>-9.9242169340928399</v>
      </c>
      <c r="H2">
        <v>-8.6142164569671085</v>
      </c>
      <c r="I2">
        <v>1.2917226023031401</v>
      </c>
      <c r="J2">
        <v>0.74972298942882898</v>
      </c>
      <c r="K2">
        <v>0.25048842707125002</v>
      </c>
      <c r="L2">
        <v>2.8088837788986493E-5</v>
      </c>
      <c r="M2">
        <v>1.7834234634390934E-6</v>
      </c>
      <c r="N2" s="1">
        <v>-5.28692771060941E-9</v>
      </c>
      <c r="O2" s="1">
        <v>2.3991253712212999E-12</v>
      </c>
      <c r="P2" s="1">
        <v>2.02677651815393E-11</v>
      </c>
      <c r="Q2">
        <v>65.699666941255899</v>
      </c>
      <c r="S2">
        <v>18.913356022677299</v>
      </c>
      <c r="AA2">
        <v>0.27359326722591798</v>
      </c>
      <c r="AB2">
        <v>3.6569296773636601</v>
      </c>
      <c r="AC2">
        <v>11.456454091476999</v>
      </c>
      <c r="AJ2">
        <v>0.32232068190732999</v>
      </c>
      <c r="AK2">
        <v>1.33256303024843E-2</v>
      </c>
      <c r="AL2">
        <v>0.664353687790185</v>
      </c>
    </row>
    <row r="3" spans="1:38" x14ac:dyDescent="0.2">
      <c r="A3">
        <v>20</v>
      </c>
      <c r="B3">
        <v>740</v>
      </c>
      <c r="C3">
        <v>275</v>
      </c>
      <c r="D3">
        <v>0.28977002418201098</v>
      </c>
      <c r="E3">
        <v>8.0981128504639006</v>
      </c>
      <c r="F3">
        <v>2.52578662188305</v>
      </c>
      <c r="G3">
        <v>-127.05511944092778</v>
      </c>
      <c r="H3">
        <v>-110.30635191172013</v>
      </c>
      <c r="I3">
        <v>16.531379883736498</v>
      </c>
      <c r="J3">
        <v>9.6026582187893492</v>
      </c>
      <c r="K3">
        <v>3.2061745755967701</v>
      </c>
      <c r="L3">
        <v>2.8151949178412797E-5</v>
      </c>
      <c r="M3">
        <v>1.7838969843503998E-6</v>
      </c>
      <c r="N3" s="1">
        <v>-7.1568155072953905E-8</v>
      </c>
      <c r="O3" s="1">
        <v>3.0661363404654603E-11</v>
      </c>
      <c r="P3" s="1">
        <v>2.7062960432280701E-10</v>
      </c>
      <c r="Q3">
        <v>65.705220829435106</v>
      </c>
      <c r="S3">
        <v>18.928380166911399</v>
      </c>
      <c r="AA3">
        <v>0.28469241617388003</v>
      </c>
      <c r="AB3">
        <v>3.7086939667650798</v>
      </c>
      <c r="AC3">
        <v>11.3730126207144</v>
      </c>
      <c r="AJ3">
        <v>0.32679677967896098</v>
      </c>
      <c r="AK3">
        <v>1.3862560644720801E-2</v>
      </c>
      <c r="AL3">
        <v>0.65934065967631705</v>
      </c>
    </row>
    <row r="4" spans="1:38" x14ac:dyDescent="0.2">
      <c r="A4">
        <v>21</v>
      </c>
      <c r="B4">
        <v>739</v>
      </c>
      <c r="C4">
        <v>275</v>
      </c>
      <c r="D4">
        <v>0.28899916020352701</v>
      </c>
      <c r="E4">
        <v>31.535164410385502</v>
      </c>
      <c r="F4">
        <v>2.5258143254675298</v>
      </c>
      <c r="G4">
        <v>-494.77239594833219</v>
      </c>
      <c r="H4">
        <v>-429.63929188941813</v>
      </c>
      <c r="I4">
        <v>64.351236535013697</v>
      </c>
      <c r="J4">
        <v>37.411180925206502</v>
      </c>
      <c r="K4">
        <v>12.485147499726899</v>
      </c>
      <c r="L4">
        <v>2.820523708791293E-5</v>
      </c>
      <c r="M4">
        <v>1.7844625980021992E-6</v>
      </c>
      <c r="N4" s="1">
        <v>-2.92626499581179E-7</v>
      </c>
      <c r="O4" s="1">
        <v>1.19269185350248E-10</v>
      </c>
      <c r="P4" s="1">
        <v>1.0937667659281899E-9</v>
      </c>
      <c r="Q4">
        <v>65.720070081889205</v>
      </c>
      <c r="S4">
        <v>18.928392806902298</v>
      </c>
      <c r="AA4">
        <v>0.28123797423785202</v>
      </c>
      <c r="AB4">
        <v>3.74181786705332</v>
      </c>
      <c r="AC4">
        <v>11.3284812699172</v>
      </c>
      <c r="AJ4">
        <v>0.32965986422612897</v>
      </c>
      <c r="AK4">
        <v>1.36920407307459E-2</v>
      </c>
      <c r="AL4">
        <v>0.65664809504312405</v>
      </c>
    </row>
    <row r="5" spans="1:38" x14ac:dyDescent="0.2">
      <c r="A5">
        <v>22</v>
      </c>
      <c r="B5">
        <v>738</v>
      </c>
      <c r="C5">
        <v>275</v>
      </c>
      <c r="D5">
        <v>0.28822677149780002</v>
      </c>
      <c r="E5">
        <v>37.796653012337401</v>
      </c>
      <c r="F5">
        <v>2.5258485241361099</v>
      </c>
      <c r="G5">
        <v>-592.9385049091303</v>
      </c>
      <c r="H5">
        <v>-514.99374922361142</v>
      </c>
      <c r="I5">
        <v>77.085255091251298</v>
      </c>
      <c r="J5">
        <v>44.850676503399001</v>
      </c>
      <c r="K5">
        <v>14.963942869560899</v>
      </c>
      <c r="L5">
        <v>2.8233337949488092E-5</v>
      </c>
      <c r="M5">
        <v>1.7846858876742983E-6</v>
      </c>
      <c r="N5" s="1">
        <v>-3.6435617111203699E-7</v>
      </c>
      <c r="O5" s="1">
        <v>1.42844297397582E-10</v>
      </c>
      <c r="P5" s="1">
        <v>1.34975228333379E-9</v>
      </c>
      <c r="Q5">
        <v>65.723857288980895</v>
      </c>
      <c r="S5">
        <v>18.926310265419598</v>
      </c>
      <c r="AA5">
        <v>0.278636163190706</v>
      </c>
      <c r="AB5">
        <v>3.7447978017493901</v>
      </c>
      <c r="AC5">
        <v>11.3263984806593</v>
      </c>
      <c r="AJ5">
        <v>0.32991740594935298</v>
      </c>
      <c r="AK5">
        <v>1.35651664562566E-2</v>
      </c>
      <c r="AL5">
        <v>0.65651742759438902</v>
      </c>
    </row>
    <row r="6" spans="1:38" x14ac:dyDescent="0.2">
      <c r="A6">
        <v>38</v>
      </c>
      <c r="B6">
        <v>744</v>
      </c>
      <c r="C6">
        <v>250</v>
      </c>
      <c r="D6">
        <v>0.31987464975667701</v>
      </c>
      <c r="E6">
        <v>5.0667267997470304</v>
      </c>
      <c r="F6">
        <v>2.5245481039745701</v>
      </c>
      <c r="G6">
        <v>-79.635404914347774</v>
      </c>
      <c r="H6">
        <v>-69.080376333998601</v>
      </c>
      <c r="I6">
        <v>10.3770619676047</v>
      </c>
      <c r="J6">
        <v>6.0079782161693398</v>
      </c>
      <c r="K6">
        <v>2.0069836624503701</v>
      </c>
      <c r="L6">
        <v>2.8144224362092734E-5</v>
      </c>
      <c r="M6">
        <v>1.7862721910237916E-6</v>
      </c>
      <c r="N6" s="1">
        <v>-3.9340681473232003E-8</v>
      </c>
      <c r="O6" s="1">
        <v>1.9209036904177301E-11</v>
      </c>
      <c r="P6" s="1">
        <v>1.5386744897629799E-10</v>
      </c>
      <c r="Q6">
        <v>65.741280822085599</v>
      </c>
      <c r="S6">
        <v>18.9498499239218</v>
      </c>
      <c r="AA6">
        <v>0.293991079226885</v>
      </c>
      <c r="AB6">
        <v>3.8453374861887499</v>
      </c>
      <c r="AC6">
        <v>11.1695406885768</v>
      </c>
      <c r="AJ6">
        <v>0.33860124066881198</v>
      </c>
      <c r="AK6">
        <v>1.4305367733092799E-2</v>
      </c>
      <c r="AL6">
        <v>0.64709339159809398</v>
      </c>
    </row>
    <row r="7" spans="1:38" x14ac:dyDescent="0.2">
      <c r="A7">
        <v>39</v>
      </c>
      <c r="B7">
        <v>743</v>
      </c>
      <c r="C7">
        <v>250</v>
      </c>
      <c r="D7">
        <v>0.31913644639078897</v>
      </c>
      <c r="E7">
        <v>12.8527226552771</v>
      </c>
      <c r="F7">
        <v>2.52458169106009</v>
      </c>
      <c r="G7">
        <v>-201.96684566337871</v>
      </c>
      <c r="H7">
        <v>-175.236614980746</v>
      </c>
      <c r="I7">
        <v>26.3053984969076</v>
      </c>
      <c r="J7">
        <v>15.241324034635401</v>
      </c>
      <c r="K7">
        <v>5.0910306055020902</v>
      </c>
      <c r="L7">
        <v>2.8150486664943594E-5</v>
      </c>
      <c r="M7">
        <v>1.7862429656254007E-6</v>
      </c>
      <c r="N7" s="1">
        <v>-1.0297113885204399E-7</v>
      </c>
      <c r="O7" s="1">
        <v>4.8708787874194402E-11</v>
      </c>
      <c r="P7" s="1">
        <v>3.9936120195550002E-10</v>
      </c>
      <c r="Q7">
        <v>65.737399302842704</v>
      </c>
      <c r="S7">
        <v>18.9461839350923</v>
      </c>
      <c r="AA7">
        <v>0.29187230035738598</v>
      </c>
      <c r="AB7">
        <v>3.8270768623470701</v>
      </c>
      <c r="AC7">
        <v>11.197467599360399</v>
      </c>
      <c r="AJ7">
        <v>0.33702468724540102</v>
      </c>
      <c r="AK7">
        <v>1.4203592405307001E-2</v>
      </c>
      <c r="AL7">
        <v>0.64877172034929098</v>
      </c>
    </row>
    <row r="8" spans="1:38" x14ac:dyDescent="0.2">
      <c r="A8">
        <v>40</v>
      </c>
      <c r="B8">
        <v>742</v>
      </c>
      <c r="C8">
        <v>250</v>
      </c>
      <c r="D8">
        <v>0.318396788651924</v>
      </c>
      <c r="E8">
        <v>36.758896417132</v>
      </c>
      <c r="F8">
        <v>2.5246159615272199</v>
      </c>
      <c r="G8">
        <v>-577.51130152732617</v>
      </c>
      <c r="H8">
        <v>-501.18850314357366</v>
      </c>
      <c r="I8">
        <v>75.183764353792498</v>
      </c>
      <c r="J8">
        <v>43.594344699944998</v>
      </c>
      <c r="K8">
        <v>14.5601933035769</v>
      </c>
      <c r="L8">
        <v>2.8160336528637671E-5</v>
      </c>
      <c r="M8">
        <v>1.7862566726872115E-6</v>
      </c>
      <c r="N8" s="1">
        <v>-3.0423212078190202E-7</v>
      </c>
      <c r="O8" s="1">
        <v>1.3924616553424301E-10</v>
      </c>
      <c r="P8" s="1">
        <v>1.1699061064245201E-9</v>
      </c>
      <c r="Q8">
        <v>65.734821222045994</v>
      </c>
      <c r="S8">
        <v>18.942800713226099</v>
      </c>
      <c r="AA8">
        <v>0.28968266758557698</v>
      </c>
      <c r="AB8">
        <v>3.81246219155156</v>
      </c>
      <c r="AC8">
        <v>11.2202332055907</v>
      </c>
      <c r="AJ8">
        <v>0.33576270373129902</v>
      </c>
      <c r="AK8">
        <v>1.40980877484522E-2</v>
      </c>
      <c r="AL8">
        <v>0.65013920852024798</v>
      </c>
    </row>
    <row r="9" spans="1:38" x14ac:dyDescent="0.2">
      <c r="A9">
        <v>41</v>
      </c>
      <c r="B9">
        <v>741</v>
      </c>
      <c r="C9">
        <v>250</v>
      </c>
      <c r="D9">
        <v>0.31765567223783697</v>
      </c>
      <c r="E9">
        <v>39.1246051218478</v>
      </c>
      <c r="F9">
        <v>2.5246505893233602</v>
      </c>
      <c r="G9">
        <v>-614.56634142770895</v>
      </c>
      <c r="H9">
        <v>-533.46352735935159</v>
      </c>
      <c r="I9">
        <v>79.971221287144303</v>
      </c>
      <c r="J9">
        <v>46.405886502658802</v>
      </c>
      <c r="K9">
        <v>15.4970376048487</v>
      </c>
      <c r="L9">
        <v>2.8174267653620819E-5</v>
      </c>
      <c r="M9">
        <v>1.7863188603359514E-6</v>
      </c>
      <c r="N9" s="1">
        <v>-3.3496131318131601E-7</v>
      </c>
      <c r="O9" s="1">
        <v>1.4813251507737101E-10</v>
      </c>
      <c r="P9" s="1">
        <v>1.2769649765852801E-9</v>
      </c>
      <c r="Q9">
        <v>65.733721939428804</v>
      </c>
      <c r="S9">
        <v>18.939729965888599</v>
      </c>
      <c r="AA9">
        <v>0.28740577216082203</v>
      </c>
      <c r="AB9">
        <v>3.8019621358109199</v>
      </c>
      <c r="AC9">
        <v>11.237180186710701</v>
      </c>
      <c r="AJ9">
        <v>0.33485590812872201</v>
      </c>
      <c r="AK9">
        <v>1.3988026777666199E-2</v>
      </c>
      <c r="AL9">
        <v>0.65115606509361101</v>
      </c>
    </row>
    <row r="10" spans="1:38" x14ac:dyDescent="0.2">
      <c r="A10">
        <v>51</v>
      </c>
      <c r="B10">
        <v>750</v>
      </c>
      <c r="C10">
        <v>225</v>
      </c>
      <c r="D10">
        <v>0.35115134633240402</v>
      </c>
      <c r="E10">
        <v>0.38992732181226097</v>
      </c>
      <c r="F10">
        <v>2.5883544809138499</v>
      </c>
      <c r="G10">
        <v>-6.3252130913968063</v>
      </c>
      <c r="H10">
        <v>-5.4909398279283126</v>
      </c>
      <c r="I10">
        <v>0.81539682692517601</v>
      </c>
      <c r="J10">
        <v>0.47583424738183799</v>
      </c>
      <c r="K10">
        <v>0.150646800771505</v>
      </c>
      <c r="L10">
        <v>3.0724099459114914E-5</v>
      </c>
      <c r="M10">
        <v>1.7733365151433447E-6</v>
      </c>
      <c r="N10" s="1">
        <v>-6.4150938719334798E-9</v>
      </c>
      <c r="O10" s="1">
        <v>1.2897477044265499E-12</v>
      </c>
      <c r="P10" s="1">
        <v>2.1917470394043101E-11</v>
      </c>
      <c r="Q10">
        <v>63.4886811188804</v>
      </c>
      <c r="S10">
        <v>22.656019670179099</v>
      </c>
      <c r="AA10">
        <v>3.8772324137642298</v>
      </c>
      <c r="AB10">
        <v>8.5417456519182</v>
      </c>
      <c r="AC10">
        <v>1.4363211452578799</v>
      </c>
      <c r="AJ10">
        <v>0.73450225963848603</v>
      </c>
      <c r="AK10">
        <v>0.18423796418101701</v>
      </c>
      <c r="AL10">
        <v>8.1259776180495596E-2</v>
      </c>
    </row>
    <row r="11" spans="1:38" x14ac:dyDescent="0.2">
      <c r="A11">
        <v>52</v>
      </c>
      <c r="B11">
        <v>749</v>
      </c>
      <c r="C11">
        <v>225</v>
      </c>
      <c r="D11">
        <v>0.350448075135744</v>
      </c>
      <c r="E11">
        <v>1.25471778770105</v>
      </c>
      <c r="F11">
        <v>2.5871786838237298</v>
      </c>
      <c r="G11">
        <v>-20.345418928658088</v>
      </c>
      <c r="H11">
        <v>-17.664488570432912</v>
      </c>
      <c r="I11">
        <v>2.6228345724455</v>
      </c>
      <c r="J11">
        <v>1.53178206694556</v>
      </c>
      <c r="K11">
        <v>0.48497531134828398</v>
      </c>
      <c r="L11">
        <v>3.0809972481931201E-5</v>
      </c>
      <c r="M11">
        <v>1.7759997609047214E-6</v>
      </c>
      <c r="N11" s="1">
        <v>-2.1328803212983899E-8</v>
      </c>
      <c r="O11" s="1">
        <v>4.1553849282863296E-12</v>
      </c>
      <c r="P11" s="1">
        <v>7.2485740461435399E-11</v>
      </c>
      <c r="Q11">
        <v>63.603627074339599</v>
      </c>
      <c r="S11">
        <v>22.560670990780999</v>
      </c>
      <c r="AA11">
        <v>3.7717477096738601</v>
      </c>
      <c r="AB11">
        <v>8.5479275912869692</v>
      </c>
      <c r="AC11">
        <v>1.5160266339183901</v>
      </c>
      <c r="AJ11">
        <v>0.73501289213172005</v>
      </c>
      <c r="AK11">
        <v>0.17922044348668101</v>
      </c>
      <c r="AL11">
        <v>8.5766664381598107E-2</v>
      </c>
    </row>
    <row r="12" spans="1:38" x14ac:dyDescent="0.2">
      <c r="A12">
        <v>53</v>
      </c>
      <c r="B12">
        <v>748</v>
      </c>
      <c r="C12">
        <v>225</v>
      </c>
      <c r="D12">
        <v>0.34974342652891699</v>
      </c>
      <c r="E12">
        <v>3.67023752223202</v>
      </c>
      <c r="F12">
        <v>2.58682306015496</v>
      </c>
      <c r="G12">
        <v>-59.498441162128827</v>
      </c>
      <c r="H12">
        <v>-51.66806755995453</v>
      </c>
      <c r="I12">
        <v>7.6681913550157104</v>
      </c>
      <c r="J12">
        <v>4.48225272557998</v>
      </c>
      <c r="K12">
        <v>1.41882047472243</v>
      </c>
      <c r="L12">
        <v>3.086036532931417E-5</v>
      </c>
      <c r="M12">
        <v>1.7768383820643791E-6</v>
      </c>
      <c r="N12" s="1">
        <v>-6.4340964020134696E-8</v>
      </c>
      <c r="O12" s="1">
        <v>1.2149581251139001E-11</v>
      </c>
      <c r="P12" s="1">
        <v>2.17605833426609E-10</v>
      </c>
      <c r="Q12">
        <v>63.6362054558696</v>
      </c>
      <c r="S12">
        <v>22.5300971930237</v>
      </c>
      <c r="AA12">
        <v>3.7389222935184301</v>
      </c>
      <c r="AB12">
        <v>8.5403735820578106</v>
      </c>
      <c r="AC12">
        <v>1.5544014755303199</v>
      </c>
      <c r="AJ12">
        <v>0.73439147577181196</v>
      </c>
      <c r="AK12">
        <v>0.17766749879603799</v>
      </c>
      <c r="AL12">
        <v>8.7941025432149295E-2</v>
      </c>
    </row>
    <row r="13" spans="1:38" x14ac:dyDescent="0.2">
      <c r="A13">
        <v>54</v>
      </c>
      <c r="B13">
        <v>747</v>
      </c>
      <c r="C13">
        <v>225</v>
      </c>
      <c r="D13">
        <v>0.34903739646130499</v>
      </c>
      <c r="E13">
        <v>7.0004379723186201</v>
      </c>
      <c r="F13">
        <v>2.5874848806927702</v>
      </c>
      <c r="G13">
        <v>-113.47931433011087</v>
      </c>
      <c r="H13">
        <v>-98.568876344760568</v>
      </c>
      <c r="I13">
        <v>14.6159270551882</v>
      </c>
      <c r="J13">
        <v>8.5519921822293394</v>
      </c>
      <c r="K13">
        <v>2.7054990831267398</v>
      </c>
      <c r="L13">
        <v>3.0875995981611317E-5</v>
      </c>
      <c r="M13">
        <v>1.7756440661123002E-6</v>
      </c>
      <c r="N13" s="1">
        <v>-1.2642444316170599E-7</v>
      </c>
      <c r="O13" s="1">
        <v>2.31137556220441E-11</v>
      </c>
      <c r="P13" s="1">
        <v>4.2565153801045998E-10</v>
      </c>
      <c r="Q13">
        <v>63.574216236380202</v>
      </c>
      <c r="S13">
        <v>22.577027738230601</v>
      </c>
      <c r="AA13">
        <v>3.7921048107653998</v>
      </c>
      <c r="AB13">
        <v>8.5252684558017506</v>
      </c>
      <c r="AC13">
        <v>1.53138275882195</v>
      </c>
      <c r="AJ13">
        <v>0.73314686472337398</v>
      </c>
      <c r="AK13">
        <v>0.180207989232055</v>
      </c>
      <c r="AL13">
        <v>8.6645146044569396E-2</v>
      </c>
    </row>
    <row r="14" spans="1:38" x14ac:dyDescent="0.2">
      <c r="A14">
        <v>55</v>
      </c>
      <c r="B14">
        <v>746</v>
      </c>
      <c r="C14">
        <v>225</v>
      </c>
      <c r="D14">
        <v>0.34832998086640898</v>
      </c>
      <c r="E14">
        <v>18.013457934821702</v>
      </c>
      <c r="F14">
        <v>2.5889701062452399</v>
      </c>
      <c r="G14">
        <v>-292.01658092958803</v>
      </c>
      <c r="H14">
        <v>-253.71993906021146</v>
      </c>
      <c r="I14">
        <v>37.577041524188203</v>
      </c>
      <c r="J14">
        <v>22.009138098191102</v>
      </c>
      <c r="K14">
        <v>6.9577697677423096</v>
      </c>
      <c r="L14">
        <v>3.0839031470631169E-5</v>
      </c>
      <c r="M14">
        <v>1.7722478875485113E-6</v>
      </c>
      <c r="N14" s="1">
        <v>-3.33753761358375E-7</v>
      </c>
      <c r="O14" s="1">
        <v>5.9224564640006004E-11</v>
      </c>
      <c r="P14" s="1">
        <v>1.1194108785004199E-9</v>
      </c>
      <c r="Q14">
        <v>63.417439564009101</v>
      </c>
      <c r="S14">
        <v>22.692929910994302</v>
      </c>
      <c r="AA14">
        <v>3.9243069832622002</v>
      </c>
      <c r="AB14">
        <v>8.47975266166263</v>
      </c>
      <c r="AC14">
        <v>1.48557088007166</v>
      </c>
      <c r="AJ14">
        <v>0.72939584332836505</v>
      </c>
      <c r="AK14">
        <v>0.18653222158389701</v>
      </c>
      <c r="AL14">
        <v>8.4071935087737998E-2</v>
      </c>
    </row>
    <row r="15" spans="1:38" x14ac:dyDescent="0.2">
      <c r="A15">
        <v>56</v>
      </c>
      <c r="B15">
        <v>745</v>
      </c>
      <c r="C15">
        <v>225</v>
      </c>
      <c r="D15">
        <v>0.347621175661739</v>
      </c>
      <c r="E15">
        <v>19.2571099295191</v>
      </c>
      <c r="F15">
        <v>2.5892555681379101</v>
      </c>
      <c r="G15">
        <v>-312.14941317475518</v>
      </c>
      <c r="H15">
        <v>-271.27392660487681</v>
      </c>
      <c r="I15">
        <v>40.146821755024597</v>
      </c>
      <c r="J15">
        <v>23.538670869415</v>
      </c>
      <c r="K15">
        <v>7.4373152524947796</v>
      </c>
      <c r="L15">
        <v>3.0880371586260015E-5</v>
      </c>
      <c r="M15">
        <v>1.7720275827988063E-6</v>
      </c>
      <c r="N15" s="1">
        <v>-3.6825925581649602E-7</v>
      </c>
      <c r="O15" s="1">
        <v>6.3190208014687E-11</v>
      </c>
      <c r="P15" s="1">
        <v>1.22945066205956E-9</v>
      </c>
      <c r="Q15">
        <v>63.397481287138099</v>
      </c>
      <c r="S15">
        <v>22.708951271744599</v>
      </c>
      <c r="AA15">
        <v>3.9421817609874501</v>
      </c>
      <c r="AB15">
        <v>8.4772787919015293</v>
      </c>
      <c r="AC15">
        <v>1.47410688822822</v>
      </c>
      <c r="AJ15">
        <v>0.72919175242399203</v>
      </c>
      <c r="AK15">
        <v>0.187384091081534</v>
      </c>
      <c r="AL15">
        <v>8.34241564944736E-2</v>
      </c>
    </row>
    <row r="16" spans="1:38" x14ac:dyDescent="0.2">
      <c r="A16">
        <v>61</v>
      </c>
      <c r="B16">
        <v>756</v>
      </c>
      <c r="C16">
        <v>200</v>
      </c>
      <c r="D16">
        <v>0.38206335325268598</v>
      </c>
      <c r="E16">
        <v>0.31915913415645197</v>
      </c>
      <c r="F16">
        <v>2.58678571017031</v>
      </c>
      <c r="G16">
        <v>-5.1849893198780599</v>
      </c>
      <c r="H16">
        <v>-4.4956518980496707</v>
      </c>
      <c r="I16">
        <v>0.66981239064119802</v>
      </c>
      <c r="J16">
        <v>0.38865686258676801</v>
      </c>
      <c r="K16">
        <v>0.123380584986855</v>
      </c>
      <c r="L16">
        <v>3.0473035009989853E-5</v>
      </c>
      <c r="M16">
        <v>1.7742448616969816E-6</v>
      </c>
      <c r="N16" s="1">
        <v>-4.2688303377641704E-9</v>
      </c>
      <c r="O16" s="1">
        <v>1.0639718013174099E-12</v>
      </c>
      <c r="P16" s="1">
        <v>1.5113165602238999E-11</v>
      </c>
      <c r="Q16">
        <v>63.509558992929399</v>
      </c>
      <c r="S16">
        <v>22.6517031030941</v>
      </c>
      <c r="AA16">
        <v>3.8687996352304399</v>
      </c>
      <c r="AB16">
        <v>8.5769544330038698</v>
      </c>
      <c r="AC16">
        <v>1.39298383574214</v>
      </c>
      <c r="AJ16">
        <v>0.73740074885707596</v>
      </c>
      <c r="AK16">
        <v>0.18380507570069701</v>
      </c>
      <c r="AL16">
        <v>7.8794175442225306E-2</v>
      </c>
    </row>
    <row r="17" spans="1:38" x14ac:dyDescent="0.2">
      <c r="A17">
        <v>62</v>
      </c>
      <c r="B17">
        <v>755</v>
      </c>
      <c r="C17">
        <v>200</v>
      </c>
      <c r="D17">
        <v>0.38139425181150599</v>
      </c>
      <c r="E17">
        <v>1.16115707392372</v>
      </c>
      <c r="F17">
        <v>2.5857007614944401</v>
      </c>
      <c r="G17">
        <v>-18.856950418185374</v>
      </c>
      <c r="H17">
        <v>-16.352391266019595</v>
      </c>
      <c r="I17">
        <v>2.43598614226112</v>
      </c>
      <c r="J17">
        <v>1.4144689494332801</v>
      </c>
      <c r="K17">
        <v>0.449068620474327</v>
      </c>
      <c r="L17">
        <v>3.0549118025705157E-5</v>
      </c>
      <c r="M17">
        <v>1.7767436797002235E-6</v>
      </c>
      <c r="N17" s="1">
        <v>-1.6045341655023798E-8</v>
      </c>
      <c r="O17" s="1">
        <v>3.8759744925495001E-12</v>
      </c>
      <c r="P17" s="1">
        <v>5.6459633259363502E-11</v>
      </c>
      <c r="Q17">
        <v>63.6173490137976</v>
      </c>
      <c r="S17">
        <v>22.562879604865199</v>
      </c>
      <c r="AA17">
        <v>3.7703680119261298</v>
      </c>
      <c r="AB17">
        <v>8.5842963665891201</v>
      </c>
      <c r="AC17">
        <v>1.46510700282183</v>
      </c>
      <c r="AJ17">
        <v>0.73800656421217803</v>
      </c>
      <c r="AK17">
        <v>0.17912246380461699</v>
      </c>
      <c r="AL17">
        <v>8.2870971983203701E-2</v>
      </c>
    </row>
    <row r="18" spans="1:38" x14ac:dyDescent="0.2">
      <c r="A18">
        <v>63</v>
      </c>
      <c r="B18">
        <v>754</v>
      </c>
      <c r="C18">
        <v>200</v>
      </c>
      <c r="D18">
        <v>0.38072384753930699</v>
      </c>
      <c r="E18">
        <v>2.0136231463527299</v>
      </c>
      <c r="F18">
        <v>2.5845735582685498</v>
      </c>
      <c r="G18">
        <v>-32.688062836302713</v>
      </c>
      <c r="H18">
        <v>-28.350653447143468</v>
      </c>
      <c r="I18">
        <v>4.22276141669595</v>
      </c>
      <c r="J18">
        <v>2.4536849322559999</v>
      </c>
      <c r="K18">
        <v>0.77909299192153203</v>
      </c>
      <c r="L18">
        <v>3.0623192734503997E-5</v>
      </c>
      <c r="M18">
        <v>1.7792081188571383E-6</v>
      </c>
      <c r="N18" s="1">
        <v>-2.8730729155704998E-8</v>
      </c>
      <c r="O18" s="1">
        <v>6.7306111927687697E-12</v>
      </c>
      <c r="P18" s="1">
        <v>1.0050317876586E-10</v>
      </c>
      <c r="Q18">
        <v>63.725066802665602</v>
      </c>
      <c r="S18">
        <v>22.472506428728899</v>
      </c>
      <c r="AA18">
        <v>3.67067474283051</v>
      </c>
      <c r="AB18">
        <v>8.5874146529284001</v>
      </c>
      <c r="AC18">
        <v>1.5443373728465399</v>
      </c>
      <c r="AJ18">
        <v>0.73826477396151102</v>
      </c>
      <c r="AK18">
        <v>0.17438390826264799</v>
      </c>
      <c r="AL18">
        <v>8.7351317775840306E-2</v>
      </c>
    </row>
    <row r="19" spans="1:38" x14ac:dyDescent="0.2">
      <c r="A19">
        <v>64</v>
      </c>
      <c r="B19">
        <v>753</v>
      </c>
      <c r="C19">
        <v>200</v>
      </c>
      <c r="D19">
        <v>0.380052136627202</v>
      </c>
      <c r="E19">
        <v>2.8803094743842101</v>
      </c>
      <c r="F19">
        <v>2.58339057469759</v>
      </c>
      <c r="G19">
        <v>-46.737885878528296</v>
      </c>
      <c r="H19">
        <v>-40.542059726015808</v>
      </c>
      <c r="I19">
        <v>6.0379341738658798</v>
      </c>
      <c r="J19">
        <v>3.5108376491620001</v>
      </c>
      <c r="K19">
        <v>1.1149338015686501</v>
      </c>
      <c r="L19">
        <v>3.0694884039300329E-5</v>
      </c>
      <c r="M19">
        <v>1.781643779812123E-6</v>
      </c>
      <c r="N19" s="1">
        <v>-4.2406883690973701E-8</v>
      </c>
      <c r="O19" s="1">
        <v>9.6412393504905406E-12</v>
      </c>
      <c r="P19" s="1">
        <v>1.4750802471700399E-10</v>
      </c>
      <c r="Q19">
        <v>63.833261048605998</v>
      </c>
      <c r="S19">
        <v>22.3798489667392</v>
      </c>
      <c r="AA19">
        <v>3.5689857397724198</v>
      </c>
      <c r="AB19">
        <v>8.5856061459650803</v>
      </c>
      <c r="AC19">
        <v>1.63229809891724</v>
      </c>
      <c r="AJ19">
        <v>0.73811755261173495</v>
      </c>
      <c r="AK19">
        <v>0.169554833302792</v>
      </c>
      <c r="AL19">
        <v>9.2327614085472506E-2</v>
      </c>
    </row>
    <row r="20" spans="1:38" x14ac:dyDescent="0.2">
      <c r="A20">
        <v>65</v>
      </c>
      <c r="B20">
        <v>752</v>
      </c>
      <c r="C20">
        <v>200</v>
      </c>
      <c r="D20">
        <v>0.37937911525142798</v>
      </c>
      <c r="E20">
        <v>6.0292629239899602</v>
      </c>
      <c r="F20">
        <v>2.5841731446144398</v>
      </c>
      <c r="G20">
        <v>-97.829708888428996</v>
      </c>
      <c r="H20">
        <v>-84.882038208030949</v>
      </c>
      <c r="I20">
        <v>12.630025538114401</v>
      </c>
      <c r="J20">
        <v>7.3505240706380803</v>
      </c>
      <c r="K20">
        <v>2.3331497491006901</v>
      </c>
      <c r="L20">
        <v>3.0690409810170769E-5</v>
      </c>
      <c r="M20">
        <v>1.7799934383258375E-6</v>
      </c>
      <c r="N20" s="1">
        <v>-9.1282230394989804E-8</v>
      </c>
      <c r="O20" s="1">
        <v>2.0130383839276201E-11</v>
      </c>
      <c r="P20" s="1">
        <v>3.1599645582293198E-10</v>
      </c>
      <c r="Q20">
        <v>63.753569888664998</v>
      </c>
      <c r="S20">
        <v>22.437841629586199</v>
      </c>
      <c r="AA20">
        <v>3.6354251231428698</v>
      </c>
      <c r="AB20">
        <v>8.5600539741199206</v>
      </c>
      <c r="AC20">
        <v>1.6131093844858899</v>
      </c>
      <c r="AJ20">
        <v>0.73601333801770796</v>
      </c>
      <c r="AK20">
        <v>0.172732944416571</v>
      </c>
      <c r="AL20">
        <v>9.1253717565719997E-2</v>
      </c>
    </row>
    <row r="21" spans="1:38" x14ac:dyDescent="0.2">
      <c r="A21">
        <v>66</v>
      </c>
      <c r="B21">
        <v>751</v>
      </c>
      <c r="C21">
        <v>200</v>
      </c>
      <c r="D21">
        <v>0.378704779573308</v>
      </c>
      <c r="E21">
        <v>15.1476010014916</v>
      </c>
      <c r="F21">
        <v>2.586614593727</v>
      </c>
      <c r="G21">
        <v>-245.82144235127078</v>
      </c>
      <c r="H21">
        <v>-213.35810224548925</v>
      </c>
      <c r="I21">
        <v>31.697837334161498</v>
      </c>
      <c r="J21">
        <v>18.465457875093801</v>
      </c>
      <c r="K21">
        <v>5.8561492068540897</v>
      </c>
      <c r="L21">
        <v>3.0592085223892065E-5</v>
      </c>
      <c r="M21">
        <v>1.7741966529906243E-6</v>
      </c>
      <c r="N21" s="1">
        <v>-2.3417894460304299E-7</v>
      </c>
      <c r="O21" s="1">
        <v>5.0279389343528802E-11</v>
      </c>
      <c r="P21" s="1">
        <v>8.07844073877174E-10</v>
      </c>
      <c r="Q21">
        <v>63.492445126453802</v>
      </c>
      <c r="S21">
        <v>22.631062302468202</v>
      </c>
      <c r="AA21">
        <v>3.8557640501497201</v>
      </c>
      <c r="AB21">
        <v>8.4847045568440596</v>
      </c>
      <c r="AC21">
        <v>1.5360239640841</v>
      </c>
      <c r="AJ21">
        <v>0.72980486766785002</v>
      </c>
      <c r="AK21">
        <v>0.183269954211318</v>
      </c>
      <c r="AL21">
        <v>8.6925178120831406E-2</v>
      </c>
    </row>
    <row r="22" spans="1:38" x14ac:dyDescent="0.2">
      <c r="A22">
        <v>67</v>
      </c>
      <c r="B22">
        <v>750</v>
      </c>
      <c r="C22">
        <v>200</v>
      </c>
      <c r="D22">
        <v>0.37802912573913899</v>
      </c>
      <c r="E22">
        <v>18.2493878004301</v>
      </c>
      <c r="F22">
        <v>2.5876264605714199</v>
      </c>
      <c r="G22">
        <v>-296.15586937758678</v>
      </c>
      <c r="H22">
        <v>-257.1128394597859</v>
      </c>
      <c r="I22">
        <v>38.159634381860698</v>
      </c>
      <c r="J22">
        <v>22.250918915501099</v>
      </c>
      <c r="K22">
        <v>7.0525588134541399</v>
      </c>
      <c r="L22">
        <v>3.0579784549031914E-5</v>
      </c>
      <c r="M22">
        <v>1.772040981711301E-6</v>
      </c>
      <c r="N22" s="1">
        <v>-2.9005149540857402E-7</v>
      </c>
      <c r="O22" s="1">
        <v>6.0387111300979299E-11</v>
      </c>
      <c r="P22" s="1">
        <v>9.9600278301833703E-10</v>
      </c>
      <c r="Q22">
        <v>63.389951772823203</v>
      </c>
      <c r="S22">
        <v>22.707424127209102</v>
      </c>
      <c r="AA22">
        <v>3.9426787603392799</v>
      </c>
      <c r="AB22">
        <v>8.4564960650249308</v>
      </c>
      <c r="AC22">
        <v>1.50344927460345</v>
      </c>
      <c r="AJ22">
        <v>0.727479355583877</v>
      </c>
      <c r="AK22">
        <v>0.18742710879302699</v>
      </c>
      <c r="AL22">
        <v>8.5093535623095795E-2</v>
      </c>
    </row>
    <row r="23" spans="1:38" x14ac:dyDescent="0.2">
      <c r="A23">
        <v>68</v>
      </c>
      <c r="B23">
        <v>749</v>
      </c>
      <c r="C23">
        <v>200</v>
      </c>
      <c r="D23">
        <v>0.37735214988015597</v>
      </c>
      <c r="E23">
        <v>19.1174774904486</v>
      </c>
      <c r="F23">
        <v>2.58797730233819</v>
      </c>
      <c r="G23">
        <v>-310.21781740052415</v>
      </c>
      <c r="H23">
        <v>-269.38290002409019</v>
      </c>
      <c r="I23">
        <v>39.950024337361299</v>
      </c>
      <c r="J23">
        <v>23.317299534128999</v>
      </c>
      <c r="K23">
        <v>7.3870344508726102</v>
      </c>
      <c r="L23">
        <v>3.0610077094997954E-5</v>
      </c>
      <c r="M23">
        <v>1.7716264401050786E-6</v>
      </c>
      <c r="N23" s="1">
        <v>-3.1343834190189802E-7</v>
      </c>
      <c r="O23" s="1">
        <v>6.3142485593696097E-11</v>
      </c>
      <c r="P23" s="1">
        <v>1.07087961697155E-9</v>
      </c>
      <c r="Q23">
        <v>63.3625077128629</v>
      </c>
      <c r="S23">
        <v>22.728924685070002</v>
      </c>
      <c r="AA23">
        <v>3.9668206369300201</v>
      </c>
      <c r="AB23">
        <v>8.4517049565908593</v>
      </c>
      <c r="AC23">
        <v>1.4900420085460899</v>
      </c>
      <c r="AJ23">
        <v>0.72708416515558005</v>
      </c>
      <c r="AK23">
        <v>0.18857916698636101</v>
      </c>
      <c r="AL23">
        <v>8.4336667858057199E-2</v>
      </c>
    </row>
    <row r="24" spans="1:38" x14ac:dyDescent="0.2">
      <c r="A24">
        <v>70</v>
      </c>
      <c r="B24">
        <v>764</v>
      </c>
      <c r="C24">
        <v>175</v>
      </c>
      <c r="D24">
        <v>0.41388468398978101</v>
      </c>
      <c r="E24">
        <v>9.40492422789376E-2</v>
      </c>
      <c r="F24">
        <v>2.5852863004181401</v>
      </c>
      <c r="G24">
        <v>-1.5305890869970564</v>
      </c>
      <c r="H24">
        <v>-1.324932120786128</v>
      </c>
      <c r="I24">
        <v>0.198290475062361</v>
      </c>
      <c r="J24">
        <v>0.114285987274729</v>
      </c>
      <c r="K24">
        <v>3.6378656500723403E-2</v>
      </c>
      <c r="L24">
        <v>3.0192872954338066E-5</v>
      </c>
      <c r="M24">
        <v>1.7742357097159789E-6</v>
      </c>
      <c r="N24" s="1">
        <v>-9.6015290762164209E-10</v>
      </c>
      <c r="O24" s="1">
        <v>3.15921150296442E-13</v>
      </c>
      <c r="P24" s="1">
        <v>3.5921476596380101E-12</v>
      </c>
      <c r="Q24">
        <v>63.499861879553599</v>
      </c>
      <c r="S24">
        <v>22.667621727594</v>
      </c>
      <c r="AA24">
        <v>3.8841953522747299</v>
      </c>
      <c r="AB24">
        <v>8.5970776794732604</v>
      </c>
      <c r="AC24">
        <v>1.35124336110432</v>
      </c>
      <c r="AJ24">
        <v>0.73905657613876596</v>
      </c>
      <c r="AK24">
        <v>0.18451797910316201</v>
      </c>
      <c r="AL24">
        <v>7.6425444758070796E-2</v>
      </c>
    </row>
    <row r="25" spans="1:38" x14ac:dyDescent="0.2">
      <c r="A25">
        <v>71</v>
      </c>
      <c r="B25">
        <v>763</v>
      </c>
      <c r="C25">
        <v>175</v>
      </c>
      <c r="D25">
        <v>0.41325145973073701</v>
      </c>
      <c r="E25">
        <v>0.41104999261012198</v>
      </c>
      <c r="F25">
        <v>2.5848656376778298</v>
      </c>
      <c r="G25">
        <v>-6.6881931419143914</v>
      </c>
      <c r="H25">
        <v>-5.7906311204425567</v>
      </c>
      <c r="I25">
        <v>0.86624718570847203</v>
      </c>
      <c r="J25">
        <v>0.49963057642112901</v>
      </c>
      <c r="K25">
        <v>0.159021802378632</v>
      </c>
      <c r="L25">
        <v>3.0245259414699665E-5</v>
      </c>
      <c r="M25">
        <v>1.7755705687959293E-6</v>
      </c>
      <c r="N25" s="1">
        <v>-4.3373151320190396E-9</v>
      </c>
      <c r="O25" s="1">
        <v>1.38100848714485E-12</v>
      </c>
      <c r="P25" s="1">
        <v>1.6107011338339501E-11</v>
      </c>
      <c r="Q25">
        <v>63.552250043876001</v>
      </c>
      <c r="S25">
        <v>22.627476912340899</v>
      </c>
      <c r="AA25">
        <v>3.8388514066883901</v>
      </c>
      <c r="AB25">
        <v>8.6085770423567496</v>
      </c>
      <c r="AC25">
        <v>1.3728445947377701</v>
      </c>
      <c r="AJ25">
        <v>0.74000350507432</v>
      </c>
      <c r="AK25">
        <v>0.182353665903945</v>
      </c>
      <c r="AL25">
        <v>7.7642829021734E-2</v>
      </c>
    </row>
    <row r="26" spans="1:38" x14ac:dyDescent="0.2">
      <c r="A26">
        <v>72</v>
      </c>
      <c r="B26">
        <v>762</v>
      </c>
      <c r="C26">
        <v>175</v>
      </c>
      <c r="D26">
        <v>0.41261701202724399</v>
      </c>
      <c r="E26">
        <v>0.93420306853149704</v>
      </c>
      <c r="F26">
        <v>2.5842061202129201</v>
      </c>
      <c r="G26">
        <v>-15.196388231305987</v>
      </c>
      <c r="H26">
        <v>-13.159316934946801</v>
      </c>
      <c r="I26">
        <v>1.9678996245560401</v>
      </c>
      <c r="J26">
        <v>1.1358233306552299</v>
      </c>
      <c r="K26">
        <v>0.36150485877439298</v>
      </c>
      <c r="L26">
        <v>3.0303564939321277E-5</v>
      </c>
      <c r="M26">
        <v>1.7773058148362411E-6</v>
      </c>
      <c r="N26" s="1">
        <v>-1.01857498731122E-8</v>
      </c>
      <c r="O26" s="1">
        <v>3.14067368384382E-12</v>
      </c>
      <c r="P26" s="1">
        <v>3.7553628136561699E-11</v>
      </c>
      <c r="Q26">
        <v>63.624145582928001</v>
      </c>
      <c r="S26">
        <v>22.5700180969508</v>
      </c>
      <c r="AA26">
        <v>3.7746714544975402</v>
      </c>
      <c r="AB26">
        <v>8.6181566415485999</v>
      </c>
      <c r="AC26">
        <v>1.41300822407486</v>
      </c>
      <c r="AJ26">
        <v>0.74079268790916597</v>
      </c>
      <c r="AK26">
        <v>0.179296681135205</v>
      </c>
      <c r="AL26">
        <v>7.9910630955628503E-2</v>
      </c>
    </row>
    <row r="27" spans="1:38" x14ac:dyDescent="0.2">
      <c r="A27">
        <v>73</v>
      </c>
      <c r="B27">
        <v>761</v>
      </c>
      <c r="C27">
        <v>175</v>
      </c>
      <c r="D27">
        <v>0.411981337330175</v>
      </c>
      <c r="E27">
        <v>1.75949096604334</v>
      </c>
      <c r="F27">
        <v>2.5831766029884502</v>
      </c>
      <c r="G27">
        <v>-28.610723810285172</v>
      </c>
      <c r="H27">
        <v>-24.779249598273566</v>
      </c>
      <c r="I27">
        <v>3.7049501639139399</v>
      </c>
      <c r="J27">
        <v>2.1397498402126902</v>
      </c>
      <c r="K27">
        <v>0.68113460148555105</v>
      </c>
      <c r="L27">
        <v>3.0368822532236344E-5</v>
      </c>
      <c r="M27">
        <v>1.7796128074082932E-6</v>
      </c>
      <c r="N27" s="1">
        <v>-1.9810233335000599E-8</v>
      </c>
      <c r="O27" s="1">
        <v>5.9233098090003002E-12</v>
      </c>
      <c r="P27" s="1">
        <v>7.2530360248806799E-11</v>
      </c>
      <c r="Q27">
        <v>63.724715591439903</v>
      </c>
      <c r="S27">
        <v>22.486409126221702</v>
      </c>
      <c r="AA27">
        <v>3.6822265609525102</v>
      </c>
      <c r="AB27">
        <v>8.6230797264947796</v>
      </c>
      <c r="AC27">
        <v>1.4835689948909501</v>
      </c>
      <c r="AJ27">
        <v>0.74119917854267903</v>
      </c>
      <c r="AK27">
        <v>0.174901616963267</v>
      </c>
      <c r="AL27">
        <v>8.3899204494053206E-2</v>
      </c>
    </row>
    <row r="28" spans="1:38" x14ac:dyDescent="0.2">
      <c r="A28">
        <v>74</v>
      </c>
      <c r="B28">
        <v>760</v>
      </c>
      <c r="C28">
        <v>175</v>
      </c>
      <c r="D28">
        <v>0.41134443207665999</v>
      </c>
      <c r="E28">
        <v>2.59396394094078</v>
      </c>
      <c r="F28">
        <v>2.5821090255189398</v>
      </c>
      <c r="G28">
        <v>-42.163801306813177</v>
      </c>
      <c r="H28">
        <v>-36.522842484164805</v>
      </c>
      <c r="I28">
        <v>5.45996111179244</v>
      </c>
      <c r="J28">
        <v>3.1553031149752102</v>
      </c>
      <c r="K28">
        <v>1.0045911753937</v>
      </c>
      <c r="L28">
        <v>3.0432075977453054E-5</v>
      </c>
      <c r="M28">
        <v>1.7818836517458584E-6</v>
      </c>
      <c r="N28" s="1">
        <v>-3.0141612708718199E-8</v>
      </c>
      <c r="O28" s="1">
        <v>8.7448963241138993E-12</v>
      </c>
      <c r="P28" s="1">
        <v>1.0961867715264901E-10</v>
      </c>
      <c r="Q28">
        <v>63.825043153150098</v>
      </c>
      <c r="S28">
        <v>22.401478960295599</v>
      </c>
      <c r="AA28">
        <v>3.5887482394886301</v>
      </c>
      <c r="AB28">
        <v>8.6239988467667192</v>
      </c>
      <c r="AC28">
        <v>1.56073080029885</v>
      </c>
      <c r="AJ28">
        <v>0.74127628117194699</v>
      </c>
      <c r="AK28">
        <v>0.170461064856165</v>
      </c>
      <c r="AL28">
        <v>8.8262653971886401E-2</v>
      </c>
    </row>
    <row r="29" spans="1:38" x14ac:dyDescent="0.2">
      <c r="A29">
        <v>75</v>
      </c>
      <c r="B29">
        <v>759</v>
      </c>
      <c r="C29">
        <v>175</v>
      </c>
      <c r="D29">
        <v>0.41070629269001901</v>
      </c>
      <c r="E29">
        <v>3.44102620674163</v>
      </c>
      <c r="F29">
        <v>2.5809916450022601</v>
      </c>
      <c r="G29">
        <v>-55.909707528333449</v>
      </c>
      <c r="H29">
        <v>-48.436912060132137</v>
      </c>
      <c r="I29">
        <v>7.2400285503088702</v>
      </c>
      <c r="J29">
        <v>4.1865801420048498</v>
      </c>
      <c r="K29">
        <v>1.3332186539250099</v>
      </c>
      <c r="L29">
        <v>3.0493006736018208E-5</v>
      </c>
      <c r="M29">
        <v>1.7841228937701987E-6</v>
      </c>
      <c r="N29" s="1">
        <v>-4.1239035225047202E-8</v>
      </c>
      <c r="O29" s="1">
        <v>1.16176779969058E-11</v>
      </c>
      <c r="P29" s="1">
        <v>1.4901539020227599E-10</v>
      </c>
      <c r="Q29">
        <v>63.925591158877602</v>
      </c>
      <c r="S29">
        <v>22.314595790848902</v>
      </c>
      <c r="AA29">
        <v>3.4936072325254099</v>
      </c>
      <c r="AB29">
        <v>8.6202891620744904</v>
      </c>
      <c r="AC29">
        <v>1.6459166556735501</v>
      </c>
      <c r="AJ29">
        <v>0.74097260761477901</v>
      </c>
      <c r="AK29">
        <v>0.16594538817601401</v>
      </c>
      <c r="AL29">
        <v>9.3082004209205801E-2</v>
      </c>
    </row>
    <row r="30" spans="1:38" x14ac:dyDescent="0.2">
      <c r="A30">
        <v>76</v>
      </c>
      <c r="B30">
        <v>758</v>
      </c>
      <c r="C30">
        <v>175</v>
      </c>
      <c r="D30">
        <v>0.41006691557969399</v>
      </c>
      <c r="E30">
        <v>4.3776868360102403</v>
      </c>
      <c r="F30">
        <v>2.57988949065094</v>
      </c>
      <c r="G30">
        <v>-71.098546954121232</v>
      </c>
      <c r="H30">
        <v>-61.604830002665288</v>
      </c>
      <c r="I30">
        <v>9.2069213513610606</v>
      </c>
      <c r="J30">
        <v>5.3272066373780902</v>
      </c>
      <c r="K30">
        <v>1.6968505247508401</v>
      </c>
      <c r="L30">
        <v>3.0548199889834902E-5</v>
      </c>
      <c r="M30">
        <v>1.7861743569128475E-6</v>
      </c>
      <c r="N30" s="1">
        <v>-5.4062907620915999E-8</v>
      </c>
      <c r="O30" s="1">
        <v>1.4800907687691301E-11</v>
      </c>
      <c r="P30" s="1">
        <v>1.9416009906889E-10</v>
      </c>
      <c r="Q30">
        <v>64.019445753379202</v>
      </c>
      <c r="S30">
        <v>22.230992295706098</v>
      </c>
      <c r="AA30">
        <v>3.4027338064488699</v>
      </c>
      <c r="AB30">
        <v>8.6102616619265007</v>
      </c>
      <c r="AC30">
        <v>1.73656648253919</v>
      </c>
      <c r="AJ30">
        <v>0.74014905147134902</v>
      </c>
      <c r="AK30">
        <v>0.161637305988063</v>
      </c>
      <c r="AL30">
        <v>9.8213642540587204E-2</v>
      </c>
    </row>
    <row r="31" spans="1:38" x14ac:dyDescent="0.2">
      <c r="A31">
        <v>77</v>
      </c>
      <c r="B31">
        <v>757</v>
      </c>
      <c r="C31">
        <v>175</v>
      </c>
      <c r="D31">
        <v>0.40942629714119499</v>
      </c>
      <c r="E31">
        <v>7.2319657551574403</v>
      </c>
      <c r="F31">
        <v>2.5813165703216501</v>
      </c>
      <c r="G31">
        <v>-117.46194011921247</v>
      </c>
      <c r="H31">
        <v>-101.80610900373497</v>
      </c>
      <c r="I31">
        <v>15.197622788406999</v>
      </c>
      <c r="J31">
        <v>8.8013460496101406</v>
      </c>
      <c r="K31">
        <v>2.8016578200078199</v>
      </c>
      <c r="L31">
        <v>3.0512201550603483E-5</v>
      </c>
      <c r="M31">
        <v>1.7831683625074483E-6</v>
      </c>
      <c r="N31" s="1">
        <v>-9.1680852770976394E-8</v>
      </c>
      <c r="O31" s="1">
        <v>2.43631380203311E-11</v>
      </c>
      <c r="P31" s="1">
        <v>3.2760935216255098E-10</v>
      </c>
      <c r="Q31">
        <v>63.878126813249999</v>
      </c>
      <c r="S31">
        <v>22.337821446816299</v>
      </c>
      <c r="AA31">
        <v>3.52384379268327</v>
      </c>
      <c r="AB31">
        <v>8.5754064894399509</v>
      </c>
      <c r="AC31">
        <v>1.6848014578103401</v>
      </c>
      <c r="AJ31">
        <v>0.73727881304493503</v>
      </c>
      <c r="AK31">
        <v>0.16741889731145199</v>
      </c>
      <c r="AL31">
        <v>9.5302289643612106E-2</v>
      </c>
    </row>
    <row r="32" spans="1:38" x14ac:dyDescent="0.2">
      <c r="A32">
        <v>78</v>
      </c>
      <c r="B32">
        <v>756</v>
      </c>
      <c r="C32">
        <v>175</v>
      </c>
      <c r="D32">
        <v>0.40878443375601398</v>
      </c>
      <c r="E32">
        <v>15.089109057155699</v>
      </c>
      <c r="F32">
        <v>2.5846767679634302</v>
      </c>
      <c r="G32">
        <v>-245.14583213057176</v>
      </c>
      <c r="H32">
        <v>-212.55200026841553</v>
      </c>
      <c r="I32">
        <v>31.6706329127495</v>
      </c>
      <c r="J32">
        <v>18.358582254699598</v>
      </c>
      <c r="K32">
        <v>5.8379094996257503</v>
      </c>
      <c r="L32">
        <v>3.036020079150714E-5</v>
      </c>
      <c r="M32">
        <v>1.7751505074074335E-6</v>
      </c>
      <c r="N32" s="1">
        <v>-1.9446719988316401E-7</v>
      </c>
      <c r="O32" s="1">
        <v>5.04555502380498E-11</v>
      </c>
      <c r="P32" s="1">
        <v>6.92803336283848E-10</v>
      </c>
      <c r="Q32">
        <v>63.519438782955199</v>
      </c>
      <c r="S32">
        <v>22.604015032012999</v>
      </c>
      <c r="AA32">
        <v>3.82715117436463</v>
      </c>
      <c r="AB32">
        <v>8.4739505371321702</v>
      </c>
      <c r="AC32">
        <v>1.5754444735348301</v>
      </c>
      <c r="AJ32">
        <v>0.72891934898656896</v>
      </c>
      <c r="AK32">
        <v>0.18191979656548299</v>
      </c>
      <c r="AL32">
        <v>8.9160854447946095E-2</v>
      </c>
    </row>
    <row r="33" spans="1:38" x14ac:dyDescent="0.2">
      <c r="A33">
        <v>79</v>
      </c>
      <c r="B33">
        <v>755</v>
      </c>
      <c r="C33">
        <v>175</v>
      </c>
      <c r="D33">
        <v>0.40814132179156798</v>
      </c>
      <c r="E33">
        <v>17.8774975575027</v>
      </c>
      <c r="F33">
        <v>2.58608061972456</v>
      </c>
      <c r="G33">
        <v>-290.45812237013888</v>
      </c>
      <c r="H33">
        <v>-251.91081975486895</v>
      </c>
      <c r="I33">
        <v>37.491905476117203</v>
      </c>
      <c r="J33">
        <v>21.7524798805463</v>
      </c>
      <c r="K33">
        <v>6.9129699287591402</v>
      </c>
      <c r="L33">
        <v>3.0318909309514414E-5</v>
      </c>
      <c r="M33">
        <v>1.771978245492316E-6</v>
      </c>
      <c r="N33" s="1">
        <v>-2.3634091183050401E-7</v>
      </c>
      <c r="O33" s="1">
        <v>5.95603379833278E-11</v>
      </c>
      <c r="P33" s="1">
        <v>8.3797171075874901E-10</v>
      </c>
      <c r="Q33">
        <v>63.373530552389703</v>
      </c>
      <c r="S33">
        <v>22.712387620750999</v>
      </c>
      <c r="AA33">
        <v>3.95060536062919</v>
      </c>
      <c r="AB33">
        <v>8.4329146993780206</v>
      </c>
      <c r="AC33">
        <v>1.53056176685196</v>
      </c>
      <c r="AJ33">
        <v>0.72553582015528295</v>
      </c>
      <c r="AK33">
        <v>0.18782594836612901</v>
      </c>
      <c r="AL33">
        <v>8.6638231478586403E-2</v>
      </c>
    </row>
    <row r="34" spans="1:38" x14ac:dyDescent="0.2">
      <c r="A34">
        <v>80</v>
      </c>
      <c r="B34">
        <v>754</v>
      </c>
      <c r="C34">
        <v>175</v>
      </c>
      <c r="D34">
        <v>0.40749695760112897</v>
      </c>
      <c r="E34">
        <v>18.7350284625951</v>
      </c>
      <c r="F34">
        <v>2.5865788899084601</v>
      </c>
      <c r="G34">
        <v>-304.37037541238823</v>
      </c>
      <c r="H34">
        <v>-264.03942999227064</v>
      </c>
      <c r="I34">
        <v>39.264903295640899</v>
      </c>
      <c r="J34">
        <v>22.801376837510801</v>
      </c>
      <c r="K34">
        <v>7.2431691666895999</v>
      </c>
      <c r="L34">
        <v>3.033324145950928E-5</v>
      </c>
      <c r="M34">
        <v>1.7711568266311458E-6</v>
      </c>
      <c r="N34" s="1">
        <v>-2.5524222331426999E-7</v>
      </c>
      <c r="O34" s="1">
        <v>6.2297414742772002E-11</v>
      </c>
      <c r="P34" s="1">
        <v>8.9995401227708601E-10</v>
      </c>
      <c r="Q34">
        <v>63.329400560737099</v>
      </c>
      <c r="S34">
        <v>22.746119510286899</v>
      </c>
      <c r="AA34">
        <v>3.9887316451397399</v>
      </c>
      <c r="AB34">
        <v>8.4230059129989101</v>
      </c>
      <c r="AC34">
        <v>1.51274237083727</v>
      </c>
      <c r="AJ34">
        <v>0.72471847648125698</v>
      </c>
      <c r="AK34">
        <v>0.18964781226801899</v>
      </c>
      <c r="AL34">
        <v>8.5633711250722E-2</v>
      </c>
    </row>
    <row r="35" spans="1:38" x14ac:dyDescent="0.2">
      <c r="A35">
        <v>83</v>
      </c>
      <c r="B35">
        <v>774</v>
      </c>
      <c r="C35">
        <v>150</v>
      </c>
      <c r="D35">
        <v>0.44641216635630598</v>
      </c>
      <c r="E35">
        <v>0.26394156320134399</v>
      </c>
      <c r="F35">
        <v>2.5831037671461901</v>
      </c>
      <c r="G35">
        <v>-4.3035362322098463</v>
      </c>
      <c r="H35">
        <v>-3.7174755403244601</v>
      </c>
      <c r="I35">
        <v>0.55967215001230497</v>
      </c>
      <c r="J35">
        <v>0.32016044082271</v>
      </c>
      <c r="K35">
        <v>0.10218000784883099</v>
      </c>
      <c r="L35">
        <v>2.9943240199769676E-5</v>
      </c>
      <c r="M35">
        <v>1.7749873577690595E-6</v>
      </c>
      <c r="N35" s="1">
        <v>-1.9284133408863798E-9</v>
      </c>
      <c r="O35" s="1">
        <v>8.9379020525878397E-13</v>
      </c>
      <c r="P35" s="1">
        <v>7.8500118158315093E-12</v>
      </c>
      <c r="Q35">
        <v>63.532153047150601</v>
      </c>
      <c r="S35">
        <v>22.645127005494199</v>
      </c>
      <c r="AA35">
        <v>3.8581022737047102</v>
      </c>
      <c r="AB35">
        <v>8.6100639765819906</v>
      </c>
      <c r="AC35">
        <v>1.3545536970684</v>
      </c>
      <c r="AJ35">
        <v>0.740125541118417</v>
      </c>
      <c r="AK35">
        <v>0.18326669146954699</v>
      </c>
      <c r="AL35">
        <v>7.6607767412034899E-2</v>
      </c>
    </row>
    <row r="36" spans="1:38" x14ac:dyDescent="0.2">
      <c r="A36">
        <v>84</v>
      </c>
      <c r="B36">
        <v>773</v>
      </c>
      <c r="C36">
        <v>150</v>
      </c>
      <c r="D36">
        <v>0.44581608755914398</v>
      </c>
      <c r="E36">
        <v>0.56861638229519995</v>
      </c>
      <c r="F36">
        <v>2.58271070193963</v>
      </c>
      <c r="G36">
        <v>-9.2693586109344341</v>
      </c>
      <c r="H36">
        <v>-8.0085728936899141</v>
      </c>
      <c r="I36">
        <v>1.2051672487162599</v>
      </c>
      <c r="J36">
        <v>0.68985472460163</v>
      </c>
      <c r="K36">
        <v>0.22016263062996699</v>
      </c>
      <c r="L36">
        <v>2.9986020209650191E-5</v>
      </c>
      <c r="M36">
        <v>1.7762262249527154E-6</v>
      </c>
      <c r="N36" s="1">
        <v>-4.29559640532965E-9</v>
      </c>
      <c r="O36" s="1">
        <v>1.9261820865483402E-12</v>
      </c>
      <c r="P36" s="1">
        <v>1.7321977177179601E-11</v>
      </c>
      <c r="Q36">
        <v>63.581375617972697</v>
      </c>
      <c r="S36">
        <v>22.6073853592641</v>
      </c>
      <c r="AA36">
        <v>3.8154796151356001</v>
      </c>
      <c r="AB36">
        <v>8.6208092041093707</v>
      </c>
      <c r="AC36">
        <v>1.3749502035180701</v>
      </c>
      <c r="AJ36">
        <v>0.74101026429171402</v>
      </c>
      <c r="AK36">
        <v>0.18123251542697799</v>
      </c>
      <c r="AL36">
        <v>7.7757220281307798E-2</v>
      </c>
    </row>
    <row r="37" spans="1:38" x14ac:dyDescent="0.2">
      <c r="A37">
        <v>85</v>
      </c>
      <c r="B37">
        <v>772</v>
      </c>
      <c r="C37">
        <v>150</v>
      </c>
      <c r="D37">
        <v>0.44521886810505501</v>
      </c>
      <c r="E37">
        <v>0.87355839620137898</v>
      </c>
      <c r="F37">
        <v>2.5823205402372298</v>
      </c>
      <c r="G37">
        <v>-14.237525757724985</v>
      </c>
      <c r="H37">
        <v>-12.303334935666474</v>
      </c>
      <c r="I37">
        <v>1.85063466685022</v>
      </c>
      <c r="J37">
        <v>1.06001162400766</v>
      </c>
      <c r="K37">
        <v>0.33828426122541899</v>
      </c>
      <c r="L37">
        <v>3.0028903915499797E-5</v>
      </c>
      <c r="M37">
        <v>1.7774478338142785E-6</v>
      </c>
      <c r="N37" s="1">
        <v>-6.8222382098028203E-9</v>
      </c>
      <c r="O37" s="1">
        <v>2.9601165365808001E-12</v>
      </c>
      <c r="P37" s="1">
        <v>2.72595295918557E-11</v>
      </c>
      <c r="Q37">
        <v>63.629891205125503</v>
      </c>
      <c r="S37">
        <v>22.570046327598</v>
      </c>
      <c r="AA37">
        <v>3.77335408267846</v>
      </c>
      <c r="AB37">
        <v>8.6310344628595193</v>
      </c>
      <c r="AC37">
        <v>1.39567392173838</v>
      </c>
      <c r="AJ37">
        <v>0.74185211373865001</v>
      </c>
      <c r="AK37">
        <v>0.17922262681110099</v>
      </c>
      <c r="AL37">
        <v>7.8925259450247906E-2</v>
      </c>
    </row>
    <row r="38" spans="1:38" x14ac:dyDescent="0.2">
      <c r="A38">
        <v>86</v>
      </c>
      <c r="B38">
        <v>771</v>
      </c>
      <c r="C38">
        <v>150</v>
      </c>
      <c r="D38">
        <v>0.44462050471675502</v>
      </c>
      <c r="E38">
        <v>1.17872784540152</v>
      </c>
      <c r="F38">
        <v>2.5819332157630499</v>
      </c>
      <c r="G38">
        <v>-19.207374562139854</v>
      </c>
      <c r="H38">
        <v>-16.601192558035628</v>
      </c>
      <c r="I38">
        <v>2.4959842973751099</v>
      </c>
      <c r="J38">
        <v>1.43058848909197</v>
      </c>
      <c r="K38">
        <v>0.45652917674447702</v>
      </c>
      <c r="L38">
        <v>3.0071906444108267E-5</v>
      </c>
      <c r="M38">
        <v>1.7786522885092916E-6</v>
      </c>
      <c r="N38" s="1">
        <v>-9.5148812711448E-9</v>
      </c>
      <c r="O38" s="1">
        <v>3.9953779046896204E-12</v>
      </c>
      <c r="P38" s="1">
        <v>3.7680935845268199E-11</v>
      </c>
      <c r="Q38">
        <v>63.677703033307601</v>
      </c>
      <c r="S38">
        <v>22.5331061328401</v>
      </c>
      <c r="AA38">
        <v>3.7317218072891301</v>
      </c>
      <c r="AB38">
        <v>8.6407370352847597</v>
      </c>
      <c r="AC38">
        <v>1.4167319912782701</v>
      </c>
      <c r="AJ38">
        <v>0.74265087892900095</v>
      </c>
      <c r="AK38">
        <v>0.17723682509889899</v>
      </c>
      <c r="AL38">
        <v>8.0112295972098999E-2</v>
      </c>
    </row>
    <row r="39" spans="1:38" x14ac:dyDescent="0.2">
      <c r="A39">
        <v>87</v>
      </c>
      <c r="B39">
        <v>770</v>
      </c>
      <c r="C39">
        <v>150</v>
      </c>
      <c r="D39">
        <v>0.44402099410439499</v>
      </c>
      <c r="E39">
        <v>1.48408588870682</v>
      </c>
      <c r="F39">
        <v>2.5815486556545602</v>
      </c>
      <c r="G39">
        <v>-24.178256950706597</v>
      </c>
      <c r="H39">
        <v>-20.901589137840968</v>
      </c>
      <c r="I39">
        <v>3.1411281338883401</v>
      </c>
      <c r="J39">
        <v>1.8015439993054601</v>
      </c>
      <c r="K39">
        <v>0.57488201334347</v>
      </c>
      <c r="L39">
        <v>3.0115043583004707E-5</v>
      </c>
      <c r="M39">
        <v>1.7798397063749352E-6</v>
      </c>
      <c r="N39" s="1">
        <v>-1.2380339802651301E-8</v>
      </c>
      <c r="O39" s="1">
        <v>5.0317516054353601E-12</v>
      </c>
      <c r="P39" s="1">
        <v>4.8605222540876803E-11</v>
      </c>
      <c r="Q39">
        <v>63.724814905832297</v>
      </c>
      <c r="S39">
        <v>22.496560503720399</v>
      </c>
      <c r="AA39">
        <v>3.6905783776749601</v>
      </c>
      <c r="AB39">
        <v>8.6499141991751092</v>
      </c>
      <c r="AC39">
        <v>1.4381320135970901</v>
      </c>
      <c r="AJ39">
        <v>0.74340634837388997</v>
      </c>
      <c r="AK39">
        <v>0.17527488432532201</v>
      </c>
      <c r="AL39">
        <v>8.1318767300786701E-2</v>
      </c>
    </row>
    <row r="40" spans="1:38" x14ac:dyDescent="0.2">
      <c r="A40">
        <v>88</v>
      </c>
      <c r="B40">
        <v>769</v>
      </c>
      <c r="C40">
        <v>150</v>
      </c>
      <c r="D40">
        <v>0.44342033296550898</v>
      </c>
      <c r="E40">
        <v>1.78959476903453</v>
      </c>
      <c r="F40">
        <v>2.5811667802165301</v>
      </c>
      <c r="G40">
        <v>-29.149542534854437</v>
      </c>
      <c r="H40">
        <v>-25.203982831773896</v>
      </c>
      <c r="I40">
        <v>3.78598061994966</v>
      </c>
      <c r="J40">
        <v>2.1728383737855501</v>
      </c>
      <c r="K40">
        <v>0.69332783249457297</v>
      </c>
      <c r="L40">
        <v>3.0158331777757833E-5</v>
      </c>
      <c r="M40">
        <v>1.7810102176684186E-6</v>
      </c>
      <c r="N40" s="1">
        <v>-1.5425713425443698E-8</v>
      </c>
      <c r="O40" s="1">
        <v>6.0690246890953602E-12</v>
      </c>
      <c r="P40" s="1">
        <v>6.0052214937539005E-11</v>
      </c>
      <c r="Q40">
        <v>63.7712312013564</v>
      </c>
      <c r="S40">
        <v>22.460404668000201</v>
      </c>
      <c r="AA40">
        <v>3.6499188349904799</v>
      </c>
      <c r="AB40">
        <v>8.6585632010882794</v>
      </c>
      <c r="AC40">
        <v>1.4598820945645401</v>
      </c>
      <c r="AJ40">
        <v>0.74411830742978502</v>
      </c>
      <c r="AK40">
        <v>0.17333655285739299</v>
      </c>
      <c r="AL40">
        <v>8.2545139712821097E-2</v>
      </c>
    </row>
    <row r="41" spans="1:38" x14ac:dyDescent="0.2">
      <c r="A41">
        <v>89</v>
      </c>
      <c r="B41">
        <v>768</v>
      </c>
      <c r="C41">
        <v>150</v>
      </c>
      <c r="D41">
        <v>0.442818517984921</v>
      </c>
      <c r="E41">
        <v>2.59238122138682</v>
      </c>
      <c r="F41">
        <v>2.5801908362972199</v>
      </c>
      <c r="G41">
        <v>-42.210432267586299</v>
      </c>
      <c r="H41">
        <v>-36.502693919634012</v>
      </c>
      <c r="I41">
        <v>5.4821479594220603</v>
      </c>
      <c r="J41">
        <v>3.1480492522771999</v>
      </c>
      <c r="K41">
        <v>1.00472460599352</v>
      </c>
      <c r="L41">
        <v>3.0212383520558435E-5</v>
      </c>
      <c r="M41">
        <v>1.7831004234308442E-6</v>
      </c>
      <c r="N41" s="1">
        <v>-2.3065124197218901E-8</v>
      </c>
      <c r="O41" s="1">
        <v>8.80394627993881E-12</v>
      </c>
      <c r="P41" s="1">
        <v>8.9067805359008602E-11</v>
      </c>
      <c r="Q41">
        <v>63.863753851003501</v>
      </c>
      <c r="S41">
        <v>22.3822818643822</v>
      </c>
      <c r="AA41">
        <v>3.5638778266625999</v>
      </c>
      <c r="AB41">
        <v>8.6599358786184393</v>
      </c>
      <c r="AC41">
        <v>1.53015057933323</v>
      </c>
      <c r="AJ41">
        <v>0.74423256946314298</v>
      </c>
      <c r="AK41">
        <v>0.16924957758752901</v>
      </c>
      <c r="AL41">
        <v>8.6517852949326998E-2</v>
      </c>
    </row>
    <row r="42" spans="1:38" x14ac:dyDescent="0.2">
      <c r="A42">
        <v>90</v>
      </c>
      <c r="B42">
        <v>767</v>
      </c>
      <c r="C42">
        <v>150</v>
      </c>
      <c r="D42">
        <v>0.44221554583473799</v>
      </c>
      <c r="E42">
        <v>3.4089952726161701</v>
      </c>
      <c r="F42">
        <v>2.57917195385805</v>
      </c>
      <c r="G42">
        <v>-55.485833377863912</v>
      </c>
      <c r="H42">
        <v>-47.990353719529175</v>
      </c>
      <c r="I42">
        <v>7.2061526302309602</v>
      </c>
      <c r="J42">
        <v>4.1403131811036804</v>
      </c>
      <c r="K42">
        <v>1.3217402071687501</v>
      </c>
      <c r="L42">
        <v>3.0264515525291422E-5</v>
      </c>
      <c r="M42">
        <v>1.7851645451219121E-6</v>
      </c>
      <c r="N42" s="1">
        <v>-3.1287755250573197E-8</v>
      </c>
      <c r="O42" s="1">
        <v>1.1594248049350899E-11</v>
      </c>
      <c r="P42" s="1">
        <v>1.19883551206634E-10</v>
      </c>
      <c r="Q42">
        <v>63.956495486806503</v>
      </c>
      <c r="S42">
        <v>22.302457887613802</v>
      </c>
      <c r="AA42">
        <v>3.4763822356412999</v>
      </c>
      <c r="AB42">
        <v>8.6573367084745794</v>
      </c>
      <c r="AC42">
        <v>1.6073276814636499</v>
      </c>
      <c r="AJ42">
        <v>0.744020217121654</v>
      </c>
      <c r="AK42">
        <v>0.165096832178593</v>
      </c>
      <c r="AL42">
        <v>9.0882950699751802E-2</v>
      </c>
    </row>
    <row r="43" spans="1:38" x14ac:dyDescent="0.2">
      <c r="A43">
        <v>91</v>
      </c>
      <c r="B43">
        <v>766</v>
      </c>
      <c r="C43">
        <v>150</v>
      </c>
      <c r="D43">
        <v>0.44161141317423203</v>
      </c>
      <c r="E43">
        <v>4.2377699008002097</v>
      </c>
      <c r="F43">
        <v>2.5781049195171799</v>
      </c>
      <c r="G43">
        <v>-68.947350456749277</v>
      </c>
      <c r="H43">
        <v>-59.642396393007274</v>
      </c>
      <c r="I43">
        <v>8.9543897067237701</v>
      </c>
      <c r="J43">
        <v>5.1475570217637401</v>
      </c>
      <c r="K43">
        <v>1.6437538552906601</v>
      </c>
      <c r="L43">
        <v>3.0314314869624069E-5</v>
      </c>
      <c r="M43">
        <v>1.7871969525157628E-6</v>
      </c>
      <c r="N43" s="1">
        <v>-4.0093486890311298E-8</v>
      </c>
      <c r="O43" s="1">
        <v>1.4435054552012701E-11</v>
      </c>
      <c r="P43" s="1">
        <v>1.52481942806114E-10</v>
      </c>
      <c r="Q43">
        <v>64.049406744829398</v>
      </c>
      <c r="S43">
        <v>22.220764260810899</v>
      </c>
      <c r="AA43">
        <v>3.3873045851716701</v>
      </c>
      <c r="AB43">
        <v>8.6502140017158595</v>
      </c>
      <c r="AC43">
        <v>1.6923104074721</v>
      </c>
      <c r="AJ43">
        <v>0.743435851497244</v>
      </c>
      <c r="AK43">
        <v>0.16087245492203001</v>
      </c>
      <c r="AL43">
        <v>9.5691693580725101E-2</v>
      </c>
    </row>
    <row r="44" spans="1:38" x14ac:dyDescent="0.2">
      <c r="A44">
        <v>92</v>
      </c>
      <c r="B44">
        <v>765</v>
      </c>
      <c r="C44">
        <v>150</v>
      </c>
      <c r="D44">
        <v>0.44100611664981298</v>
      </c>
      <c r="E44">
        <v>5.0833768968682396</v>
      </c>
      <c r="F44">
        <v>2.5769742118840799</v>
      </c>
      <c r="G44">
        <v>-82.669285795146763</v>
      </c>
      <c r="H44">
        <v>-71.523039528043569</v>
      </c>
      <c r="I44">
        <v>10.7366433242818</v>
      </c>
      <c r="J44">
        <v>6.1753820531204902</v>
      </c>
      <c r="K44">
        <v>1.97261457775771</v>
      </c>
      <c r="L44">
        <v>3.036136771496891E-5</v>
      </c>
      <c r="M44">
        <v>1.7892032415822034E-6</v>
      </c>
      <c r="N44" s="1">
        <v>-4.9536933434738003E-8</v>
      </c>
      <c r="O44" s="1">
        <v>1.73435532911819E-11</v>
      </c>
      <c r="P44" s="1">
        <v>1.87057611950824E-10</v>
      </c>
      <c r="Q44">
        <v>64.143083629267295</v>
      </c>
      <c r="S44">
        <v>22.1363725827613</v>
      </c>
      <c r="AA44">
        <v>3.2958223663405701</v>
      </c>
      <c r="AB44">
        <v>8.6377241602583297</v>
      </c>
      <c r="AC44">
        <v>1.7869972613723699</v>
      </c>
      <c r="AJ44">
        <v>0.74241001388085504</v>
      </c>
      <c r="AK44">
        <v>0.15653774636788401</v>
      </c>
      <c r="AL44">
        <v>0.101052239751259</v>
      </c>
    </row>
    <row r="45" spans="1:38" x14ac:dyDescent="0.2">
      <c r="A45">
        <v>93</v>
      </c>
      <c r="B45">
        <v>764</v>
      </c>
      <c r="C45">
        <v>150</v>
      </c>
      <c r="D45">
        <v>0.44039965289495597</v>
      </c>
      <c r="E45">
        <v>6.6213485168305297</v>
      </c>
      <c r="F45">
        <v>2.5770514533031599</v>
      </c>
      <c r="G45">
        <v>-107.65743547974246</v>
      </c>
      <c r="H45">
        <v>-93.161685093678258</v>
      </c>
      <c r="I45">
        <v>13.976522572495901</v>
      </c>
      <c r="J45">
        <v>8.0441644198846003</v>
      </c>
      <c r="K45">
        <v>2.5693505297860999</v>
      </c>
      <c r="L45">
        <v>3.0363086084806218E-5</v>
      </c>
      <c r="M45">
        <v>1.78874912524755E-6</v>
      </c>
      <c r="N45" s="1">
        <v>-6.6299467744121796E-8</v>
      </c>
      <c r="O45" s="1">
        <v>2.2573956456886499E-11</v>
      </c>
      <c r="P45" s="1">
        <v>2.48783905117047E-10</v>
      </c>
      <c r="Q45">
        <v>64.122857003806701</v>
      </c>
      <c r="S45">
        <v>22.1431003506789</v>
      </c>
      <c r="AA45">
        <v>3.3060924502949498</v>
      </c>
      <c r="AB45">
        <v>8.6102879281929994</v>
      </c>
      <c r="AC45">
        <v>1.8176622670264</v>
      </c>
      <c r="AJ45">
        <v>0.74015275027975302</v>
      </c>
      <c r="AK45">
        <v>0.15704693571586201</v>
      </c>
      <c r="AL45">
        <v>0.102800314004384</v>
      </c>
    </row>
    <row r="46" spans="1:38" x14ac:dyDescent="0.2">
      <c r="A46">
        <v>94</v>
      </c>
      <c r="B46">
        <v>763</v>
      </c>
      <c r="C46">
        <v>150</v>
      </c>
      <c r="D46">
        <v>0.43979201853014099</v>
      </c>
      <c r="E46">
        <v>8.6317048979833704</v>
      </c>
      <c r="F46">
        <v>2.5785761780210299</v>
      </c>
      <c r="G46">
        <v>-140.35486396657313</v>
      </c>
      <c r="H46">
        <v>-121.49140756488315</v>
      </c>
      <c r="I46">
        <v>18.2053335923273</v>
      </c>
      <c r="J46">
        <v>10.486924564569</v>
      </c>
      <c r="K46">
        <v>3.3474694180289299</v>
      </c>
      <c r="L46">
        <v>3.0320073012222212E-5</v>
      </c>
      <c r="M46">
        <v>1.7855891769971228E-6</v>
      </c>
      <c r="N46" s="1">
        <v>-8.8695415853685198E-8</v>
      </c>
      <c r="O46" s="1">
        <v>2.93221646319147E-11</v>
      </c>
      <c r="P46" s="1">
        <v>3.3092555632721001E-10</v>
      </c>
      <c r="Q46">
        <v>63.974342542059603</v>
      </c>
      <c r="S46">
        <v>22.256193838582401</v>
      </c>
      <c r="AA46">
        <v>3.43404955512597</v>
      </c>
      <c r="AB46">
        <v>8.5758206949125597</v>
      </c>
      <c r="AC46">
        <v>1.7595933693193599</v>
      </c>
      <c r="AJ46">
        <v>0.73731432828224297</v>
      </c>
      <c r="AK46">
        <v>0.16315272424901001</v>
      </c>
      <c r="AL46">
        <v>9.9532947468745497E-2</v>
      </c>
    </row>
    <row r="47" spans="1:38" x14ac:dyDescent="0.2">
      <c r="A47">
        <v>95</v>
      </c>
      <c r="B47">
        <v>762</v>
      </c>
      <c r="C47">
        <v>150</v>
      </c>
      <c r="D47">
        <v>0.439183210162781</v>
      </c>
      <c r="E47">
        <v>15.410175098646</v>
      </c>
      <c r="F47">
        <v>2.5829026755203901</v>
      </c>
      <c r="G47">
        <v>-250.6767733243814</v>
      </c>
      <c r="H47">
        <v>-217.07868208687526</v>
      </c>
      <c r="I47">
        <v>32.457219956050899</v>
      </c>
      <c r="J47">
        <v>18.714345075162999</v>
      </c>
      <c r="K47">
        <v>5.9662236772205199</v>
      </c>
      <c r="L47">
        <v>3.0116200633183235E-5</v>
      </c>
      <c r="M47">
        <v>1.775314789186235E-6</v>
      </c>
      <c r="N47" s="1">
        <v>-1.6022635256069899E-7</v>
      </c>
      <c r="O47" s="1">
        <v>5.1872902548874299E-11</v>
      </c>
      <c r="P47" s="1">
        <v>5.9642732773540497E-10</v>
      </c>
      <c r="Q47">
        <v>63.515613757385701</v>
      </c>
      <c r="S47">
        <v>22.5979029345255</v>
      </c>
      <c r="AA47">
        <v>3.8230011487797699</v>
      </c>
      <c r="AB47">
        <v>8.4494030145498709</v>
      </c>
      <c r="AC47">
        <v>1.61407914475898</v>
      </c>
      <c r="AJ47">
        <v>0.72689671540466005</v>
      </c>
      <c r="AK47">
        <v>0.18174476070017501</v>
      </c>
      <c r="AL47">
        <v>9.1358523895163996E-2</v>
      </c>
    </row>
    <row r="48" spans="1:38" x14ac:dyDescent="0.2">
      <c r="A48">
        <v>96</v>
      </c>
      <c r="B48">
        <v>761</v>
      </c>
      <c r="C48">
        <v>150</v>
      </c>
      <c r="D48">
        <v>0.43857322438717999</v>
      </c>
      <c r="E48">
        <v>17.566135626510398</v>
      </c>
      <c r="F48">
        <v>2.5844889810179201</v>
      </c>
      <c r="G48">
        <v>-285.76461746309542</v>
      </c>
      <c r="H48">
        <v>-247.53599479025411</v>
      </c>
      <c r="I48">
        <v>36.966226053127002</v>
      </c>
      <c r="J48">
        <v>21.332192348882199</v>
      </c>
      <c r="K48">
        <v>6.7967539252544498</v>
      </c>
      <c r="L48">
        <v>3.0059993180933764E-5</v>
      </c>
      <c r="M48">
        <v>1.7716885837561399E-6</v>
      </c>
      <c r="N48" s="1">
        <v>-1.8712963579860501E-7</v>
      </c>
      <c r="O48" s="1">
        <v>5.8903515773846196E-11</v>
      </c>
      <c r="P48" s="1">
        <v>6.92921422047882E-10</v>
      </c>
      <c r="Q48">
        <v>63.350455998729302</v>
      </c>
      <c r="S48">
        <v>22.7207160820771</v>
      </c>
      <c r="AA48">
        <v>3.9628605581471801</v>
      </c>
      <c r="AB48">
        <v>8.4033284378942792</v>
      </c>
      <c r="AC48">
        <v>1.5626389231519899</v>
      </c>
      <c r="AJ48">
        <v>0.72309669078164396</v>
      </c>
      <c r="AK48">
        <v>0.188436321363849</v>
      </c>
      <c r="AL48">
        <v>8.8466987854505602E-2</v>
      </c>
    </row>
    <row r="49" spans="1:38" x14ac:dyDescent="0.2">
      <c r="A49">
        <v>97</v>
      </c>
      <c r="B49">
        <v>760</v>
      </c>
      <c r="C49">
        <v>150</v>
      </c>
      <c r="D49">
        <v>0.43796205778444602</v>
      </c>
      <c r="E49">
        <v>18.3412044557044</v>
      </c>
      <c r="F49">
        <v>2.5851150883797098</v>
      </c>
      <c r="G49">
        <v>-298.35794646610088</v>
      </c>
      <c r="H49">
        <v>-258.50772912879489</v>
      </c>
      <c r="I49">
        <v>38.571569798486202</v>
      </c>
      <c r="J49">
        <v>22.276835985112001</v>
      </c>
      <c r="K49">
        <v>7.0949276255240896</v>
      </c>
      <c r="L49">
        <v>3.0060407523953992E-5</v>
      </c>
      <c r="M49">
        <v>1.7705201284538921E-6</v>
      </c>
      <c r="N49" s="1">
        <v>-2.0118866102443201E-7</v>
      </c>
      <c r="O49" s="1">
        <v>6.1381468911557694E-11</v>
      </c>
      <c r="P49" s="1">
        <v>7.4029680047143498E-10</v>
      </c>
      <c r="Q49">
        <v>63.292111790406899</v>
      </c>
      <c r="S49">
        <v>22.764931681202999</v>
      </c>
      <c r="AA49">
        <v>4.01295270355316</v>
      </c>
      <c r="AB49">
        <v>8.3892284394678196</v>
      </c>
      <c r="AC49">
        <v>1.5407753853689801</v>
      </c>
      <c r="AJ49">
        <v>0.72193332878643002</v>
      </c>
      <c r="AK49">
        <v>0.19083142925406099</v>
      </c>
      <c r="AL49">
        <v>8.7235241959508006E-2</v>
      </c>
    </row>
    <row r="50" spans="1:38" x14ac:dyDescent="0.2">
      <c r="A50">
        <v>99</v>
      </c>
      <c r="B50">
        <v>787</v>
      </c>
      <c r="C50">
        <v>125</v>
      </c>
      <c r="D50">
        <v>0.479998585105882</v>
      </c>
      <c r="E50">
        <v>0.186929584921189</v>
      </c>
      <c r="F50">
        <v>2.5808556100284799</v>
      </c>
      <c r="G50">
        <v>-3.05485509772417</v>
      </c>
      <c r="H50">
        <v>-2.6316071926273108</v>
      </c>
      <c r="I50">
        <v>0.39923398113178199</v>
      </c>
      <c r="J50">
        <v>0.22645005974244201</v>
      </c>
      <c r="K50">
        <v>7.2429307627607298E-2</v>
      </c>
      <c r="L50">
        <v>2.9713004078233836E-5</v>
      </c>
      <c r="M50">
        <v>1.7752041638652972E-6</v>
      </c>
      <c r="N50" s="1">
        <v>-8.7629333422804202E-10</v>
      </c>
      <c r="O50" s="1">
        <v>6.3749930932707398E-13</v>
      </c>
      <c r="P50" s="1">
        <v>4.1232766937841601E-12</v>
      </c>
      <c r="Q50">
        <v>63.546838459362</v>
      </c>
      <c r="S50">
        <v>22.635683477088399</v>
      </c>
      <c r="AA50">
        <v>3.8468846258988298</v>
      </c>
      <c r="AB50">
        <v>8.6180321928364592</v>
      </c>
      <c r="AC50">
        <v>1.3525612448142199</v>
      </c>
      <c r="AJ50">
        <v>0.74078129945756399</v>
      </c>
      <c r="AK50">
        <v>0.182726632209253</v>
      </c>
      <c r="AL50">
        <v>7.6492068333182006E-2</v>
      </c>
    </row>
    <row r="51" spans="1:38" x14ac:dyDescent="0.2">
      <c r="A51">
        <v>100</v>
      </c>
      <c r="B51">
        <v>786</v>
      </c>
      <c r="C51">
        <v>125</v>
      </c>
      <c r="D51">
        <v>0.47944153330501299</v>
      </c>
      <c r="E51">
        <v>0.47973690615398201</v>
      </c>
      <c r="F51">
        <v>2.5804885344948199</v>
      </c>
      <c r="G51">
        <v>-7.8384494669115377</v>
      </c>
      <c r="H51">
        <v>-6.7537370111547901</v>
      </c>
      <c r="I51">
        <v>1.02413487773851</v>
      </c>
      <c r="J51">
        <v>0.58122183927131899</v>
      </c>
      <c r="K51">
        <v>0.18590933450820299</v>
      </c>
      <c r="L51">
        <v>2.9747228950110838E-5</v>
      </c>
      <c r="M51">
        <v>1.7763575165806469E-6</v>
      </c>
      <c r="N51" s="1">
        <v>-2.3300610616976499E-9</v>
      </c>
      <c r="O51" s="1">
        <v>1.6368653341137401E-12</v>
      </c>
      <c r="P51" s="1">
        <v>1.0819650122643801E-11</v>
      </c>
      <c r="Q51">
        <v>63.593214883328997</v>
      </c>
      <c r="S51">
        <v>22.600149186234201</v>
      </c>
      <c r="AA51">
        <v>3.8067471675757099</v>
      </c>
      <c r="AB51">
        <v>8.6282218037951104</v>
      </c>
      <c r="AC51">
        <v>1.3716669590658901</v>
      </c>
      <c r="AJ51">
        <v>0.74162020723063604</v>
      </c>
      <c r="AK51">
        <v>0.18081109546131899</v>
      </c>
      <c r="AL51">
        <v>7.7568697308043499E-2</v>
      </c>
    </row>
    <row r="52" spans="1:38" x14ac:dyDescent="0.2">
      <c r="A52">
        <v>101</v>
      </c>
      <c r="B52">
        <v>785</v>
      </c>
      <c r="C52">
        <v>125</v>
      </c>
      <c r="D52">
        <v>0.47888342862543298</v>
      </c>
      <c r="E52">
        <v>0.77266216156185896</v>
      </c>
      <c r="F52">
        <v>2.58012433107023</v>
      </c>
      <c r="G52">
        <v>-12.622077125581542</v>
      </c>
      <c r="H52">
        <v>-10.877483257603416</v>
      </c>
      <c r="I52">
        <v>1.6487207560157999</v>
      </c>
      <c r="J52">
        <v>0.93621166696263103</v>
      </c>
      <c r="K52">
        <v>0.29946702655269303</v>
      </c>
      <c r="L52">
        <v>2.9781414529474743E-5</v>
      </c>
      <c r="M52">
        <v>1.7774946615868966E-6</v>
      </c>
      <c r="N52" s="1">
        <v>-3.88683494899279E-9</v>
      </c>
      <c r="O52" s="1">
        <v>2.63754100640348E-12</v>
      </c>
      <c r="P52" s="1">
        <v>1.7818514931823301E-11</v>
      </c>
      <c r="Q52">
        <v>63.638937961428397</v>
      </c>
      <c r="S52">
        <v>22.5649933130546</v>
      </c>
      <c r="AA52">
        <v>3.7670743570352299</v>
      </c>
      <c r="AB52">
        <v>8.6379475396506393</v>
      </c>
      <c r="AC52">
        <v>1.3910468288309701</v>
      </c>
      <c r="AJ52">
        <v>0.74242086805157403</v>
      </c>
      <c r="AK52">
        <v>0.178918229304115</v>
      </c>
      <c r="AL52">
        <v>7.8660902644310804E-2</v>
      </c>
    </row>
    <row r="53" spans="1:38" x14ac:dyDescent="0.2">
      <c r="A53">
        <v>102</v>
      </c>
      <c r="B53">
        <v>784</v>
      </c>
      <c r="C53">
        <v>125</v>
      </c>
      <c r="D53">
        <v>0.47832426807926898</v>
      </c>
      <c r="E53">
        <v>1.0656702190756</v>
      </c>
      <c r="F53">
        <v>2.57976294750957</v>
      </c>
      <c r="G53">
        <v>-17.405153293208311</v>
      </c>
      <c r="H53">
        <v>-15.002344546147102</v>
      </c>
      <c r="I53">
        <v>2.2729118356536002</v>
      </c>
      <c r="J53">
        <v>1.29138012872665</v>
      </c>
      <c r="K53">
        <v>0.41308842740933799</v>
      </c>
      <c r="L53">
        <v>2.9815570760788518E-5</v>
      </c>
      <c r="M53">
        <v>1.7786156919993937E-6</v>
      </c>
      <c r="N53" s="1">
        <v>-5.5504690284542304E-9</v>
      </c>
      <c r="O53" s="1">
        <v>3.6393488308549899E-12</v>
      </c>
      <c r="P53" s="1">
        <v>2.5130624130145201E-11</v>
      </c>
      <c r="Q53">
        <v>63.684010796659202</v>
      </c>
      <c r="S53">
        <v>22.530212653682199</v>
      </c>
      <c r="AA53">
        <v>3.7278628270115099</v>
      </c>
      <c r="AB53">
        <v>8.6472079159145494</v>
      </c>
      <c r="AC53">
        <v>1.4107058067324301</v>
      </c>
      <c r="AJ53">
        <v>0.74318317085240704</v>
      </c>
      <c r="AK53">
        <v>0.177047858854498</v>
      </c>
      <c r="AL53">
        <v>7.9768970293094099E-2</v>
      </c>
    </row>
    <row r="54" spans="1:38" x14ac:dyDescent="0.2">
      <c r="A54">
        <v>103</v>
      </c>
      <c r="B54">
        <v>783</v>
      </c>
      <c r="C54">
        <v>125</v>
      </c>
      <c r="D54">
        <v>0.47776404866733202</v>
      </c>
      <c r="E54">
        <v>1.35872667457605</v>
      </c>
      <c r="F54">
        <v>2.5794043267278899</v>
      </c>
      <c r="G54">
        <v>-22.187105245712271</v>
      </c>
      <c r="H54">
        <v>-19.127829433100558</v>
      </c>
      <c r="I54">
        <v>2.8966300360855102</v>
      </c>
      <c r="J54">
        <v>1.6466888223472</v>
      </c>
      <c r="K54">
        <v>0.52675986486370896</v>
      </c>
      <c r="L54">
        <v>2.9849708035092817E-5</v>
      </c>
      <c r="M54">
        <v>1.7797207112971122E-6</v>
      </c>
      <c r="N54" s="1">
        <v>-7.3249646732122304E-9</v>
      </c>
      <c r="O54" s="1">
        <v>4.6421126545146502E-12</v>
      </c>
      <c r="P54" s="1">
        <v>3.2767147212860398E-11</v>
      </c>
      <c r="Q54">
        <v>63.728436947192101</v>
      </c>
      <c r="S54">
        <v>22.495803628471499</v>
      </c>
      <c r="AA54">
        <v>3.6891087940100098</v>
      </c>
      <c r="AB54">
        <v>8.6560014772739304</v>
      </c>
      <c r="AC54">
        <v>1.43064915305228</v>
      </c>
      <c r="AJ54">
        <v>0.74390700648460295</v>
      </c>
      <c r="AK54">
        <v>0.17519978972577299</v>
      </c>
      <c r="AL54">
        <v>8.08932037896226E-2</v>
      </c>
    </row>
    <row r="55" spans="1:38" x14ac:dyDescent="0.2">
      <c r="A55">
        <v>104</v>
      </c>
      <c r="B55">
        <v>782</v>
      </c>
      <c r="C55">
        <v>125</v>
      </c>
      <c r="D55">
        <v>0.47720276737904699</v>
      </c>
      <c r="E55">
        <v>1.65179796727596</v>
      </c>
      <c r="F55">
        <v>2.5790484067513799</v>
      </c>
      <c r="G55">
        <v>-26.967374165212359</v>
      </c>
      <c r="H55">
        <v>-23.253458016643506</v>
      </c>
      <c r="I55">
        <v>3.5197992215029599</v>
      </c>
      <c r="J55">
        <v>2.0021005025551402</v>
      </c>
      <c r="K55">
        <v>0.64046799701468304</v>
      </c>
      <c r="L55">
        <v>2.988383718974289E-5</v>
      </c>
      <c r="M55">
        <v>1.7808098330586652E-6</v>
      </c>
      <c r="N55" s="1">
        <v>-9.2144779296078108E-9</v>
      </c>
      <c r="O55" s="1">
        <v>5.6456580815716201E-12</v>
      </c>
      <c r="P55" s="1">
        <v>4.0739691387514202E-11</v>
      </c>
      <c r="Q55">
        <v>63.772220418231399</v>
      </c>
      <c r="S55">
        <v>22.461762284312702</v>
      </c>
      <c r="AA55">
        <v>3.6508080621148302</v>
      </c>
      <c r="AB55">
        <v>8.66432678551989</v>
      </c>
      <c r="AC55">
        <v>1.4508824498210899</v>
      </c>
      <c r="AJ55">
        <v>0.74459226672002798</v>
      </c>
      <c r="AK55">
        <v>0.17337380822172499</v>
      </c>
      <c r="AL55">
        <v>8.2033925058245305E-2</v>
      </c>
    </row>
    <row r="56" spans="1:38" x14ac:dyDescent="0.2">
      <c r="A56">
        <v>105</v>
      </c>
      <c r="B56">
        <v>781</v>
      </c>
      <c r="C56">
        <v>125</v>
      </c>
      <c r="D56">
        <v>0.476640421192431</v>
      </c>
      <c r="E56">
        <v>1.94485150120563</v>
      </c>
      <c r="F56">
        <v>2.57869512057523</v>
      </c>
      <c r="G56">
        <v>-31.745417084322856</v>
      </c>
      <c r="H56">
        <v>-27.378763619881514</v>
      </c>
      <c r="I56">
        <v>4.1423454578962602</v>
      </c>
      <c r="J56">
        <v>2.3575792335801098</v>
      </c>
      <c r="K56">
        <v>0.75419986088615099</v>
      </c>
      <c r="L56">
        <v>2.9917969502659691E-5</v>
      </c>
      <c r="M56">
        <v>1.781883180653718E-6</v>
      </c>
      <c r="N56" s="1">
        <v>-1.12233272859375E-8</v>
      </c>
      <c r="O56" s="1">
        <v>6.6498129084240796E-12</v>
      </c>
      <c r="P56" s="1">
        <v>4.9060324055311399E-11</v>
      </c>
      <c r="Q56">
        <v>63.8153656546882</v>
      </c>
      <c r="S56">
        <v>22.428084292519699</v>
      </c>
      <c r="AA56">
        <v>3.6129560229565798</v>
      </c>
      <c r="AB56">
        <v>8.6721823976857593</v>
      </c>
      <c r="AC56">
        <v>1.47141163214966</v>
      </c>
      <c r="AJ56">
        <v>0.74523884244754901</v>
      </c>
      <c r="AK56">
        <v>0.17156968135525899</v>
      </c>
      <c r="AL56">
        <v>8.31914761971915E-2</v>
      </c>
    </row>
    <row r="57" spans="1:38" x14ac:dyDescent="0.2">
      <c r="A57">
        <v>106</v>
      </c>
      <c r="B57">
        <v>780</v>
      </c>
      <c r="C57">
        <v>125</v>
      </c>
      <c r="D57">
        <v>0.47607700707401701</v>
      </c>
      <c r="E57">
        <v>2.2378557654271698</v>
      </c>
      <c r="F57">
        <v>2.5783443960190899</v>
      </c>
      <c r="G57">
        <v>-36.520708804939154</v>
      </c>
      <c r="H57">
        <v>-31.503294453852572</v>
      </c>
      <c r="I57">
        <v>4.7641972663785603</v>
      </c>
      <c r="J57">
        <v>2.7130905403024701</v>
      </c>
      <c r="K57">
        <v>0.86794292061307599</v>
      </c>
      <c r="L57">
        <v>2.9952116688685804E-5</v>
      </c>
      <c r="M57">
        <v>1.7829408869846296E-6</v>
      </c>
      <c r="N57" s="1">
        <v>-1.33560018678534E-8</v>
      </c>
      <c r="O57" s="1">
        <v>7.6544075535268094E-12</v>
      </c>
      <c r="P57" s="1">
        <v>5.7741596453230103E-11</v>
      </c>
      <c r="Q57">
        <v>63.857877535588401</v>
      </c>
      <c r="S57">
        <v>22.394764946192499</v>
      </c>
      <c r="AA57">
        <v>3.5755476548404102</v>
      </c>
      <c r="AB57">
        <v>8.6795668466688305</v>
      </c>
      <c r="AC57">
        <v>1.4922430167096401</v>
      </c>
      <c r="AJ57">
        <v>0.745846622074679</v>
      </c>
      <c r="AK57">
        <v>0.169787156823169</v>
      </c>
      <c r="AL57">
        <v>8.4366221102151404E-2</v>
      </c>
    </row>
    <row r="58" spans="1:38" x14ac:dyDescent="0.2">
      <c r="A58">
        <v>107</v>
      </c>
      <c r="B58">
        <v>779</v>
      </c>
      <c r="C58">
        <v>125</v>
      </c>
      <c r="D58">
        <v>0.475512521978807</v>
      </c>
      <c r="E58">
        <v>2.5307804536936001</v>
      </c>
      <c r="F58">
        <v>2.57799615560522</v>
      </c>
      <c r="G58">
        <v>-41.292743803115059</v>
      </c>
      <c r="H58">
        <v>-35.62661527051177</v>
      </c>
      <c r="I58">
        <v>5.3852858742605898</v>
      </c>
      <c r="J58">
        <v>3.0686015588501498</v>
      </c>
      <c r="K58">
        <v>0.98168511546886394</v>
      </c>
      <c r="L58">
        <v>2.9986290893554169E-5</v>
      </c>
      <c r="M58">
        <v>1.7839830941353648E-6</v>
      </c>
      <c r="N58" s="1">
        <v>-1.5617170077304301E-8</v>
      </c>
      <c r="O58" s="1">
        <v>8.6592754837818907E-12</v>
      </c>
      <c r="P58" s="1">
        <v>6.6796568506603303E-11</v>
      </c>
      <c r="Q58">
        <v>63.899761364752898</v>
      </c>
      <c r="S58">
        <v>22.361799159968399</v>
      </c>
      <c r="AA58">
        <v>3.5385775247158899</v>
      </c>
      <c r="AB58">
        <v>8.6864786198093604</v>
      </c>
      <c r="AC58">
        <v>1.51338333075333</v>
      </c>
      <c r="AJ58">
        <v>0.74641548976184002</v>
      </c>
      <c r="AK58">
        <v>0.16802596311583001</v>
      </c>
      <c r="AL58">
        <v>8.5558547122328701E-2</v>
      </c>
    </row>
    <row r="59" spans="1:38" x14ac:dyDescent="0.2">
      <c r="A59">
        <v>108</v>
      </c>
      <c r="B59">
        <v>778</v>
      </c>
      <c r="C59">
        <v>125</v>
      </c>
      <c r="D59">
        <v>0.47494696285021398</v>
      </c>
      <c r="E59">
        <v>2.8235965879955298</v>
      </c>
      <c r="F59">
        <v>2.5776503164025102</v>
      </c>
      <c r="G59">
        <v>-46.061038191939048</v>
      </c>
      <c r="H59">
        <v>-39.748309067650091</v>
      </c>
      <c r="I59">
        <v>6.0055454733282003</v>
      </c>
      <c r="J59">
        <v>3.4240811920187002</v>
      </c>
      <c r="K59">
        <v>1.09541490947316</v>
      </c>
      <c r="L59">
        <v>3.0020504687251077E-5</v>
      </c>
      <c r="M59">
        <v>1.785009953037584E-6</v>
      </c>
      <c r="N59" s="1">
        <v>-1.80116887196255E-8</v>
      </c>
      <c r="O59" s="1">
        <v>9.6642536531843192E-12</v>
      </c>
      <c r="P59" s="1">
        <v>7.6238835052794201E-11</v>
      </c>
      <c r="Q59">
        <v>63.941022862904802</v>
      </c>
      <c r="S59">
        <v>22.329181467891502</v>
      </c>
      <c r="AA59">
        <v>3.5020397882610901</v>
      </c>
      <c r="AB59">
        <v>8.6929161357188001</v>
      </c>
      <c r="AC59">
        <v>1.5348397452237399</v>
      </c>
      <c r="AJ59">
        <v>0.74694532351319198</v>
      </c>
      <c r="AK59">
        <v>0.166285809537003</v>
      </c>
      <c r="AL59">
        <v>8.6768866949803902E-2</v>
      </c>
    </row>
    <row r="60" spans="1:38" x14ac:dyDescent="0.2">
      <c r="A60">
        <v>109</v>
      </c>
      <c r="B60">
        <v>777</v>
      </c>
      <c r="C60">
        <v>125</v>
      </c>
      <c r="D60">
        <v>0.47438032662001101</v>
      </c>
      <c r="E60">
        <v>3.45603366684024</v>
      </c>
      <c r="F60">
        <v>2.5768991135524901</v>
      </c>
      <c r="G60">
        <v>-56.360276992840689</v>
      </c>
      <c r="H60">
        <v>-48.644260417871621</v>
      </c>
      <c r="I60">
        <v>7.3475375660325302</v>
      </c>
      <c r="J60">
        <v>4.1914059595605604</v>
      </c>
      <c r="K60">
        <v>1.3411598648407199</v>
      </c>
      <c r="L60">
        <v>3.0060619592437141E-5</v>
      </c>
      <c r="M60">
        <v>1.7866169417160206E-6</v>
      </c>
      <c r="N60" s="1">
        <v>-2.2764213872352998E-8</v>
      </c>
      <c r="O60" s="1">
        <v>1.1841918814853799E-11</v>
      </c>
      <c r="P60" s="1">
        <v>9.5399805421864903E-11</v>
      </c>
      <c r="Q60">
        <v>64.012133439835196</v>
      </c>
      <c r="S60">
        <v>22.2686451576098</v>
      </c>
      <c r="AA60">
        <v>3.43550403145364</v>
      </c>
      <c r="AB60">
        <v>8.6926784359506506</v>
      </c>
      <c r="AC60">
        <v>1.59103893515064</v>
      </c>
      <c r="AJ60">
        <v>0.74692685000130099</v>
      </c>
      <c r="AK60">
        <v>0.163126947661592</v>
      </c>
      <c r="AL60">
        <v>8.9946202337106401E-2</v>
      </c>
    </row>
    <row r="61" spans="1:38" x14ac:dyDescent="0.2">
      <c r="A61">
        <v>110</v>
      </c>
      <c r="B61">
        <v>776</v>
      </c>
      <c r="C61">
        <v>125</v>
      </c>
      <c r="D61">
        <v>0.47381261020826598</v>
      </c>
      <c r="E61">
        <v>4.2531664878371398</v>
      </c>
      <c r="F61">
        <v>2.5759280665014401</v>
      </c>
      <c r="G61">
        <v>-69.333405199024298</v>
      </c>
      <c r="H61">
        <v>-59.850663311519384</v>
      </c>
      <c r="I61">
        <v>9.0384996306580607</v>
      </c>
      <c r="J61">
        <v>5.1584825846762898</v>
      </c>
      <c r="K61">
        <v>1.6511200538350701</v>
      </c>
      <c r="L61">
        <v>3.010170859880514E-5</v>
      </c>
      <c r="M61">
        <v>1.7884682913636988E-6</v>
      </c>
      <c r="N61" s="1">
        <v>-2.8896859177652298E-8</v>
      </c>
      <c r="O61" s="1">
        <v>1.4595254370794101E-11</v>
      </c>
      <c r="P61" s="1">
        <v>1.19956353496358E-10</v>
      </c>
      <c r="Q61">
        <v>64.097081352842295</v>
      </c>
      <c r="S61">
        <v>22.1939741363752</v>
      </c>
      <c r="AA61">
        <v>3.3540782401771501</v>
      </c>
      <c r="AB61">
        <v>8.6862205153003504</v>
      </c>
      <c r="AC61">
        <v>1.6686457553048999</v>
      </c>
      <c r="AJ61">
        <v>0.74639722873774905</v>
      </c>
      <c r="AK61">
        <v>0.159266027288962</v>
      </c>
      <c r="AL61">
        <v>9.4336743973287798E-2</v>
      </c>
    </row>
    <row r="62" spans="1:38" x14ac:dyDescent="0.2">
      <c r="A62">
        <v>111</v>
      </c>
      <c r="B62">
        <v>775</v>
      </c>
      <c r="C62">
        <v>125</v>
      </c>
      <c r="D62">
        <v>0.473243810523307</v>
      </c>
      <c r="E62">
        <v>5.0622883399134198</v>
      </c>
      <c r="F62">
        <v>2.5749098236193801</v>
      </c>
      <c r="G62">
        <v>-82.490124917278223</v>
      </c>
      <c r="H62">
        <v>-71.218909234355479</v>
      </c>
      <c r="I62">
        <v>10.7534376596124</v>
      </c>
      <c r="J62">
        <v>6.1401210564825801</v>
      </c>
      <c r="K62">
        <v>1.9660060688252301</v>
      </c>
      <c r="L62">
        <v>3.0140477388799074E-5</v>
      </c>
      <c r="M62">
        <v>1.7902887232685979E-6</v>
      </c>
      <c r="N62" s="1">
        <v>-3.5449126775298298E-8</v>
      </c>
      <c r="O62" s="1">
        <v>1.7399180194728302E-11</v>
      </c>
      <c r="P62" s="1">
        <v>1.4582567409396999E-10</v>
      </c>
      <c r="Q62">
        <v>64.182195517045301</v>
      </c>
      <c r="S62">
        <v>22.117470695167299</v>
      </c>
      <c r="AA62">
        <v>3.2711018912164298</v>
      </c>
      <c r="AB62">
        <v>8.67532914933523</v>
      </c>
      <c r="AC62">
        <v>1.7539027472356099</v>
      </c>
      <c r="AJ62">
        <v>0.745503063671896</v>
      </c>
      <c r="AK62">
        <v>0.155334646608529</v>
      </c>
      <c r="AL62">
        <v>9.9162289719574595E-2</v>
      </c>
    </row>
    <row r="63" spans="1:38" x14ac:dyDescent="0.2">
      <c r="A63">
        <v>112</v>
      </c>
      <c r="B63">
        <v>774</v>
      </c>
      <c r="C63">
        <v>125</v>
      </c>
      <c r="D63">
        <v>0.47267392446163797</v>
      </c>
      <c r="E63">
        <v>5.8880489729266499</v>
      </c>
      <c r="F63">
        <v>2.5738296980500399</v>
      </c>
      <c r="G63">
        <v>-95.904490976606382</v>
      </c>
      <c r="H63">
        <v>-82.812876681764976</v>
      </c>
      <c r="I63">
        <v>12.502138466161799</v>
      </c>
      <c r="J63">
        <v>7.1418810371834098</v>
      </c>
      <c r="K63">
        <v>2.2876606705515501</v>
      </c>
      <c r="L63">
        <v>3.0176541143090191E-5</v>
      </c>
      <c r="M63">
        <v>1.7920829898898206E-6</v>
      </c>
      <c r="N63" s="1">
        <v>-4.2458228089146501E-8</v>
      </c>
      <c r="O63" s="1">
        <v>2.0270988522718299E-11</v>
      </c>
      <c r="P63" s="1">
        <v>1.73152314513952E-10</v>
      </c>
      <c r="Q63">
        <v>64.268018227150407</v>
      </c>
      <c r="S63">
        <v>22.038360272654199</v>
      </c>
      <c r="AA63">
        <v>3.1858094264857901</v>
      </c>
      <c r="AB63">
        <v>8.6591821994997993</v>
      </c>
      <c r="AC63">
        <v>1.84862987420972</v>
      </c>
      <c r="AJ63">
        <v>0.744176635398483</v>
      </c>
      <c r="AK63">
        <v>0.151296797713278</v>
      </c>
      <c r="AL63">
        <v>0.104526566888238</v>
      </c>
    </row>
    <row r="64" spans="1:38" x14ac:dyDescent="0.2">
      <c r="A64">
        <v>113</v>
      </c>
      <c r="B64">
        <v>773</v>
      </c>
      <c r="C64">
        <v>125</v>
      </c>
      <c r="D64">
        <v>0.472102948907902</v>
      </c>
      <c r="E64">
        <v>6.7371634807291496</v>
      </c>
      <c r="F64">
        <v>2.5726664417928999</v>
      </c>
      <c r="G64">
        <v>-109.68343743274889</v>
      </c>
      <c r="H64">
        <v>-94.724810642398182</v>
      </c>
      <c r="I64">
        <v>14.298739942026099</v>
      </c>
      <c r="J64">
        <v>8.1717904710119598</v>
      </c>
      <c r="K64">
        <v>2.6187473709316098</v>
      </c>
      <c r="L64">
        <v>3.020933711174244E-5</v>
      </c>
      <c r="M64">
        <v>1.7938578198566047E-6</v>
      </c>
      <c r="N64" s="1">
        <v>-4.9973548222166799E-8</v>
      </c>
      <c r="O64" s="1">
        <v>2.3235813329007801E-11</v>
      </c>
      <c r="P64" s="1">
        <v>2.0213264429945999E-10</v>
      </c>
      <c r="Q64">
        <v>64.355330255942306</v>
      </c>
      <c r="S64">
        <v>21.955523689112901</v>
      </c>
      <c r="AA64">
        <v>3.0970953285987699</v>
      </c>
      <c r="AB64">
        <v>8.6365855009347605</v>
      </c>
      <c r="AC64">
        <v>1.95546522541109</v>
      </c>
      <c r="AJ64">
        <v>0.74231952270645296</v>
      </c>
      <c r="AK64">
        <v>0.14710050684402401</v>
      </c>
      <c r="AL64">
        <v>0.110579970449522</v>
      </c>
    </row>
    <row r="65" spans="1:38" x14ac:dyDescent="0.2">
      <c r="A65">
        <v>114</v>
      </c>
      <c r="B65">
        <v>772</v>
      </c>
      <c r="C65">
        <v>125</v>
      </c>
      <c r="D65">
        <v>0.47153088073482102</v>
      </c>
      <c r="E65">
        <v>8.1962083618814994</v>
      </c>
      <c r="F65">
        <v>2.5737760261137002</v>
      </c>
      <c r="G65">
        <v>-133.43443678840939</v>
      </c>
      <c r="H65">
        <v>-115.26710024797575</v>
      </c>
      <c r="I65">
        <v>17.3825159454945</v>
      </c>
      <c r="J65">
        <v>9.9412618834648203</v>
      </c>
      <c r="K65">
        <v>3.18450722934793</v>
      </c>
      <c r="L65">
        <v>3.0171707798169247E-5</v>
      </c>
      <c r="M65">
        <v>1.79143310375266E-6</v>
      </c>
      <c r="N65" s="1">
        <v>-6.2376516541239595E-8</v>
      </c>
      <c r="O65" s="1">
        <v>2.81957213456344E-11</v>
      </c>
      <c r="P65" s="1">
        <v>2.5054451954337001E-10</v>
      </c>
      <c r="Q65">
        <v>64.242650441307703</v>
      </c>
      <c r="S65">
        <v>22.0378002965675</v>
      </c>
      <c r="AA65">
        <v>3.1912666665070999</v>
      </c>
      <c r="AB65">
        <v>8.6011833988027497</v>
      </c>
      <c r="AC65">
        <v>1.9270991968147699</v>
      </c>
      <c r="AJ65">
        <v>0.73940543593846797</v>
      </c>
      <c r="AK65">
        <v>0.15159969143438701</v>
      </c>
      <c r="AL65">
        <v>0.108994872627144</v>
      </c>
    </row>
    <row r="66" spans="1:38" x14ac:dyDescent="0.2">
      <c r="A66">
        <v>115</v>
      </c>
      <c r="B66">
        <v>771</v>
      </c>
      <c r="C66">
        <v>125</v>
      </c>
      <c r="D66">
        <v>0.47095771680314102</v>
      </c>
      <c r="E66">
        <v>11.116740182537001</v>
      </c>
      <c r="F66">
        <v>2.5767207415611599</v>
      </c>
      <c r="G66">
        <v>-181.03041107327476</v>
      </c>
      <c r="H66">
        <v>-156.43865549656076</v>
      </c>
      <c r="I66">
        <v>23.551937534562999</v>
      </c>
      <c r="J66">
        <v>13.481409843012701</v>
      </c>
      <c r="K66">
        <v>4.3142976276900402</v>
      </c>
      <c r="L66">
        <v>3.0056684936077028E-5</v>
      </c>
      <c r="M66">
        <v>1.7850617126704235E-6</v>
      </c>
      <c r="N66" s="1">
        <v>-8.63208225904191E-8</v>
      </c>
      <c r="O66" s="1">
        <v>3.80090588338028E-11</v>
      </c>
      <c r="P66" s="1">
        <v>3.4495297431714302E-10</v>
      </c>
      <c r="Q66">
        <v>63.950176940118098</v>
      </c>
      <c r="S66">
        <v>22.260482064956101</v>
      </c>
      <c r="AA66">
        <v>3.4432260986403298</v>
      </c>
      <c r="AB66">
        <v>8.5332110896399094</v>
      </c>
      <c r="AC66">
        <v>1.8129038066454399</v>
      </c>
      <c r="AJ66">
        <v>0.73380639793500402</v>
      </c>
      <c r="AK66">
        <v>0.16362337132639801</v>
      </c>
      <c r="AL66">
        <v>0.102570230738596</v>
      </c>
    </row>
    <row r="67" spans="1:38" x14ac:dyDescent="0.2">
      <c r="A67">
        <v>116</v>
      </c>
      <c r="B67">
        <v>770</v>
      </c>
      <c r="C67">
        <v>125</v>
      </c>
      <c r="D67">
        <v>0.47038345396155901</v>
      </c>
      <c r="E67">
        <v>14.7637553289305</v>
      </c>
      <c r="F67">
        <v>2.5802647158604599</v>
      </c>
      <c r="G67">
        <v>-240.49724869580075</v>
      </c>
      <c r="H67">
        <v>-207.90817225330619</v>
      </c>
      <c r="I67">
        <v>31.2410261635378</v>
      </c>
      <c r="J67">
        <v>17.8988004026114</v>
      </c>
      <c r="K67">
        <v>5.72179871242676</v>
      </c>
      <c r="L67">
        <v>2.9898616945911941E-5</v>
      </c>
      <c r="M67">
        <v>1.7768829607722883E-6</v>
      </c>
      <c r="N67" s="1">
        <v>-1.16422002362745E-7</v>
      </c>
      <c r="O67" s="1">
        <v>5.0105933382129002E-11</v>
      </c>
      <c r="P67" s="1">
        <v>4.6350220923456198E-10</v>
      </c>
      <c r="Q67">
        <v>63.582290392269599</v>
      </c>
      <c r="S67">
        <v>22.536348585615599</v>
      </c>
      <c r="AA67">
        <v>3.75666009944077</v>
      </c>
      <c r="AB67">
        <v>8.4366155920514299</v>
      </c>
      <c r="AC67">
        <v>1.6880853306225401</v>
      </c>
      <c r="AJ67">
        <v>0.72584388086831197</v>
      </c>
      <c r="AK67">
        <v>0.17860254829566399</v>
      </c>
      <c r="AL67">
        <v>9.5553570836023199E-2</v>
      </c>
    </row>
    <row r="68" spans="1:38" x14ac:dyDescent="0.2">
      <c r="A68">
        <v>117</v>
      </c>
      <c r="B68">
        <v>769</v>
      </c>
      <c r="C68">
        <v>125</v>
      </c>
      <c r="D68">
        <v>0.46980808904668597</v>
      </c>
      <c r="E68">
        <v>16.869771495861801</v>
      </c>
      <c r="F68">
        <v>2.58242444428276</v>
      </c>
      <c r="G68">
        <v>-274.83965836526028</v>
      </c>
      <c r="H68">
        <v>-237.67336766785795</v>
      </c>
      <c r="I68">
        <v>35.663091395098903</v>
      </c>
      <c r="J68">
        <v>20.449087135084699</v>
      </c>
      <c r="K68">
        <v>6.5325324553869599</v>
      </c>
      <c r="L68">
        <v>2.9807469708303998E-5</v>
      </c>
      <c r="M68">
        <v>1.7718640308747672E-6</v>
      </c>
      <c r="N68" s="1">
        <v>-1.3588541971973799E-7</v>
      </c>
      <c r="O68" s="1">
        <v>5.69804667100247E-11</v>
      </c>
      <c r="P68" s="1">
        <v>5.3805587450779996E-10</v>
      </c>
      <c r="Q68">
        <v>63.356360039708697</v>
      </c>
      <c r="S68">
        <v>22.704661556841099</v>
      </c>
      <c r="AA68">
        <v>3.9482377831931399</v>
      </c>
      <c r="AB68">
        <v>8.3743962515178794</v>
      </c>
      <c r="AC68">
        <v>1.6163443687390699</v>
      </c>
      <c r="AJ68">
        <v>0.72071120278308898</v>
      </c>
      <c r="AK68">
        <v>0.18776811949216901</v>
      </c>
      <c r="AL68">
        <v>9.1520677724740304E-2</v>
      </c>
    </row>
    <row r="69" spans="1:38" x14ac:dyDescent="0.2">
      <c r="A69">
        <v>118</v>
      </c>
      <c r="B69">
        <v>768</v>
      </c>
      <c r="C69">
        <v>125</v>
      </c>
      <c r="D69">
        <v>0.46923161888296799</v>
      </c>
      <c r="E69">
        <v>17.722228906494401</v>
      </c>
      <c r="F69">
        <v>2.5833521219676001</v>
      </c>
      <c r="G69">
        <v>-288.72295649229665</v>
      </c>
      <c r="H69">
        <v>-249.74413514577284</v>
      </c>
      <c r="I69">
        <v>37.438237858640697</v>
      </c>
      <c r="J69">
        <v>21.483321933748499</v>
      </c>
      <c r="K69">
        <v>6.8601677470883802</v>
      </c>
      <c r="L69">
        <v>2.9784623087785369E-5</v>
      </c>
      <c r="M69">
        <v>1.7699161022823654E-6</v>
      </c>
      <c r="N69" s="1">
        <v>-1.4676307901480701E-7</v>
      </c>
      <c r="O69" s="1">
        <v>5.9718117277220503E-11</v>
      </c>
      <c r="P69" s="1">
        <v>5.7696074674252901E-10</v>
      </c>
      <c r="Q69">
        <v>63.264882020862103</v>
      </c>
      <c r="S69">
        <v>22.773385119352699</v>
      </c>
      <c r="AA69">
        <v>4.02628057105139</v>
      </c>
      <c r="AB69">
        <v>8.3507101451703001</v>
      </c>
      <c r="AC69">
        <v>1.5847421435634601</v>
      </c>
      <c r="AJ69">
        <v>0.71875635366090995</v>
      </c>
      <c r="AK69">
        <v>0.19150191137466699</v>
      </c>
      <c r="AL69">
        <v>8.9741734964422698E-2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9861-1376-48F0-8B01-41FD69FAD185}">
  <sheetPr codeName="Sheet10"/>
  <dimension ref="A1:AL3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740</v>
      </c>
      <c r="C2">
        <v>275</v>
      </c>
      <c r="D2">
        <v>0.28977002418201098</v>
      </c>
      <c r="E2">
        <v>3.3049090672926198</v>
      </c>
      <c r="F2">
        <v>2.59300957983733</v>
      </c>
      <c r="G2">
        <v>-53.482858201279562</v>
      </c>
      <c r="H2">
        <v>-46.525803764645886</v>
      </c>
      <c r="I2">
        <v>6.8667565875079397</v>
      </c>
      <c r="J2">
        <v>4.0530164678631397</v>
      </c>
      <c r="K2">
        <v>1.2745456449489601</v>
      </c>
      <c r="L2">
        <v>3.1229062818875748E-5</v>
      </c>
      <c r="M2">
        <v>1.7681668968210401E-6</v>
      </c>
      <c r="N2" s="1">
        <v>-7.7505393181177794E-8</v>
      </c>
      <c r="O2" s="1">
        <v>1.07003309594935E-11</v>
      </c>
      <c r="P2" s="1">
        <v>2.5192190148640099E-10</v>
      </c>
      <c r="Q2">
        <v>63.290518584626099</v>
      </c>
      <c r="S2">
        <v>22.793025357625499</v>
      </c>
      <c r="AA2">
        <v>4.0365020270463798</v>
      </c>
      <c r="AB2">
        <v>8.4593292909782392</v>
      </c>
      <c r="AC2">
        <v>1.42062473972366</v>
      </c>
      <c r="AJ2">
        <v>0.72771135077161397</v>
      </c>
      <c r="AK2">
        <v>0.19188418572023</v>
      </c>
      <c r="AL2">
        <v>8.0404463508154306E-2</v>
      </c>
    </row>
    <row r="3" spans="1:38" x14ac:dyDescent="0.2">
      <c r="A3">
        <v>21</v>
      </c>
      <c r="B3">
        <v>739</v>
      </c>
      <c r="C3">
        <v>275</v>
      </c>
      <c r="D3">
        <v>0.28899916020352701</v>
      </c>
      <c r="E3">
        <v>15.8747945367057</v>
      </c>
      <c r="F3">
        <v>2.59209528138055</v>
      </c>
      <c r="G3">
        <v>-256.84359746589683</v>
      </c>
      <c r="H3">
        <v>-223.47090860946005</v>
      </c>
      <c r="I3">
        <v>32.9720781074315</v>
      </c>
      <c r="J3">
        <v>19.485259863180801</v>
      </c>
      <c r="K3">
        <v>6.1243098009309298</v>
      </c>
      <c r="L3">
        <v>3.1366576954510342E-5</v>
      </c>
      <c r="M3">
        <v>1.7712579304294152E-6</v>
      </c>
      <c r="N3" s="1">
        <v>-3.8672847039504402E-7</v>
      </c>
      <c r="O3" s="1">
        <v>5.1394550103093102E-11</v>
      </c>
      <c r="P3" s="1">
        <v>1.25115507310356E-9</v>
      </c>
      <c r="Q3">
        <v>63.410525152821798</v>
      </c>
      <c r="S3">
        <v>22.707554372838299</v>
      </c>
      <c r="AA3">
        <v>3.9379856973504799</v>
      </c>
      <c r="AB3">
        <v>8.5026841951014607</v>
      </c>
      <c r="AC3">
        <v>1.4412505818878401</v>
      </c>
      <c r="AJ3">
        <v>0.731284610708131</v>
      </c>
      <c r="AK3">
        <v>0.18716097977643201</v>
      </c>
      <c r="AL3">
        <v>8.1554409515435203E-2</v>
      </c>
    </row>
    <row r="4" spans="1:38" x14ac:dyDescent="0.2">
      <c r="A4">
        <v>22</v>
      </c>
      <c r="B4">
        <v>738</v>
      </c>
      <c r="C4">
        <v>275</v>
      </c>
      <c r="D4">
        <v>0.28822677149780002</v>
      </c>
      <c r="E4">
        <v>19.297220798050599</v>
      </c>
      <c r="F4">
        <v>2.5919092756483302</v>
      </c>
      <c r="G4">
        <v>-312.172280846462</v>
      </c>
      <c r="H4">
        <v>-271.66586626476976</v>
      </c>
      <c r="I4">
        <v>40.059748387175198</v>
      </c>
      <c r="J4">
        <v>23.702799945226399</v>
      </c>
      <c r="K4">
        <v>7.4451760250071599</v>
      </c>
      <c r="L4">
        <v>3.1455787074537411E-5</v>
      </c>
      <c r="M4">
        <v>1.7723627590793952E-6</v>
      </c>
      <c r="N4" s="1">
        <v>-4.8650980655923298E-7</v>
      </c>
      <c r="O4" s="1">
        <v>6.2378202602797601E-11</v>
      </c>
      <c r="P4" s="1">
        <v>1.56748315306339E-9</v>
      </c>
      <c r="Q4">
        <v>63.445385064719503</v>
      </c>
      <c r="S4">
        <v>22.6837507112445</v>
      </c>
      <c r="AA4">
        <v>3.9102133489297901</v>
      </c>
      <c r="AB4">
        <v>8.5179632460965404</v>
      </c>
      <c r="AC4">
        <v>1.4426876290094901</v>
      </c>
      <c r="AJ4">
        <v>0.73254341860933303</v>
      </c>
      <c r="AK4">
        <v>0.185827016134476</v>
      </c>
      <c r="AL4">
        <v>8.1629565256190306E-2</v>
      </c>
    </row>
    <row r="5" spans="1:38" x14ac:dyDescent="0.2">
      <c r="A5">
        <v>38</v>
      </c>
      <c r="B5">
        <v>744</v>
      </c>
      <c r="C5">
        <v>250</v>
      </c>
      <c r="D5">
        <v>0.31987464975667701</v>
      </c>
      <c r="E5">
        <v>2.8643921103527998</v>
      </c>
      <c r="F5">
        <v>2.5899188834782501</v>
      </c>
      <c r="G5">
        <v>-46.394630187899523</v>
      </c>
      <c r="H5">
        <v>-40.324184204066576</v>
      </c>
      <c r="I5">
        <v>5.96809318569822</v>
      </c>
      <c r="J5">
        <v>3.5048559089217401</v>
      </c>
      <c r="K5">
        <v>1.10597753799375</v>
      </c>
      <c r="L5">
        <v>3.1029348292666264E-5</v>
      </c>
      <c r="M5">
        <v>1.7725078336173821E-6</v>
      </c>
      <c r="N5" s="1">
        <v>-5.80605961044498E-8</v>
      </c>
      <c r="O5" s="1">
        <v>9.3831209544771808E-12</v>
      </c>
      <c r="P5" s="1">
        <v>1.92321287947981E-10</v>
      </c>
      <c r="Q5">
        <v>63.4651221068141</v>
      </c>
      <c r="S5">
        <v>22.660802461727499</v>
      </c>
      <c r="AA5">
        <v>3.8866754391568898</v>
      </c>
      <c r="AB5">
        <v>8.5017843665615693</v>
      </c>
      <c r="AC5">
        <v>1.4856156257398001</v>
      </c>
      <c r="AJ5">
        <v>0.731211302548189</v>
      </c>
      <c r="AK5">
        <v>0.18472338420924</v>
      </c>
      <c r="AL5">
        <v>8.4065313242569301E-2</v>
      </c>
    </row>
    <row r="6" spans="1:38" x14ac:dyDescent="0.2">
      <c r="A6">
        <v>39</v>
      </c>
      <c r="B6">
        <v>743</v>
      </c>
      <c r="C6">
        <v>250</v>
      </c>
      <c r="D6">
        <v>0.31913644639078897</v>
      </c>
      <c r="E6">
        <v>6.5136985638522802</v>
      </c>
      <c r="F6">
        <v>2.5902373652127202</v>
      </c>
      <c r="G6">
        <v>-105.493456430892</v>
      </c>
      <c r="H6">
        <v>-91.711241265321163</v>
      </c>
      <c r="I6">
        <v>13.5631699705465</v>
      </c>
      <c r="J6">
        <v>7.9738386586451702</v>
      </c>
      <c r="K6">
        <v>2.5147110652221301</v>
      </c>
      <c r="L6">
        <v>3.1073126959470056E-5</v>
      </c>
      <c r="M6">
        <v>1.772214974192533E-6</v>
      </c>
      <c r="N6" s="1">
        <v>-1.3626682296657799E-7</v>
      </c>
      <c r="O6" s="1">
        <v>2.1291420342962301E-11</v>
      </c>
      <c r="P6" s="1">
        <v>4.4942211639912699E-10</v>
      </c>
      <c r="Q6">
        <v>63.441435108092101</v>
      </c>
      <c r="S6">
        <v>22.679542011931701</v>
      </c>
      <c r="AA6">
        <v>3.9076627972827001</v>
      </c>
      <c r="AB6">
        <v>8.4981273271236404</v>
      </c>
      <c r="AC6">
        <v>1.47323275556977</v>
      </c>
      <c r="AJ6">
        <v>0.73090975036452999</v>
      </c>
      <c r="AK6">
        <v>0.185724155458629</v>
      </c>
      <c r="AL6">
        <v>8.3366094176840599E-2</v>
      </c>
    </row>
    <row r="7" spans="1:38" x14ac:dyDescent="0.2">
      <c r="A7">
        <v>40</v>
      </c>
      <c r="B7">
        <v>742</v>
      </c>
      <c r="C7">
        <v>250</v>
      </c>
      <c r="D7">
        <v>0.318396788651924</v>
      </c>
      <c r="E7">
        <v>18.4627453434153</v>
      </c>
      <c r="F7">
        <v>2.5904711676666601</v>
      </c>
      <c r="G7">
        <v>-298.98726938513789</v>
      </c>
      <c r="H7">
        <v>-259.98428898186916</v>
      </c>
      <c r="I7">
        <v>38.420903712031397</v>
      </c>
      <c r="J7">
        <v>22.612802672693</v>
      </c>
      <c r="K7">
        <v>7.12717654373487</v>
      </c>
      <c r="L7">
        <v>3.1124185905902775E-5</v>
      </c>
      <c r="M7">
        <v>1.7721525373272679E-6</v>
      </c>
      <c r="N7" s="1">
        <v>-3.98818408897811E-7</v>
      </c>
      <c r="O7" s="1">
        <v>6.0225698586664905E-11</v>
      </c>
      <c r="P7" s="1">
        <v>1.30970187607933E-9</v>
      </c>
      <c r="Q7">
        <v>63.427457052171498</v>
      </c>
      <c r="S7">
        <v>22.691199313813101</v>
      </c>
      <c r="AA7">
        <v>3.92054177895292</v>
      </c>
      <c r="AB7">
        <v>8.4975391114129799</v>
      </c>
      <c r="AC7">
        <v>1.4632627436493</v>
      </c>
      <c r="AJ7">
        <v>0.73086109687831902</v>
      </c>
      <c r="AK7">
        <v>0.18633676429197099</v>
      </c>
      <c r="AL7">
        <v>8.2802138829708299E-2</v>
      </c>
    </row>
    <row r="8" spans="1:38" x14ac:dyDescent="0.2">
      <c r="A8">
        <v>41</v>
      </c>
      <c r="B8">
        <v>741</v>
      </c>
      <c r="C8">
        <v>250</v>
      </c>
      <c r="D8">
        <v>0.31765567223783697</v>
      </c>
      <c r="E8">
        <v>19.674584457154399</v>
      </c>
      <c r="F8">
        <v>2.5906081893347999</v>
      </c>
      <c r="G8">
        <v>-318.57813632719478</v>
      </c>
      <c r="H8">
        <v>-277.08030744414691</v>
      </c>
      <c r="I8">
        <v>40.918827474286701</v>
      </c>
      <c r="J8">
        <v>24.1101721975899</v>
      </c>
      <c r="K8">
        <v>7.5945812794663903</v>
      </c>
      <c r="L8">
        <v>3.1183542248531873E-5</v>
      </c>
      <c r="M8">
        <v>1.7723556317833819E-6</v>
      </c>
      <c r="N8" s="1">
        <v>-4.3906679338901601E-7</v>
      </c>
      <c r="O8" s="1">
        <v>6.4055317236693494E-11</v>
      </c>
      <c r="P8" s="1">
        <v>1.4357309349119899E-9</v>
      </c>
      <c r="Q8">
        <v>63.424654557013803</v>
      </c>
      <c r="S8">
        <v>22.694724245219302</v>
      </c>
      <c r="AA8">
        <v>3.9241038073878798</v>
      </c>
      <c r="AB8">
        <v>8.5005349671712196</v>
      </c>
      <c r="AC8">
        <v>1.4559824232077401</v>
      </c>
      <c r="AJ8">
        <v>0.73110780495704197</v>
      </c>
      <c r="AK8">
        <v>0.186503265362673</v>
      </c>
      <c r="AL8">
        <v>8.2388929680284495E-2</v>
      </c>
    </row>
    <row r="9" spans="1:38" x14ac:dyDescent="0.2">
      <c r="A9">
        <v>53</v>
      </c>
      <c r="B9">
        <v>748</v>
      </c>
      <c r="C9">
        <v>225</v>
      </c>
      <c r="D9">
        <v>0.34974342652891699</v>
      </c>
      <c r="E9">
        <v>4.4809238612165601</v>
      </c>
      <c r="F9">
        <v>2.5233490778625902</v>
      </c>
      <c r="G9">
        <v>-70.554333770842732</v>
      </c>
      <c r="H9">
        <v>-61.152304729041454</v>
      </c>
      <c r="I9">
        <v>9.2072947576764097</v>
      </c>
      <c r="J9">
        <v>5.3138662336317601</v>
      </c>
      <c r="K9">
        <v>1.7757843734455201</v>
      </c>
      <c r="L9">
        <v>2.8147055852608837E-5</v>
      </c>
      <c r="M9">
        <v>1.7887054952565875E-6</v>
      </c>
      <c r="N9" s="1">
        <v>-3.05546531683829E-8</v>
      </c>
      <c r="O9" s="1">
        <v>1.70054687356262E-11</v>
      </c>
      <c r="P9" s="1">
        <v>1.239813347113E-10</v>
      </c>
      <c r="Q9">
        <v>65.777800590104405</v>
      </c>
      <c r="S9">
        <v>18.972293680424599</v>
      </c>
      <c r="AA9">
        <v>0.30398601953734899</v>
      </c>
      <c r="AB9">
        <v>3.9855590566661898</v>
      </c>
      <c r="AC9">
        <v>10.960360653267401</v>
      </c>
      <c r="AJ9">
        <v>0.35069771317048798</v>
      </c>
      <c r="AK9">
        <v>1.4781145300570699E-2</v>
      </c>
      <c r="AL9">
        <v>0.63452114152894001</v>
      </c>
    </row>
    <row r="10" spans="1:38" x14ac:dyDescent="0.2">
      <c r="A10">
        <v>54</v>
      </c>
      <c r="B10">
        <v>747</v>
      </c>
      <c r="C10">
        <v>225</v>
      </c>
      <c r="D10">
        <v>0.34903739646130499</v>
      </c>
      <c r="E10">
        <v>12.271840360875901</v>
      </c>
      <c r="F10">
        <v>2.52337336595849</v>
      </c>
      <c r="G10">
        <v>-193.1714541976917</v>
      </c>
      <c r="H10">
        <v>-167.46728487507755</v>
      </c>
      <c r="I10">
        <v>25.196460640703901</v>
      </c>
      <c r="J10">
        <v>14.5521123494063</v>
      </c>
      <c r="K10">
        <v>4.8632677694188704</v>
      </c>
      <c r="L10">
        <v>2.8138885226196257E-5</v>
      </c>
      <c r="M10">
        <v>1.7884948548784389E-6</v>
      </c>
      <c r="N10" s="1">
        <v>-8.5904487057569804E-8</v>
      </c>
      <c r="O10" s="1">
        <v>4.6565600894789399E-11</v>
      </c>
      <c r="P10" s="1">
        <v>3.4587603305558202E-10</v>
      </c>
      <c r="Q10">
        <v>65.768464050267696</v>
      </c>
      <c r="S10">
        <v>18.967335073645799</v>
      </c>
      <c r="AA10">
        <v>0.30207367210503799</v>
      </c>
      <c r="AB10">
        <v>3.9517534459120802</v>
      </c>
      <c r="AC10">
        <v>11.0103737580692</v>
      </c>
      <c r="AJ10">
        <v>0.347782987513373</v>
      </c>
      <c r="AK10">
        <v>1.4690688784762601E-2</v>
      </c>
      <c r="AL10">
        <v>0.63752632370186302</v>
      </c>
    </row>
    <row r="11" spans="1:38" x14ac:dyDescent="0.2">
      <c r="A11">
        <v>55</v>
      </c>
      <c r="B11">
        <v>746</v>
      </c>
      <c r="C11">
        <v>225</v>
      </c>
      <c r="D11">
        <v>0.34832998086640898</v>
      </c>
      <c r="E11">
        <v>36.386143848750798</v>
      </c>
      <c r="F11">
        <v>2.5233955047875498</v>
      </c>
      <c r="G11">
        <v>-572.50693484800024</v>
      </c>
      <c r="H11">
        <v>-496.44331708480132</v>
      </c>
      <c r="I11">
        <v>74.634369585634005</v>
      </c>
      <c r="J11">
        <v>43.134609014474101</v>
      </c>
      <c r="K11">
        <v>14.4195167898637</v>
      </c>
      <c r="L11">
        <v>2.8102270883196648E-5</v>
      </c>
      <c r="M11">
        <v>1.7878862299175986E-6</v>
      </c>
      <c r="N11" s="1">
        <v>-2.58249853764421E-7</v>
      </c>
      <c r="O11" s="1">
        <v>1.3809978511554301E-10</v>
      </c>
      <c r="P11" s="1">
        <v>1.0353234112754399E-9</v>
      </c>
      <c r="Q11">
        <v>65.746366321765393</v>
      </c>
      <c r="S11">
        <v>18.959768256871701</v>
      </c>
      <c r="AA11">
        <v>0.30098717363911598</v>
      </c>
      <c r="AB11">
        <v>3.8826724488510802</v>
      </c>
      <c r="AC11">
        <v>11.110205798872499</v>
      </c>
      <c r="AJ11">
        <v>0.34182366680363901</v>
      </c>
      <c r="AK11">
        <v>1.4643003081286601E-2</v>
      </c>
      <c r="AL11">
        <v>0.64353333011507297</v>
      </c>
    </row>
    <row r="12" spans="1:38" x14ac:dyDescent="0.2">
      <c r="A12">
        <v>56</v>
      </c>
      <c r="B12">
        <v>745</v>
      </c>
      <c r="C12">
        <v>225</v>
      </c>
      <c r="D12">
        <v>0.347621175661739</v>
      </c>
      <c r="E12">
        <v>39.037219909710799</v>
      </c>
      <c r="F12">
        <v>2.5234271627947802</v>
      </c>
      <c r="G12">
        <v>-614.09049881059366</v>
      </c>
      <c r="H12">
        <v>-532.61986993902451</v>
      </c>
      <c r="I12">
        <v>80.018296784922597</v>
      </c>
      <c r="J12">
        <v>46.279930625812</v>
      </c>
      <c r="K12">
        <v>15.4699214169018</v>
      </c>
      <c r="L12">
        <v>2.8108305221661157E-5</v>
      </c>
      <c r="M12">
        <v>1.7878697356296596E-6</v>
      </c>
      <c r="N12" s="1">
        <v>-2.8609179690122002E-7</v>
      </c>
      <c r="O12" s="1">
        <v>1.4810890014311701E-10</v>
      </c>
      <c r="P12" s="1">
        <v>1.1365343627012199E-9</v>
      </c>
      <c r="Q12">
        <v>65.743055635615093</v>
      </c>
      <c r="S12">
        <v>18.9561491983089</v>
      </c>
      <c r="AA12">
        <v>0.29877391662175701</v>
      </c>
      <c r="AB12">
        <v>3.8658069297447999</v>
      </c>
      <c r="AC12">
        <v>11.1362143197093</v>
      </c>
      <c r="AJ12">
        <v>0.34036812818614898</v>
      </c>
      <c r="AK12">
        <v>1.4536578459591699E-2</v>
      </c>
      <c r="AL12">
        <v>0.64509529335425797</v>
      </c>
    </row>
    <row r="13" spans="1:38" x14ac:dyDescent="0.2">
      <c r="A13">
        <v>65</v>
      </c>
      <c r="B13">
        <v>752</v>
      </c>
      <c r="C13">
        <v>200</v>
      </c>
      <c r="D13">
        <v>0.37937911525142798</v>
      </c>
      <c r="E13">
        <v>7.8824663107998303</v>
      </c>
      <c r="F13">
        <v>2.5221822746222702</v>
      </c>
      <c r="G13">
        <v>-124.32671073439366</v>
      </c>
      <c r="H13">
        <v>-107.67053603811682</v>
      </c>
      <c r="I13">
        <v>16.247548842878398</v>
      </c>
      <c r="J13">
        <v>9.3483659827948404</v>
      </c>
      <c r="K13">
        <v>3.1252564059749801</v>
      </c>
      <c r="L13">
        <v>2.8143339966491636E-5</v>
      </c>
      <c r="M13">
        <v>1.790959967720481E-6</v>
      </c>
      <c r="N13" s="1">
        <v>-4.6847910862546999E-8</v>
      </c>
      <c r="O13" s="1">
        <v>2.99434355619305E-11</v>
      </c>
      <c r="P13" s="1">
        <v>1.9829629011189E-10</v>
      </c>
      <c r="Q13">
        <v>65.807347952915407</v>
      </c>
      <c r="S13">
        <v>18.994172503907699</v>
      </c>
      <c r="AA13">
        <v>0.31514179975853301</v>
      </c>
      <c r="AB13">
        <v>4.1087619506264703</v>
      </c>
      <c r="AC13">
        <v>10.774575792791699</v>
      </c>
      <c r="AJ13">
        <v>0.36131176276807703</v>
      </c>
      <c r="AK13">
        <v>1.5313974569006E-2</v>
      </c>
      <c r="AL13">
        <v>0.62337426266291596</v>
      </c>
    </row>
    <row r="14" spans="1:38" x14ac:dyDescent="0.2">
      <c r="A14">
        <v>66</v>
      </c>
      <c r="B14">
        <v>751</v>
      </c>
      <c r="C14">
        <v>200</v>
      </c>
      <c r="D14">
        <v>0.378704779573308</v>
      </c>
      <c r="E14">
        <v>30.151886919877501</v>
      </c>
      <c r="F14">
        <v>2.5221675632835798</v>
      </c>
      <c r="G14">
        <v>-475.27420486916509</v>
      </c>
      <c r="H14">
        <v>-411.70198549025741</v>
      </c>
      <c r="I14">
        <v>62.073152740231002</v>
      </c>
      <c r="J14">
        <v>35.738537175466902</v>
      </c>
      <c r="K14">
        <v>11.954751682169301</v>
      </c>
      <c r="L14">
        <v>2.8071220573679377E-5</v>
      </c>
      <c r="M14">
        <v>1.7898429651255516E-6</v>
      </c>
      <c r="N14" s="1">
        <v>-1.7885219463849101E-7</v>
      </c>
      <c r="O14" s="1">
        <v>1.14623159654358E-10</v>
      </c>
      <c r="P14" s="1">
        <v>7.5709772202902005E-10</v>
      </c>
      <c r="Q14">
        <v>65.769635733460802</v>
      </c>
      <c r="S14">
        <v>18.9827428855099</v>
      </c>
      <c r="AA14">
        <v>0.31451187840106498</v>
      </c>
      <c r="AB14">
        <v>3.9947580610385298</v>
      </c>
      <c r="AC14">
        <v>10.938351441589599</v>
      </c>
      <c r="AJ14">
        <v>0.35149060177577901</v>
      </c>
      <c r="AK14">
        <v>1.52922390454369E-2</v>
      </c>
      <c r="AL14">
        <v>0.63321715917878296</v>
      </c>
    </row>
    <row r="15" spans="1:38" x14ac:dyDescent="0.2">
      <c r="A15">
        <v>67</v>
      </c>
      <c r="B15">
        <v>750</v>
      </c>
      <c r="C15">
        <v>200</v>
      </c>
      <c r="D15">
        <v>0.37802912573913899</v>
      </c>
      <c r="E15">
        <v>37.6099729767095</v>
      </c>
      <c r="F15">
        <v>2.5221858434218198</v>
      </c>
      <c r="G15">
        <v>-592.62728560544417</v>
      </c>
      <c r="H15">
        <v>-513.47573136235007</v>
      </c>
      <c r="I15">
        <v>77.360655078037496</v>
      </c>
      <c r="J15">
        <v>44.570730480798098</v>
      </c>
      <c r="K15">
        <v>14.9116581059246</v>
      </c>
      <c r="L15">
        <v>2.8049723197385111E-5</v>
      </c>
      <c r="M15">
        <v>1.7894621007278744E-6</v>
      </c>
      <c r="N15" s="1">
        <v>-2.27831296581597E-7</v>
      </c>
      <c r="O15" s="1">
        <v>1.42983337408293E-10</v>
      </c>
      <c r="P15" s="1">
        <v>9.5778901226064304E-10</v>
      </c>
      <c r="Q15">
        <v>65.755056132941306</v>
      </c>
      <c r="S15">
        <v>18.976495737492598</v>
      </c>
      <c r="AA15">
        <v>0.31275986778644499</v>
      </c>
      <c r="AB15">
        <v>3.9458904922957898</v>
      </c>
      <c r="AC15">
        <v>11.0097977694838</v>
      </c>
      <c r="AJ15">
        <v>0.34727729622919601</v>
      </c>
      <c r="AK15">
        <v>1.52108391697917E-2</v>
      </c>
      <c r="AL15">
        <v>0.63751186460101195</v>
      </c>
    </row>
    <row r="16" spans="1:38" x14ac:dyDescent="0.2">
      <c r="A16">
        <v>68</v>
      </c>
      <c r="B16">
        <v>749</v>
      </c>
      <c r="C16">
        <v>200</v>
      </c>
      <c r="D16">
        <v>0.37735214988015597</v>
      </c>
      <c r="E16">
        <v>39.602373503549003</v>
      </c>
      <c r="F16">
        <v>2.5222136780492699</v>
      </c>
      <c r="G16">
        <v>-623.88285849684485</v>
      </c>
      <c r="H16">
        <v>-540.67676979664543</v>
      </c>
      <c r="I16">
        <v>81.403011984737404</v>
      </c>
      <c r="J16">
        <v>46.9324568786448</v>
      </c>
      <c r="K16">
        <v>15.701434754797599</v>
      </c>
      <c r="L16">
        <v>2.8051294960241639E-5</v>
      </c>
      <c r="M16">
        <v>1.789408144967237E-6</v>
      </c>
      <c r="N16" s="1">
        <v>-2.47573789751069E-7</v>
      </c>
      <c r="O16" s="1">
        <v>1.5051895973690201E-10</v>
      </c>
      <c r="P16" s="1">
        <v>1.0305081457664799E-9</v>
      </c>
      <c r="Q16">
        <v>65.750820117610303</v>
      </c>
      <c r="S16">
        <v>18.972558279008101</v>
      </c>
      <c r="AA16">
        <v>0.31049984048782397</v>
      </c>
      <c r="AB16">
        <v>3.92612819993521</v>
      </c>
      <c r="AC16">
        <v>11.039993562958401</v>
      </c>
      <c r="AJ16">
        <v>0.34557283001091899</v>
      </c>
      <c r="AK16">
        <v>1.5102445765445401E-2</v>
      </c>
      <c r="AL16">
        <v>0.63932472422363396</v>
      </c>
    </row>
    <row r="17" spans="1:38" x14ac:dyDescent="0.2">
      <c r="A17">
        <v>76</v>
      </c>
      <c r="B17">
        <v>758</v>
      </c>
      <c r="C17">
        <v>175</v>
      </c>
      <c r="D17">
        <v>0.41006691557969399</v>
      </c>
      <c r="E17">
        <v>0.29190823335267102</v>
      </c>
      <c r="F17">
        <v>2.52106096563646</v>
      </c>
      <c r="G17">
        <v>-4.6151010921422149</v>
      </c>
      <c r="H17">
        <v>-3.9917249716077112</v>
      </c>
      <c r="I17">
        <v>0.60454455756631298</v>
      </c>
      <c r="J17">
        <v>0.34635403859317998</v>
      </c>
      <c r="K17">
        <v>0.11578785175430099</v>
      </c>
      <c r="L17">
        <v>2.8183897639750193E-5</v>
      </c>
      <c r="M17">
        <v>1.7938991006530878E-6</v>
      </c>
      <c r="N17" s="1">
        <v>-1.4403162492883901E-9</v>
      </c>
      <c r="O17" s="1">
        <v>1.1095841376257601E-12</v>
      </c>
      <c r="P17" s="1">
        <v>6.4965528630813903E-12</v>
      </c>
      <c r="Q17">
        <v>65.8610608558715</v>
      </c>
      <c r="S17">
        <v>19.029295047428199</v>
      </c>
      <c r="AA17">
        <v>0.331585086186658</v>
      </c>
      <c r="AB17">
        <v>4.3205365889742904</v>
      </c>
      <c r="AC17">
        <v>10.457522421539201</v>
      </c>
      <c r="AJ17">
        <v>0.379525288155733</v>
      </c>
      <c r="AK17">
        <v>1.6095660777994601E-2</v>
      </c>
      <c r="AL17">
        <v>0.60437905106627099</v>
      </c>
    </row>
    <row r="18" spans="1:38" x14ac:dyDescent="0.2">
      <c r="A18">
        <v>77</v>
      </c>
      <c r="B18">
        <v>757</v>
      </c>
      <c r="C18">
        <v>175</v>
      </c>
      <c r="D18">
        <v>0.40942629714119499</v>
      </c>
      <c r="E18">
        <v>8.8000477936982406</v>
      </c>
      <c r="F18">
        <v>2.5210311794716498</v>
      </c>
      <c r="G18">
        <v>-139.06718448341786</v>
      </c>
      <c r="H18">
        <v>-120.3109739836744</v>
      </c>
      <c r="I18">
        <v>18.207261563600799</v>
      </c>
      <c r="J18">
        <v>10.438038394465201</v>
      </c>
      <c r="K18">
        <v>3.4906540884363402</v>
      </c>
      <c r="L18">
        <v>2.8144064153926129E-5</v>
      </c>
      <c r="M18">
        <v>1.7932460843653962E-6</v>
      </c>
      <c r="N18" s="1">
        <v>-4.4007766029614599E-8</v>
      </c>
      <c r="O18" s="1">
        <v>3.3461201576350301E-11</v>
      </c>
      <c r="P18" s="1">
        <v>1.9748658464217099E-10</v>
      </c>
      <c r="Q18">
        <v>65.838755455953006</v>
      </c>
      <c r="S18">
        <v>19.020671888678802</v>
      </c>
      <c r="AA18">
        <v>0.32967555206090099</v>
      </c>
      <c r="AB18">
        <v>4.2482234694749499</v>
      </c>
      <c r="AC18">
        <v>10.562673633832301</v>
      </c>
      <c r="AJ18">
        <v>0.37331043349404402</v>
      </c>
      <c r="AK18">
        <v>1.60088563101017E-2</v>
      </c>
      <c r="AL18">
        <v>0.61068071019585302</v>
      </c>
    </row>
    <row r="19" spans="1:38" x14ac:dyDescent="0.2">
      <c r="A19">
        <v>78</v>
      </c>
      <c r="B19">
        <v>756</v>
      </c>
      <c r="C19">
        <v>175</v>
      </c>
      <c r="D19">
        <v>0.40878443375601398</v>
      </c>
      <c r="E19">
        <v>30.170904740697299</v>
      </c>
      <c r="F19">
        <v>2.52096058330627</v>
      </c>
      <c r="G19">
        <v>-476.39892923562155</v>
      </c>
      <c r="H19">
        <v>-412.25093469358967</v>
      </c>
      <c r="I19">
        <v>62.331044592170102</v>
      </c>
      <c r="J19">
        <v>35.756658030790703</v>
      </c>
      <c r="K19">
        <v>11.9680192306409</v>
      </c>
      <c r="L19">
        <v>2.8038876286506846E-5</v>
      </c>
      <c r="M19">
        <v>1.7916270801658041E-6</v>
      </c>
      <c r="N19" s="1">
        <v>-1.48069859814597E-7</v>
      </c>
      <c r="O19" s="1">
        <v>1.1485715224604201E-10</v>
      </c>
      <c r="P19" s="1">
        <v>6.6846630312948299E-10</v>
      </c>
      <c r="Q19">
        <v>65.785819420123204</v>
      </c>
      <c r="S19">
        <v>19.004983158352399</v>
      </c>
      <c r="AA19">
        <v>0.32908408918086002</v>
      </c>
      <c r="AB19">
        <v>4.0891283057205401</v>
      </c>
      <c r="AC19">
        <v>10.790985026622799</v>
      </c>
      <c r="AJ19">
        <v>0.35962107296048101</v>
      </c>
      <c r="AK19">
        <v>1.5993078547687299E-2</v>
      </c>
      <c r="AL19">
        <v>0.62438584849183099</v>
      </c>
    </row>
    <row r="20" spans="1:38" x14ac:dyDescent="0.2">
      <c r="A20">
        <v>79</v>
      </c>
      <c r="B20">
        <v>755</v>
      </c>
      <c r="C20">
        <v>175</v>
      </c>
      <c r="D20">
        <v>0.40814132179156798</v>
      </c>
      <c r="E20">
        <v>37.575975447732297</v>
      </c>
      <c r="F20">
        <v>2.52096058542715</v>
      </c>
      <c r="G20">
        <v>-593.0718734874979</v>
      </c>
      <c r="H20">
        <v>-513.3334554323643</v>
      </c>
      <c r="I20">
        <v>77.555238102546994</v>
      </c>
      <c r="J20">
        <v>44.519433358476803</v>
      </c>
      <c r="K20">
        <v>14.9054196503296</v>
      </c>
      <c r="L20">
        <v>2.8002489413754027E-5</v>
      </c>
      <c r="M20">
        <v>1.7910430500587546E-6</v>
      </c>
      <c r="N20" s="1">
        <v>-1.8710094162800399E-7</v>
      </c>
      <c r="O20" s="1">
        <v>1.43087919480579E-10</v>
      </c>
      <c r="P20" s="1">
        <v>8.4005257423528797E-10</v>
      </c>
      <c r="Q20">
        <v>65.765127657634295</v>
      </c>
      <c r="S20">
        <v>18.996998627810001</v>
      </c>
      <c r="AA20">
        <v>0.32732490963058802</v>
      </c>
      <c r="AB20">
        <v>4.0220853375852501</v>
      </c>
      <c r="AC20">
        <v>10.888463467339699</v>
      </c>
      <c r="AJ20">
        <v>0.353845721582772</v>
      </c>
      <c r="AK20">
        <v>1.5913016566878099E-2</v>
      </c>
      <c r="AL20">
        <v>0.63024126185034901</v>
      </c>
    </row>
    <row r="21" spans="1:38" x14ac:dyDescent="0.2">
      <c r="A21">
        <v>80</v>
      </c>
      <c r="B21">
        <v>754</v>
      </c>
      <c r="C21">
        <v>175</v>
      </c>
      <c r="D21">
        <v>0.40749695760112897</v>
      </c>
      <c r="E21">
        <v>39.746492374942498</v>
      </c>
      <c r="F21">
        <v>2.52098162801013</v>
      </c>
      <c r="G21">
        <v>-627.17181843129924</v>
      </c>
      <c r="H21">
        <v>-542.97003739816876</v>
      </c>
      <c r="I21">
        <v>81.976129127323802</v>
      </c>
      <c r="J21">
        <v>47.088576140627801</v>
      </c>
      <c r="K21">
        <v>15.766276093933699</v>
      </c>
      <c r="L21">
        <v>2.7996894089163529E-5</v>
      </c>
      <c r="M21">
        <v>1.7909112982042289E-6</v>
      </c>
      <c r="N21" s="1">
        <v>-2.03877395538183E-7</v>
      </c>
      <c r="O21" s="1">
        <v>1.51334185117979E-10</v>
      </c>
      <c r="P21" s="1">
        <v>9.0571727439763396E-10</v>
      </c>
      <c r="Q21">
        <v>65.758710657116197</v>
      </c>
      <c r="S21">
        <v>18.992396169436201</v>
      </c>
      <c r="AA21">
        <v>0.32502515369164198</v>
      </c>
      <c r="AB21">
        <v>3.9957194530090399</v>
      </c>
      <c r="AC21">
        <v>10.928148566746801</v>
      </c>
      <c r="AJ21">
        <v>0.35157338978123698</v>
      </c>
      <c r="AK21">
        <v>1.5803335895679602E-2</v>
      </c>
      <c r="AL21">
        <v>0.63262327432308296</v>
      </c>
    </row>
    <row r="22" spans="1:38" x14ac:dyDescent="0.2">
      <c r="A22">
        <v>93</v>
      </c>
      <c r="B22">
        <v>764</v>
      </c>
      <c r="C22">
        <v>150</v>
      </c>
      <c r="D22">
        <v>0.44039965289495597</v>
      </c>
      <c r="E22">
        <v>3.7078115619098901</v>
      </c>
      <c r="F22">
        <v>2.5199581355943099</v>
      </c>
      <c r="G22">
        <v>-58.744438780934111</v>
      </c>
      <c r="H22">
        <v>-50.745841737709384</v>
      </c>
      <c r="I22">
        <v>7.7120927958585703</v>
      </c>
      <c r="J22">
        <v>4.4003307786693204</v>
      </c>
      <c r="K22">
        <v>1.4713782382084799</v>
      </c>
      <c r="L22">
        <v>2.8187626559912406E-5</v>
      </c>
      <c r="M22">
        <v>1.7961300149165168E-6</v>
      </c>
      <c r="N22" s="1">
        <v>-1.4764717626382799E-8</v>
      </c>
      <c r="O22" s="1">
        <v>1.4106088755051599E-11</v>
      </c>
      <c r="P22" s="1">
        <v>7.22908347789879E-11</v>
      </c>
      <c r="Q22">
        <v>65.890257796280906</v>
      </c>
      <c r="S22">
        <v>19.060703205426599</v>
      </c>
      <c r="AA22">
        <v>0.35068443123231102</v>
      </c>
      <c r="AB22">
        <v>4.4679409747311096</v>
      </c>
      <c r="AC22">
        <v>10.230413592329</v>
      </c>
      <c r="AJ22">
        <v>0.39217948566823402</v>
      </c>
      <c r="AK22">
        <v>1.7010015975970301E-2</v>
      </c>
      <c r="AL22">
        <v>0.59081049835579502</v>
      </c>
    </row>
    <row r="23" spans="1:38" x14ac:dyDescent="0.2">
      <c r="A23">
        <v>94</v>
      </c>
      <c r="B23">
        <v>763</v>
      </c>
      <c r="C23">
        <v>150</v>
      </c>
      <c r="D23">
        <v>0.43979201853014099</v>
      </c>
      <c r="E23">
        <v>10.707035154126199</v>
      </c>
      <c r="F23">
        <v>2.5198984715412802</v>
      </c>
      <c r="G23">
        <v>-169.55471273111681</v>
      </c>
      <c r="H23">
        <v>-146.50247326441041</v>
      </c>
      <c r="I23">
        <v>22.247975164509398</v>
      </c>
      <c r="J23">
        <v>12.702148365537999</v>
      </c>
      <c r="K23">
        <v>4.2489946619068704</v>
      </c>
      <c r="L23">
        <v>2.8142485291166115E-5</v>
      </c>
      <c r="M23">
        <v>1.7954011069683147E-6</v>
      </c>
      <c r="N23" s="1">
        <v>-4.3113643471134998E-8</v>
      </c>
      <c r="O23" s="1">
        <v>4.0751423126733003E-11</v>
      </c>
      <c r="P23" s="1">
        <v>2.10075692371948E-10</v>
      </c>
      <c r="Q23">
        <v>65.866179957378094</v>
      </c>
      <c r="S23">
        <v>19.050992843305998</v>
      </c>
      <c r="AA23">
        <v>0.34829151759954402</v>
      </c>
      <c r="AB23">
        <v>4.3888278250062296</v>
      </c>
      <c r="AC23">
        <v>10.3457078567099</v>
      </c>
      <c r="AJ23">
        <v>0.38539016594097297</v>
      </c>
      <c r="AK23">
        <v>1.69007420295503E-2</v>
      </c>
      <c r="AL23">
        <v>0.59770909202947498</v>
      </c>
    </row>
    <row r="24" spans="1:38" x14ac:dyDescent="0.2">
      <c r="A24">
        <v>95</v>
      </c>
      <c r="B24">
        <v>762</v>
      </c>
      <c r="C24">
        <v>150</v>
      </c>
      <c r="D24">
        <v>0.439183210162781</v>
      </c>
      <c r="E24">
        <v>31.4955718714154</v>
      </c>
      <c r="F24">
        <v>2.5197455082003102</v>
      </c>
      <c r="G24">
        <v>-498.24170284455079</v>
      </c>
      <c r="H24">
        <v>-430.61525716684838</v>
      </c>
      <c r="I24">
        <v>65.330092911850798</v>
      </c>
      <c r="J24">
        <v>37.3231706774977</v>
      </c>
      <c r="K24">
        <v>12.499505116257</v>
      </c>
      <c r="L24">
        <v>2.8003789652875372E-5</v>
      </c>
      <c r="M24">
        <v>1.7932448035721193E-6</v>
      </c>
      <c r="N24" s="1">
        <v>-1.2190334262901E-7</v>
      </c>
      <c r="O24" s="1">
        <v>1.2006841750633601E-10</v>
      </c>
      <c r="P24" s="1">
        <v>6.0311630022770405E-10</v>
      </c>
      <c r="Q24">
        <v>65.797225914056099</v>
      </c>
      <c r="S24">
        <v>19.0301381965734</v>
      </c>
      <c r="AA24">
        <v>0.34717570385764401</v>
      </c>
      <c r="AB24">
        <v>4.1804942689325397</v>
      </c>
      <c r="AC24">
        <v>10.644965916580199</v>
      </c>
      <c r="AJ24">
        <v>0.36748523324318499</v>
      </c>
      <c r="AK24">
        <v>1.6864457489675001E-2</v>
      </c>
      <c r="AL24">
        <v>0.61565030926713904</v>
      </c>
    </row>
    <row r="25" spans="1:38" x14ac:dyDescent="0.2">
      <c r="A25">
        <v>96</v>
      </c>
      <c r="B25">
        <v>761</v>
      </c>
      <c r="C25">
        <v>150</v>
      </c>
      <c r="D25">
        <v>0.43857322438717999</v>
      </c>
      <c r="E25">
        <v>37.851596537319999</v>
      </c>
      <c r="F25">
        <v>2.5197253163928801</v>
      </c>
      <c r="G25">
        <v>-598.51039400263016</v>
      </c>
      <c r="H25">
        <v>-517.39613447483839</v>
      </c>
      <c r="I25">
        <v>78.435681020927106</v>
      </c>
      <c r="J25">
        <v>44.839112036888899</v>
      </c>
      <c r="K25">
        <v>15.0221122481344</v>
      </c>
      <c r="L25">
        <v>2.7960080848920789E-5</v>
      </c>
      <c r="M25">
        <v>1.792561068270428E-6</v>
      </c>
      <c r="N25" s="1">
        <v>-1.48104988683183E-7</v>
      </c>
      <c r="O25" s="1">
        <v>1.4435771395910801E-10</v>
      </c>
      <c r="P25" s="1">
        <v>7.2924352073123296E-10</v>
      </c>
      <c r="Q25">
        <v>65.773770805045203</v>
      </c>
      <c r="S25">
        <v>19.020986148200201</v>
      </c>
      <c r="AA25">
        <v>0.345098099276125</v>
      </c>
      <c r="AB25">
        <v>4.1042325314568098</v>
      </c>
      <c r="AC25">
        <v>10.7559124160215</v>
      </c>
      <c r="AJ25">
        <v>0.36092154368678497</v>
      </c>
      <c r="AK25">
        <v>1.6770044129452599E-2</v>
      </c>
      <c r="AL25">
        <v>0.62230841218376198</v>
      </c>
    </row>
    <row r="26" spans="1:38" x14ac:dyDescent="0.2">
      <c r="A26">
        <v>97</v>
      </c>
      <c r="B26">
        <v>760</v>
      </c>
      <c r="C26">
        <v>150</v>
      </c>
      <c r="D26">
        <v>0.43796205778444602</v>
      </c>
      <c r="E26">
        <v>40.014507690721103</v>
      </c>
      <c r="F26">
        <v>2.5197370353939701</v>
      </c>
      <c r="G26">
        <v>-632.53457392147402</v>
      </c>
      <c r="H26">
        <v>-546.93214895316987</v>
      </c>
      <c r="I26">
        <v>82.855756635826495</v>
      </c>
      <c r="J26">
        <v>47.396179331358098</v>
      </c>
      <c r="K26">
        <v>15.880430032439699</v>
      </c>
      <c r="L26">
        <v>2.7948265967763009E-5</v>
      </c>
      <c r="M26">
        <v>1.7923611790132979E-6</v>
      </c>
      <c r="N26" s="1">
        <v>-1.6108612153769401E-7</v>
      </c>
      <c r="O26" s="1">
        <v>1.5260539887383E-10</v>
      </c>
      <c r="P26" s="1">
        <v>7.8392777112354701E-10</v>
      </c>
      <c r="Q26">
        <v>65.765508007305499</v>
      </c>
      <c r="S26">
        <v>19.015696286555301</v>
      </c>
      <c r="AA26">
        <v>0.34266192014809699</v>
      </c>
      <c r="AB26">
        <v>4.0719512696964504</v>
      </c>
      <c r="AC26">
        <v>10.8041825162944</v>
      </c>
      <c r="AJ26">
        <v>0.358141639088004</v>
      </c>
      <c r="AK26">
        <v>1.6654395712048901E-2</v>
      </c>
      <c r="AL26">
        <v>0.62520396519994603</v>
      </c>
    </row>
    <row r="27" spans="1:38" x14ac:dyDescent="0.2">
      <c r="A27">
        <v>114</v>
      </c>
      <c r="B27">
        <v>772</v>
      </c>
      <c r="C27">
        <v>125</v>
      </c>
      <c r="D27">
        <v>0.47153088073482102</v>
      </c>
      <c r="E27">
        <v>5.5964029954384298</v>
      </c>
      <c r="F27">
        <v>2.5189101890258798</v>
      </c>
      <c r="G27">
        <v>-88.890936057821676</v>
      </c>
      <c r="H27">
        <v>-76.657515857306095</v>
      </c>
      <c r="I27">
        <v>11.704942066225501</v>
      </c>
      <c r="J27">
        <v>6.6444430406985804</v>
      </c>
      <c r="K27">
        <v>2.2217556702975099</v>
      </c>
      <c r="L27">
        <v>2.8205985286978011E-5</v>
      </c>
      <c r="M27">
        <v>1.7984308996489244E-6</v>
      </c>
      <c r="N27" s="1">
        <v>-1.6564954124665001E-8</v>
      </c>
      <c r="O27" s="1">
        <v>2.1305689726060401E-11</v>
      </c>
      <c r="P27" s="1">
        <v>9.2449366991199798E-11</v>
      </c>
      <c r="Q27">
        <v>65.9220368515074</v>
      </c>
      <c r="S27">
        <v>19.102434139392301</v>
      </c>
      <c r="AA27">
        <v>0.377697670955009</v>
      </c>
      <c r="AB27">
        <v>4.6481619641611296</v>
      </c>
      <c r="AC27">
        <v>9.9496693739840598</v>
      </c>
      <c r="AJ27">
        <v>0.407625105010193</v>
      </c>
      <c r="AK27">
        <v>1.83035263282182E-2</v>
      </c>
      <c r="AL27">
        <v>0.57407136866158803</v>
      </c>
    </row>
    <row r="28" spans="1:38" x14ac:dyDescent="0.2">
      <c r="A28">
        <v>115</v>
      </c>
      <c r="B28">
        <v>771</v>
      </c>
      <c r="C28">
        <v>125</v>
      </c>
      <c r="D28">
        <v>0.47095771680314102</v>
      </c>
      <c r="E28">
        <v>17.157741042024298</v>
      </c>
      <c r="F28">
        <v>2.5187208285374401</v>
      </c>
      <c r="G28">
        <v>-272.30873821125232</v>
      </c>
      <c r="H28">
        <v>-234.89069574330108</v>
      </c>
      <c r="I28">
        <v>35.835888012212003</v>
      </c>
      <c r="J28">
        <v>20.355262100944898</v>
      </c>
      <c r="K28">
        <v>6.8120852647204098</v>
      </c>
      <c r="L28">
        <v>2.8109888427635782E-5</v>
      </c>
      <c r="M28">
        <v>1.796891218505028E-6</v>
      </c>
      <c r="N28" s="1">
        <v>-4.9834137796032599E-8</v>
      </c>
      <c r="O28" s="1">
        <v>6.5392206434039801E-11</v>
      </c>
      <c r="P28" s="1">
        <v>2.8048884977080301E-10</v>
      </c>
      <c r="Q28">
        <v>65.874060509746997</v>
      </c>
      <c r="S28">
        <v>19.085013223643202</v>
      </c>
      <c r="AA28">
        <v>0.37451986055730901</v>
      </c>
      <c r="AB28">
        <v>4.49557806342691</v>
      </c>
      <c r="AC28">
        <v>10.1708283426255</v>
      </c>
      <c r="AJ28">
        <v>0.394549755326084</v>
      </c>
      <c r="AK28">
        <v>1.8163597871137999E-2</v>
      </c>
      <c r="AL28">
        <v>0.58728664680277698</v>
      </c>
    </row>
    <row r="29" spans="1:38" x14ac:dyDescent="0.2">
      <c r="A29">
        <v>116</v>
      </c>
      <c r="B29">
        <v>770</v>
      </c>
      <c r="C29">
        <v>125</v>
      </c>
      <c r="D29">
        <v>0.47038345396155901</v>
      </c>
      <c r="E29">
        <v>30.162822014526</v>
      </c>
      <c r="F29">
        <v>2.5185469426801701</v>
      </c>
      <c r="G29">
        <v>-478.28174287845621</v>
      </c>
      <c r="H29">
        <v>-412.66560316467633</v>
      </c>
      <c r="I29">
        <v>62.901921788601598</v>
      </c>
      <c r="J29">
        <v>35.751962467350502</v>
      </c>
      <c r="K29">
        <v>11.976279458356</v>
      </c>
      <c r="L29">
        <v>2.7997711986124808E-5</v>
      </c>
      <c r="M29">
        <v>1.7951174175756713E-6</v>
      </c>
      <c r="N29" s="1">
        <v>-8.4925833016113695E-8</v>
      </c>
      <c r="O29" s="1">
        <v>1.15107711088306E-10</v>
      </c>
      <c r="P29" s="1">
        <v>4.8491668795889198E-10</v>
      </c>
      <c r="Q29">
        <v>65.817953394124601</v>
      </c>
      <c r="S29">
        <v>19.065826449595601</v>
      </c>
      <c r="AA29">
        <v>0.37178240390830902</v>
      </c>
      <c r="AB29">
        <v>4.3202457419892903</v>
      </c>
      <c r="AC29">
        <v>10.4241920103821</v>
      </c>
      <c r="AJ29">
        <v>0.37949996568059302</v>
      </c>
      <c r="AK29">
        <v>1.8046912457447498E-2</v>
      </c>
      <c r="AL29">
        <v>0.60245312186195898</v>
      </c>
    </row>
    <row r="30" spans="1:38" x14ac:dyDescent="0.2">
      <c r="A30">
        <v>117</v>
      </c>
      <c r="B30">
        <v>769</v>
      </c>
      <c r="C30">
        <v>125</v>
      </c>
      <c r="D30">
        <v>0.46980808904668597</v>
      </c>
      <c r="E30">
        <v>37.2247579419329</v>
      </c>
      <c r="F30">
        <v>2.5184781502573501</v>
      </c>
      <c r="G30">
        <v>-589.91125022363849</v>
      </c>
      <c r="H30">
        <v>-509.10308744319843</v>
      </c>
      <c r="I30">
        <v>77.539857775214699</v>
      </c>
      <c r="J30">
        <v>44.099541731393302</v>
      </c>
      <c r="K30">
        <v>14.7806555074258</v>
      </c>
      <c r="L30">
        <v>2.7934068537481792E-5</v>
      </c>
      <c r="M30">
        <v>1.7941281999382629E-6</v>
      </c>
      <c r="N30" s="1">
        <v>-1.04623918477787E-7</v>
      </c>
      <c r="O30" s="1">
        <v>1.42155510978602E-10</v>
      </c>
      <c r="P30" s="1">
        <v>5.9766144748767198E-10</v>
      </c>
      <c r="Q30">
        <v>65.785503422041202</v>
      </c>
      <c r="S30">
        <v>19.053490773345999</v>
      </c>
      <c r="AA30">
        <v>0.36917710206128701</v>
      </c>
      <c r="AB30">
        <v>4.2155931400637998</v>
      </c>
      <c r="AC30">
        <v>10.5762355624876</v>
      </c>
      <c r="AJ30">
        <v>0.370504237152119</v>
      </c>
      <c r="AK30">
        <v>1.7929989556821999E-2</v>
      </c>
      <c r="AL30">
        <v>0.61156577329105799</v>
      </c>
    </row>
    <row r="31" spans="1:38" x14ac:dyDescent="0.2">
      <c r="A31">
        <v>118</v>
      </c>
      <c r="B31">
        <v>768</v>
      </c>
      <c r="C31">
        <v>125</v>
      </c>
      <c r="D31">
        <v>0.46923161888296799</v>
      </c>
      <c r="E31">
        <v>39.919337081672303</v>
      </c>
      <c r="F31">
        <v>2.5184692442350598</v>
      </c>
      <c r="G31">
        <v>-632.39787330405773</v>
      </c>
      <c r="H31">
        <v>-545.8942938609606</v>
      </c>
      <c r="I31">
        <v>83.084646249913206</v>
      </c>
      <c r="J31">
        <v>47.2820342506256</v>
      </c>
      <c r="K31">
        <v>15.850635132055</v>
      </c>
      <c r="L31">
        <v>2.7910666680274397E-5</v>
      </c>
      <c r="M31">
        <v>1.7937731786706409E-6</v>
      </c>
      <c r="N31" s="1">
        <v>-1.14945254800933E-7</v>
      </c>
      <c r="O31" s="1">
        <v>1.5247268901198201E-10</v>
      </c>
      <c r="P31" s="1">
        <v>6.4883764252131396E-10</v>
      </c>
      <c r="Q31">
        <v>65.772739514805906</v>
      </c>
      <c r="S31">
        <v>19.046627514830298</v>
      </c>
      <c r="AA31">
        <v>0.366493126771264</v>
      </c>
      <c r="AB31">
        <v>4.1691565326801401</v>
      </c>
      <c r="AC31">
        <v>10.644983310912201</v>
      </c>
      <c r="AJ31">
        <v>0.36650958210350998</v>
      </c>
      <c r="AK31">
        <v>1.78038430385597E-2</v>
      </c>
      <c r="AL31">
        <v>0.61568657485792999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9B6F1-1CD0-48DD-AD26-249630023439}">
  <sheetPr codeName="Sheet11"/>
  <dimension ref="A1:AL9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19</v>
      </c>
      <c r="B2">
        <v>741</v>
      </c>
      <c r="C2">
        <v>275</v>
      </c>
      <c r="D2">
        <v>0.29053936794360102</v>
      </c>
      <c r="E2">
        <v>0.63262060457835601</v>
      </c>
      <c r="F2">
        <v>2.5255482338048698</v>
      </c>
      <c r="G2">
        <v>-9.9242169340928399</v>
      </c>
      <c r="H2">
        <v>-8.6142164569671085</v>
      </c>
      <c r="I2">
        <v>1.2917226023031401</v>
      </c>
      <c r="J2">
        <v>0.74972298942882898</v>
      </c>
      <c r="K2">
        <v>0.25048842707125002</v>
      </c>
      <c r="L2">
        <v>2.8088837788986493E-5</v>
      </c>
      <c r="M2">
        <v>1.7834234634390934E-6</v>
      </c>
      <c r="N2" s="1">
        <v>-5.28692771060941E-9</v>
      </c>
      <c r="O2" s="1">
        <v>2.3991253712212999E-12</v>
      </c>
      <c r="P2" s="1">
        <v>2.02677651815393E-11</v>
      </c>
      <c r="Q2">
        <v>65.699666941255899</v>
      </c>
      <c r="S2">
        <v>18.913356022677299</v>
      </c>
      <c r="AA2">
        <v>0.27359326722591798</v>
      </c>
      <c r="AB2">
        <v>3.6569296773636601</v>
      </c>
      <c r="AC2">
        <v>11.456454091476999</v>
      </c>
      <c r="AJ2">
        <v>0.32232068190732999</v>
      </c>
      <c r="AK2">
        <v>1.33256303024843E-2</v>
      </c>
      <c r="AL2">
        <v>0.664353687790185</v>
      </c>
    </row>
    <row r="3" spans="1:38" x14ac:dyDescent="0.2">
      <c r="A3">
        <v>20</v>
      </c>
      <c r="B3">
        <v>740</v>
      </c>
      <c r="C3">
        <v>275</v>
      </c>
      <c r="D3">
        <v>0.28977002418201098</v>
      </c>
      <c r="E3">
        <v>8.0981128504639006</v>
      </c>
      <c r="F3">
        <v>2.52578662188305</v>
      </c>
      <c r="G3">
        <v>-127.05511944092778</v>
      </c>
      <c r="H3">
        <v>-110.30635191172013</v>
      </c>
      <c r="I3">
        <v>16.531379883736498</v>
      </c>
      <c r="J3">
        <v>9.6026582187893492</v>
      </c>
      <c r="K3">
        <v>3.2061745755967701</v>
      </c>
      <c r="L3">
        <v>2.8151949178412797E-5</v>
      </c>
      <c r="M3">
        <v>1.7838969843503998E-6</v>
      </c>
      <c r="N3" s="1">
        <v>-7.1568155072953905E-8</v>
      </c>
      <c r="O3" s="1">
        <v>3.0661363404654603E-11</v>
      </c>
      <c r="P3" s="1">
        <v>2.7062960432280701E-10</v>
      </c>
      <c r="Q3">
        <v>65.705220829435106</v>
      </c>
      <c r="S3">
        <v>18.928380166911399</v>
      </c>
      <c r="AA3">
        <v>0.28469241617388003</v>
      </c>
      <c r="AB3">
        <v>3.7086939667650798</v>
      </c>
      <c r="AC3">
        <v>11.3730126207144</v>
      </c>
      <c r="AJ3">
        <v>0.32679677967896098</v>
      </c>
      <c r="AK3">
        <v>1.3862560644720801E-2</v>
      </c>
      <c r="AL3">
        <v>0.65934065967631705</v>
      </c>
    </row>
    <row r="4" spans="1:38" x14ac:dyDescent="0.2">
      <c r="A4">
        <v>20</v>
      </c>
      <c r="B4">
        <v>740</v>
      </c>
      <c r="C4">
        <v>275</v>
      </c>
      <c r="D4">
        <v>0.28977002418201098</v>
      </c>
      <c r="E4">
        <v>3.3049090672926198</v>
      </c>
      <c r="F4">
        <v>2.59300957983733</v>
      </c>
      <c r="G4">
        <v>-53.482858201279562</v>
      </c>
      <c r="H4">
        <v>-46.525803764645886</v>
      </c>
      <c r="I4">
        <v>6.8667565875079397</v>
      </c>
      <c r="J4">
        <v>4.0530164678631397</v>
      </c>
      <c r="K4">
        <v>1.2745456449489601</v>
      </c>
      <c r="L4">
        <v>3.1229062818875748E-5</v>
      </c>
      <c r="M4">
        <v>1.7681668968210401E-6</v>
      </c>
      <c r="N4" s="1">
        <v>-7.7505393181177794E-8</v>
      </c>
      <c r="O4" s="1">
        <v>1.07003309594935E-11</v>
      </c>
      <c r="P4" s="1">
        <v>2.5192190148640099E-10</v>
      </c>
      <c r="Q4">
        <v>63.290518584626099</v>
      </c>
      <c r="S4">
        <v>22.793025357625499</v>
      </c>
      <c r="AA4">
        <v>4.0365020270463798</v>
      </c>
      <c r="AB4">
        <v>8.4593292909782392</v>
      </c>
      <c r="AC4">
        <v>1.42062473972366</v>
      </c>
      <c r="AJ4">
        <v>0.72771135077161397</v>
      </c>
      <c r="AK4">
        <v>0.19188418572023</v>
      </c>
      <c r="AL4">
        <v>8.0404463508154306E-2</v>
      </c>
    </row>
    <row r="5" spans="1:38" x14ac:dyDescent="0.2">
      <c r="A5">
        <v>21</v>
      </c>
      <c r="B5">
        <v>739</v>
      </c>
      <c r="C5">
        <v>275</v>
      </c>
      <c r="D5">
        <v>0.28899916020352701</v>
      </c>
      <c r="E5">
        <v>31.535164410385502</v>
      </c>
      <c r="F5">
        <v>2.5258143254675298</v>
      </c>
      <c r="G5">
        <v>-494.77239594833219</v>
      </c>
      <c r="H5">
        <v>-429.63929188941813</v>
      </c>
      <c r="I5">
        <v>64.351236535013697</v>
      </c>
      <c r="J5">
        <v>37.411180925206502</v>
      </c>
      <c r="K5">
        <v>12.485147499726899</v>
      </c>
      <c r="L5">
        <v>2.820523708791293E-5</v>
      </c>
      <c r="M5">
        <v>1.7844625980021992E-6</v>
      </c>
      <c r="N5" s="1">
        <v>-2.92626499581179E-7</v>
      </c>
      <c r="O5" s="1">
        <v>1.19269185350248E-10</v>
      </c>
      <c r="P5" s="1">
        <v>1.0937667659281899E-9</v>
      </c>
      <c r="Q5">
        <v>65.720070081889205</v>
      </c>
      <c r="S5">
        <v>18.928392806902298</v>
      </c>
      <c r="AA5">
        <v>0.28123797423785202</v>
      </c>
      <c r="AB5">
        <v>3.74181786705332</v>
      </c>
      <c r="AC5">
        <v>11.3284812699172</v>
      </c>
      <c r="AJ5">
        <v>0.32965986422612897</v>
      </c>
      <c r="AK5">
        <v>1.36920407307459E-2</v>
      </c>
      <c r="AL5">
        <v>0.65664809504312405</v>
      </c>
    </row>
    <row r="6" spans="1:38" x14ac:dyDescent="0.2">
      <c r="A6">
        <v>21</v>
      </c>
      <c r="B6">
        <v>739</v>
      </c>
      <c r="C6">
        <v>275</v>
      </c>
      <c r="D6">
        <v>0.28899916020352701</v>
      </c>
      <c r="E6">
        <v>15.8747945367057</v>
      </c>
      <c r="F6">
        <v>2.59209528138055</v>
      </c>
      <c r="G6">
        <v>-256.84359746589683</v>
      </c>
      <c r="H6">
        <v>-223.47090860946005</v>
      </c>
      <c r="I6">
        <v>32.9720781074315</v>
      </c>
      <c r="J6">
        <v>19.485259863180801</v>
      </c>
      <c r="K6">
        <v>6.1243098009309298</v>
      </c>
      <c r="L6">
        <v>3.1366576954510342E-5</v>
      </c>
      <c r="M6">
        <v>1.7712579304294152E-6</v>
      </c>
      <c r="N6" s="1">
        <v>-3.8672847039504402E-7</v>
      </c>
      <c r="O6" s="1">
        <v>5.1394550103093102E-11</v>
      </c>
      <c r="P6" s="1">
        <v>1.25115507310356E-9</v>
      </c>
      <c r="Q6">
        <v>63.410525152821798</v>
      </c>
      <c r="S6">
        <v>22.707554372838299</v>
      </c>
      <c r="AA6">
        <v>3.9379856973504799</v>
      </c>
      <c r="AB6">
        <v>8.5026841951014607</v>
      </c>
      <c r="AC6">
        <v>1.4412505818878401</v>
      </c>
      <c r="AJ6">
        <v>0.731284610708131</v>
      </c>
      <c r="AK6">
        <v>0.18716097977643201</v>
      </c>
      <c r="AL6">
        <v>8.1554409515435203E-2</v>
      </c>
    </row>
    <row r="7" spans="1:38" x14ac:dyDescent="0.2">
      <c r="A7">
        <v>22</v>
      </c>
      <c r="B7">
        <v>738</v>
      </c>
      <c r="C7">
        <v>275</v>
      </c>
      <c r="D7">
        <v>0.28822677149780002</v>
      </c>
      <c r="E7">
        <v>37.796653012337401</v>
      </c>
      <c r="F7">
        <v>2.5258485241361099</v>
      </c>
      <c r="G7">
        <v>-592.9385049091303</v>
      </c>
      <c r="H7">
        <v>-514.99374922361142</v>
      </c>
      <c r="I7">
        <v>77.085255091251298</v>
      </c>
      <c r="J7">
        <v>44.850676503399001</v>
      </c>
      <c r="K7">
        <v>14.963942869560899</v>
      </c>
      <c r="L7">
        <v>2.8233337949488092E-5</v>
      </c>
      <c r="M7">
        <v>1.7846858876742983E-6</v>
      </c>
      <c r="N7" s="1">
        <v>-3.6435617111203699E-7</v>
      </c>
      <c r="O7" s="1">
        <v>1.42844297397582E-10</v>
      </c>
      <c r="P7" s="1">
        <v>1.34975228333379E-9</v>
      </c>
      <c r="Q7">
        <v>65.723857288980895</v>
      </c>
      <c r="S7">
        <v>18.926310265419598</v>
      </c>
      <c r="AA7">
        <v>0.278636163190706</v>
      </c>
      <c r="AB7">
        <v>3.7447978017493901</v>
      </c>
      <c r="AC7">
        <v>11.3263984806593</v>
      </c>
      <c r="AJ7">
        <v>0.32991740594935298</v>
      </c>
      <c r="AK7">
        <v>1.35651664562566E-2</v>
      </c>
      <c r="AL7">
        <v>0.65651742759438902</v>
      </c>
    </row>
    <row r="8" spans="1:38" x14ac:dyDescent="0.2">
      <c r="A8">
        <v>22</v>
      </c>
      <c r="B8">
        <v>738</v>
      </c>
      <c r="C8">
        <v>275</v>
      </c>
      <c r="D8">
        <v>0.28822677149780002</v>
      </c>
      <c r="E8">
        <v>19.297220798050599</v>
      </c>
      <c r="F8">
        <v>2.5919092756483302</v>
      </c>
      <c r="G8">
        <v>-312.172280846462</v>
      </c>
      <c r="H8">
        <v>-271.66586626476976</v>
      </c>
      <c r="I8">
        <v>40.059748387175198</v>
      </c>
      <c r="J8">
        <v>23.702799945226399</v>
      </c>
      <c r="K8">
        <v>7.4451760250071599</v>
      </c>
      <c r="L8">
        <v>3.1455787074537411E-5</v>
      </c>
      <c r="M8">
        <v>1.7723627590793952E-6</v>
      </c>
      <c r="N8" s="1">
        <v>-4.8650980655923298E-7</v>
      </c>
      <c r="O8" s="1">
        <v>6.2378202602797601E-11</v>
      </c>
      <c r="P8" s="1">
        <v>1.56748315306339E-9</v>
      </c>
      <c r="Q8">
        <v>63.445385064719503</v>
      </c>
      <c r="S8">
        <v>22.6837507112445</v>
      </c>
      <c r="AA8">
        <v>3.9102133489297901</v>
      </c>
      <c r="AB8">
        <v>8.5179632460965404</v>
      </c>
      <c r="AC8">
        <v>1.4426876290094901</v>
      </c>
      <c r="AJ8">
        <v>0.73254341860933303</v>
      </c>
      <c r="AK8">
        <v>0.185827016134476</v>
      </c>
      <c r="AL8">
        <v>8.1629565256190306E-2</v>
      </c>
    </row>
    <row r="9" spans="1:38" x14ac:dyDescent="0.2">
      <c r="A9">
        <v>38</v>
      </c>
      <c r="B9">
        <v>744</v>
      </c>
      <c r="C9">
        <v>250</v>
      </c>
      <c r="D9">
        <v>0.31987464975667701</v>
      </c>
      <c r="E9">
        <v>5.0667267997470304</v>
      </c>
      <c r="F9">
        <v>2.5245481039745701</v>
      </c>
      <c r="G9">
        <v>-79.635404914347774</v>
      </c>
      <c r="H9">
        <v>-69.080376333998601</v>
      </c>
      <c r="I9">
        <v>10.3770619676047</v>
      </c>
      <c r="J9">
        <v>6.0079782161693398</v>
      </c>
      <c r="K9">
        <v>2.0069836624503701</v>
      </c>
      <c r="L9">
        <v>2.8144224362092734E-5</v>
      </c>
      <c r="M9">
        <v>1.7862721910237916E-6</v>
      </c>
      <c r="N9" s="1">
        <v>-3.9340681473232003E-8</v>
      </c>
      <c r="O9" s="1">
        <v>1.9209036904177301E-11</v>
      </c>
      <c r="P9" s="1">
        <v>1.5386744897629799E-10</v>
      </c>
      <c r="Q9">
        <v>65.741280822085599</v>
      </c>
      <c r="S9">
        <v>18.9498499239218</v>
      </c>
      <c r="AA9">
        <v>0.293991079226885</v>
      </c>
      <c r="AB9">
        <v>3.8453374861887499</v>
      </c>
      <c r="AC9">
        <v>11.1695406885768</v>
      </c>
      <c r="AJ9">
        <v>0.33860124066881198</v>
      </c>
      <c r="AK9">
        <v>1.4305367733092799E-2</v>
      </c>
      <c r="AL9">
        <v>0.64709339159809398</v>
      </c>
    </row>
    <row r="10" spans="1:38" x14ac:dyDescent="0.2">
      <c r="A10">
        <v>38</v>
      </c>
      <c r="B10">
        <v>744</v>
      </c>
      <c r="C10">
        <v>250</v>
      </c>
      <c r="D10">
        <v>0.31987464975667701</v>
      </c>
      <c r="E10">
        <v>2.8643921103527998</v>
      </c>
      <c r="F10">
        <v>2.5899188834782501</v>
      </c>
      <c r="G10">
        <v>-46.394630187899523</v>
      </c>
      <c r="H10">
        <v>-40.324184204066576</v>
      </c>
      <c r="I10">
        <v>5.96809318569822</v>
      </c>
      <c r="J10">
        <v>3.5048559089217401</v>
      </c>
      <c r="K10">
        <v>1.10597753799375</v>
      </c>
      <c r="L10">
        <v>3.1029348292666264E-5</v>
      </c>
      <c r="M10">
        <v>1.7725078336173821E-6</v>
      </c>
      <c r="N10" s="1">
        <v>-5.80605961044498E-8</v>
      </c>
      <c r="O10" s="1">
        <v>9.3831209544771808E-12</v>
      </c>
      <c r="P10" s="1">
        <v>1.92321287947981E-10</v>
      </c>
      <c r="Q10">
        <v>63.4651221068141</v>
      </c>
      <c r="S10">
        <v>22.660802461727499</v>
      </c>
      <c r="AA10">
        <v>3.8866754391568898</v>
      </c>
      <c r="AB10">
        <v>8.5017843665615693</v>
      </c>
      <c r="AC10">
        <v>1.4856156257398001</v>
      </c>
      <c r="AJ10">
        <v>0.731211302548189</v>
      </c>
      <c r="AK10">
        <v>0.18472338420924</v>
      </c>
      <c r="AL10">
        <v>8.4065313242569301E-2</v>
      </c>
    </row>
    <row r="11" spans="1:38" x14ac:dyDescent="0.2">
      <c r="A11">
        <v>39</v>
      </c>
      <c r="B11">
        <v>743</v>
      </c>
      <c r="C11">
        <v>250</v>
      </c>
      <c r="D11">
        <v>0.31913644639078897</v>
      </c>
      <c r="E11">
        <v>12.8527226552771</v>
      </c>
      <c r="F11">
        <v>2.52458169106009</v>
      </c>
      <c r="G11">
        <v>-201.96684566337871</v>
      </c>
      <c r="H11">
        <v>-175.236614980746</v>
      </c>
      <c r="I11">
        <v>26.3053984969076</v>
      </c>
      <c r="J11">
        <v>15.241324034635401</v>
      </c>
      <c r="K11">
        <v>5.0910306055020902</v>
      </c>
      <c r="L11">
        <v>2.8150486664943594E-5</v>
      </c>
      <c r="M11">
        <v>1.7862429656254007E-6</v>
      </c>
      <c r="N11" s="1">
        <v>-1.0297113885204399E-7</v>
      </c>
      <c r="O11" s="1">
        <v>4.8708787874194402E-11</v>
      </c>
      <c r="P11" s="1">
        <v>3.9936120195550002E-10</v>
      </c>
      <c r="Q11">
        <v>65.737399302842704</v>
      </c>
      <c r="S11">
        <v>18.9461839350923</v>
      </c>
      <c r="AA11">
        <v>0.29187230035738598</v>
      </c>
      <c r="AB11">
        <v>3.8270768623470701</v>
      </c>
      <c r="AC11">
        <v>11.197467599360399</v>
      </c>
      <c r="AJ11">
        <v>0.33702468724540102</v>
      </c>
      <c r="AK11">
        <v>1.4203592405307001E-2</v>
      </c>
      <c r="AL11">
        <v>0.64877172034929098</v>
      </c>
    </row>
    <row r="12" spans="1:38" x14ac:dyDescent="0.2">
      <c r="A12">
        <v>39</v>
      </c>
      <c r="B12">
        <v>743</v>
      </c>
      <c r="C12">
        <v>250</v>
      </c>
      <c r="D12">
        <v>0.31913644639078897</v>
      </c>
      <c r="E12">
        <v>6.5136985638522802</v>
      </c>
      <c r="F12">
        <v>2.5902373652127202</v>
      </c>
      <c r="G12">
        <v>-105.493456430892</v>
      </c>
      <c r="H12">
        <v>-91.711241265321163</v>
      </c>
      <c r="I12">
        <v>13.5631699705465</v>
      </c>
      <c r="J12">
        <v>7.9738386586451702</v>
      </c>
      <c r="K12">
        <v>2.5147110652221301</v>
      </c>
      <c r="L12">
        <v>3.1073126959470056E-5</v>
      </c>
      <c r="M12">
        <v>1.772214974192533E-6</v>
      </c>
      <c r="N12" s="1">
        <v>-1.3626682296657799E-7</v>
      </c>
      <c r="O12" s="1">
        <v>2.1291420342962301E-11</v>
      </c>
      <c r="P12" s="1">
        <v>4.4942211639912699E-10</v>
      </c>
      <c r="Q12">
        <v>63.441435108092101</v>
      </c>
      <c r="S12">
        <v>22.679542011931701</v>
      </c>
      <c r="AA12">
        <v>3.9076627972827001</v>
      </c>
      <c r="AB12">
        <v>8.4981273271236404</v>
      </c>
      <c r="AC12">
        <v>1.47323275556977</v>
      </c>
      <c r="AJ12">
        <v>0.73090975036452999</v>
      </c>
      <c r="AK12">
        <v>0.185724155458629</v>
      </c>
      <c r="AL12">
        <v>8.3366094176840599E-2</v>
      </c>
    </row>
    <row r="13" spans="1:38" x14ac:dyDescent="0.2">
      <c r="A13">
        <v>40</v>
      </c>
      <c r="B13">
        <v>742</v>
      </c>
      <c r="C13">
        <v>250</v>
      </c>
      <c r="D13">
        <v>0.318396788651924</v>
      </c>
      <c r="E13">
        <v>36.758896417132</v>
      </c>
      <c r="F13">
        <v>2.5246159615272199</v>
      </c>
      <c r="G13">
        <v>-577.51130152732617</v>
      </c>
      <c r="H13">
        <v>-501.18850314357366</v>
      </c>
      <c r="I13">
        <v>75.183764353792498</v>
      </c>
      <c r="J13">
        <v>43.594344699944998</v>
      </c>
      <c r="K13">
        <v>14.5601933035769</v>
      </c>
      <c r="L13">
        <v>2.8160336528637671E-5</v>
      </c>
      <c r="M13">
        <v>1.7862566726872115E-6</v>
      </c>
      <c r="N13" s="1">
        <v>-3.0423212078190202E-7</v>
      </c>
      <c r="O13" s="1">
        <v>1.3924616553424301E-10</v>
      </c>
      <c r="P13" s="1">
        <v>1.1699061064245201E-9</v>
      </c>
      <c r="Q13">
        <v>65.734821222045994</v>
      </c>
      <c r="S13">
        <v>18.942800713226099</v>
      </c>
      <c r="AA13">
        <v>0.28968266758557698</v>
      </c>
      <c r="AB13">
        <v>3.81246219155156</v>
      </c>
      <c r="AC13">
        <v>11.2202332055907</v>
      </c>
      <c r="AJ13">
        <v>0.33576270373129902</v>
      </c>
      <c r="AK13">
        <v>1.40980877484522E-2</v>
      </c>
      <c r="AL13">
        <v>0.65013920852024798</v>
      </c>
    </row>
    <row r="14" spans="1:38" x14ac:dyDescent="0.2">
      <c r="A14">
        <v>40</v>
      </c>
      <c r="B14">
        <v>742</v>
      </c>
      <c r="C14">
        <v>250</v>
      </c>
      <c r="D14">
        <v>0.318396788651924</v>
      </c>
      <c r="E14">
        <v>18.4627453434153</v>
      </c>
      <c r="F14">
        <v>2.5904711676666601</v>
      </c>
      <c r="G14">
        <v>-298.98726938513789</v>
      </c>
      <c r="H14">
        <v>-259.98428898186916</v>
      </c>
      <c r="I14">
        <v>38.420903712031397</v>
      </c>
      <c r="J14">
        <v>22.612802672693</v>
      </c>
      <c r="K14">
        <v>7.12717654373487</v>
      </c>
      <c r="L14">
        <v>3.1124185905902775E-5</v>
      </c>
      <c r="M14">
        <v>1.7721525373272679E-6</v>
      </c>
      <c r="N14" s="1">
        <v>-3.98818408897811E-7</v>
      </c>
      <c r="O14" s="1">
        <v>6.0225698586664905E-11</v>
      </c>
      <c r="P14" s="1">
        <v>1.30970187607933E-9</v>
      </c>
      <c r="Q14">
        <v>63.427457052171498</v>
      </c>
      <c r="S14">
        <v>22.691199313813101</v>
      </c>
      <c r="AA14">
        <v>3.92054177895292</v>
      </c>
      <c r="AB14">
        <v>8.4975391114129799</v>
      </c>
      <c r="AC14">
        <v>1.4632627436493</v>
      </c>
      <c r="AJ14">
        <v>0.73086109687831902</v>
      </c>
      <c r="AK14">
        <v>0.18633676429197099</v>
      </c>
      <c r="AL14">
        <v>8.2802138829708299E-2</v>
      </c>
    </row>
    <row r="15" spans="1:38" x14ac:dyDescent="0.2">
      <c r="A15">
        <v>41</v>
      </c>
      <c r="B15">
        <v>741</v>
      </c>
      <c r="C15">
        <v>250</v>
      </c>
      <c r="D15">
        <v>0.31765567223783697</v>
      </c>
      <c r="E15">
        <v>39.1246051218478</v>
      </c>
      <c r="F15">
        <v>2.5246505893233602</v>
      </c>
      <c r="G15">
        <v>-614.56634142770895</v>
      </c>
      <c r="H15">
        <v>-533.46352735935159</v>
      </c>
      <c r="I15">
        <v>79.971221287144303</v>
      </c>
      <c r="J15">
        <v>46.405886502658802</v>
      </c>
      <c r="K15">
        <v>15.4970376048487</v>
      </c>
      <c r="L15">
        <v>2.8174267653620819E-5</v>
      </c>
      <c r="M15">
        <v>1.7863188603359514E-6</v>
      </c>
      <c r="N15" s="1">
        <v>-3.3496131318131601E-7</v>
      </c>
      <c r="O15" s="1">
        <v>1.4813251507737101E-10</v>
      </c>
      <c r="P15" s="1">
        <v>1.2769649765852801E-9</v>
      </c>
      <c r="Q15">
        <v>65.733721939428804</v>
      </c>
      <c r="S15">
        <v>18.939729965888599</v>
      </c>
      <c r="AA15">
        <v>0.28740577216082203</v>
      </c>
      <c r="AB15">
        <v>3.8019621358109199</v>
      </c>
      <c r="AC15">
        <v>11.237180186710701</v>
      </c>
      <c r="AJ15">
        <v>0.33485590812872201</v>
      </c>
      <c r="AK15">
        <v>1.3988026777666199E-2</v>
      </c>
      <c r="AL15">
        <v>0.65115606509361101</v>
      </c>
    </row>
    <row r="16" spans="1:38" x14ac:dyDescent="0.2">
      <c r="A16">
        <v>41</v>
      </c>
      <c r="B16">
        <v>741</v>
      </c>
      <c r="C16">
        <v>250</v>
      </c>
      <c r="D16">
        <v>0.31765567223783697</v>
      </c>
      <c r="E16">
        <v>19.674584457154399</v>
      </c>
      <c r="F16">
        <v>2.5906081893347999</v>
      </c>
      <c r="G16">
        <v>-318.57813632719478</v>
      </c>
      <c r="H16">
        <v>-277.08030744414691</v>
      </c>
      <c r="I16">
        <v>40.918827474286701</v>
      </c>
      <c r="J16">
        <v>24.1101721975899</v>
      </c>
      <c r="K16">
        <v>7.5945812794663903</v>
      </c>
      <c r="L16">
        <v>3.1183542248531873E-5</v>
      </c>
      <c r="M16">
        <v>1.7723556317833819E-6</v>
      </c>
      <c r="N16" s="1">
        <v>-4.3906679338901601E-7</v>
      </c>
      <c r="O16" s="1">
        <v>6.4055317236693494E-11</v>
      </c>
      <c r="P16" s="1">
        <v>1.4357309349119899E-9</v>
      </c>
      <c r="Q16">
        <v>63.424654557013803</v>
      </c>
      <c r="S16">
        <v>22.694724245219302</v>
      </c>
      <c r="AA16">
        <v>3.9241038073878798</v>
      </c>
      <c r="AB16">
        <v>8.5005349671712196</v>
      </c>
      <c r="AC16">
        <v>1.4559824232077401</v>
      </c>
      <c r="AJ16">
        <v>0.73110780495704197</v>
      </c>
      <c r="AK16">
        <v>0.186503265362673</v>
      </c>
      <c r="AL16">
        <v>8.2388929680284495E-2</v>
      </c>
    </row>
    <row r="17" spans="1:38" x14ac:dyDescent="0.2">
      <c r="A17">
        <v>51</v>
      </c>
      <c r="B17">
        <v>750</v>
      </c>
      <c r="C17">
        <v>225</v>
      </c>
      <c r="D17">
        <v>0.35115134633240402</v>
      </c>
      <c r="E17">
        <v>0.38992732181226097</v>
      </c>
      <c r="F17">
        <v>2.5883544809138499</v>
      </c>
      <c r="G17">
        <v>-6.3252130913968063</v>
      </c>
      <c r="H17">
        <v>-5.4909398279283126</v>
      </c>
      <c r="I17">
        <v>0.81539682692517601</v>
      </c>
      <c r="J17">
        <v>0.47583424738183799</v>
      </c>
      <c r="K17">
        <v>0.150646800771505</v>
      </c>
      <c r="L17">
        <v>3.0724099459114914E-5</v>
      </c>
      <c r="M17">
        <v>1.7733365151433447E-6</v>
      </c>
      <c r="N17" s="1">
        <v>-6.4150938719334798E-9</v>
      </c>
      <c r="O17" s="1">
        <v>1.2897477044265499E-12</v>
      </c>
      <c r="P17" s="1">
        <v>2.1917470394043101E-11</v>
      </c>
      <c r="Q17">
        <v>63.4886811188804</v>
      </c>
      <c r="S17">
        <v>22.656019670179099</v>
      </c>
      <c r="AA17">
        <v>3.8772324137642298</v>
      </c>
      <c r="AB17">
        <v>8.5417456519182</v>
      </c>
      <c r="AC17">
        <v>1.4363211452578799</v>
      </c>
      <c r="AJ17">
        <v>0.73450225963848603</v>
      </c>
      <c r="AK17">
        <v>0.18423796418101701</v>
      </c>
      <c r="AL17">
        <v>8.1259776180495596E-2</v>
      </c>
    </row>
    <row r="18" spans="1:38" x14ac:dyDescent="0.2">
      <c r="A18">
        <v>52</v>
      </c>
      <c r="B18">
        <v>749</v>
      </c>
      <c r="C18">
        <v>225</v>
      </c>
      <c r="D18">
        <v>0.350448075135744</v>
      </c>
      <c r="E18">
        <v>1.25471778770105</v>
      </c>
      <c r="F18">
        <v>2.5871786838237298</v>
      </c>
      <c r="G18">
        <v>-20.345418928658088</v>
      </c>
      <c r="H18">
        <v>-17.664488570432912</v>
      </c>
      <c r="I18">
        <v>2.6228345724455</v>
      </c>
      <c r="J18">
        <v>1.53178206694556</v>
      </c>
      <c r="K18">
        <v>0.48497531134828398</v>
      </c>
      <c r="L18">
        <v>3.0809972481931201E-5</v>
      </c>
      <c r="M18">
        <v>1.7759997609047214E-6</v>
      </c>
      <c r="N18" s="1">
        <v>-2.1328803212983899E-8</v>
      </c>
      <c r="O18" s="1">
        <v>4.1553849282863296E-12</v>
      </c>
      <c r="P18" s="1">
        <v>7.2485740461435399E-11</v>
      </c>
      <c r="Q18">
        <v>63.603627074339599</v>
      </c>
      <c r="S18">
        <v>22.560670990780999</v>
      </c>
      <c r="AA18">
        <v>3.7717477096738601</v>
      </c>
      <c r="AB18">
        <v>8.5479275912869692</v>
      </c>
      <c r="AC18">
        <v>1.5160266339183901</v>
      </c>
      <c r="AJ18">
        <v>0.73501289213172005</v>
      </c>
      <c r="AK18">
        <v>0.17922044348668101</v>
      </c>
      <c r="AL18">
        <v>8.5766664381598107E-2</v>
      </c>
    </row>
    <row r="19" spans="1:38" x14ac:dyDescent="0.2">
      <c r="A19">
        <v>53</v>
      </c>
      <c r="B19">
        <v>748</v>
      </c>
      <c r="C19">
        <v>225</v>
      </c>
      <c r="D19">
        <v>0.34974342652891699</v>
      </c>
      <c r="E19">
        <v>3.67023752223202</v>
      </c>
      <c r="F19">
        <v>2.58682306015496</v>
      </c>
      <c r="G19">
        <v>-59.498441162128827</v>
      </c>
      <c r="H19">
        <v>-51.66806755995453</v>
      </c>
      <c r="I19">
        <v>7.6681913550157104</v>
      </c>
      <c r="J19">
        <v>4.48225272557998</v>
      </c>
      <c r="K19">
        <v>1.41882047472243</v>
      </c>
      <c r="L19">
        <v>3.086036532931417E-5</v>
      </c>
      <c r="M19">
        <v>1.7768383820643791E-6</v>
      </c>
      <c r="N19" s="1">
        <v>-6.4340964020134696E-8</v>
      </c>
      <c r="O19" s="1">
        <v>1.2149581251139001E-11</v>
      </c>
      <c r="P19" s="1">
        <v>2.17605833426609E-10</v>
      </c>
      <c r="Q19">
        <v>63.6362054558696</v>
      </c>
      <c r="S19">
        <v>22.5300971930237</v>
      </c>
      <c r="AA19">
        <v>3.7389222935184301</v>
      </c>
      <c r="AB19">
        <v>8.5403735820578106</v>
      </c>
      <c r="AC19">
        <v>1.5544014755303199</v>
      </c>
      <c r="AJ19">
        <v>0.73439147577181196</v>
      </c>
      <c r="AK19">
        <v>0.17766749879603799</v>
      </c>
      <c r="AL19">
        <v>8.7941025432149295E-2</v>
      </c>
    </row>
    <row r="20" spans="1:38" x14ac:dyDescent="0.2">
      <c r="A20">
        <v>53</v>
      </c>
      <c r="B20">
        <v>748</v>
      </c>
      <c r="C20">
        <v>225</v>
      </c>
      <c r="D20">
        <v>0.34974342652891699</v>
      </c>
      <c r="E20">
        <v>4.4809238612165601</v>
      </c>
      <c r="F20">
        <v>2.5233490778625902</v>
      </c>
      <c r="G20">
        <v>-70.554333770842732</v>
      </c>
      <c r="H20">
        <v>-61.152304729041454</v>
      </c>
      <c r="I20">
        <v>9.2072947576764097</v>
      </c>
      <c r="J20">
        <v>5.3138662336317601</v>
      </c>
      <c r="K20">
        <v>1.7757843734455201</v>
      </c>
      <c r="L20">
        <v>2.8147055852608837E-5</v>
      </c>
      <c r="M20">
        <v>1.7887054952565875E-6</v>
      </c>
      <c r="N20" s="1">
        <v>-3.05546531683829E-8</v>
      </c>
      <c r="O20" s="1">
        <v>1.70054687356262E-11</v>
      </c>
      <c r="P20" s="1">
        <v>1.239813347113E-10</v>
      </c>
      <c r="Q20">
        <v>65.777800590104405</v>
      </c>
      <c r="S20">
        <v>18.972293680424599</v>
      </c>
      <c r="AA20">
        <v>0.30398601953734899</v>
      </c>
      <c r="AB20">
        <v>3.9855590566661898</v>
      </c>
      <c r="AC20">
        <v>10.960360653267401</v>
      </c>
      <c r="AJ20">
        <v>0.35069771317048798</v>
      </c>
      <c r="AK20">
        <v>1.4781145300570699E-2</v>
      </c>
      <c r="AL20">
        <v>0.63452114152894001</v>
      </c>
    </row>
    <row r="21" spans="1:38" x14ac:dyDescent="0.2">
      <c r="A21">
        <v>54</v>
      </c>
      <c r="B21">
        <v>747</v>
      </c>
      <c r="C21">
        <v>225</v>
      </c>
      <c r="D21">
        <v>0.34903739646130499</v>
      </c>
      <c r="E21">
        <v>7.0004379723186201</v>
      </c>
      <c r="F21">
        <v>2.5874848806927702</v>
      </c>
      <c r="G21">
        <v>-113.47931433011087</v>
      </c>
      <c r="H21">
        <v>-98.568876344760568</v>
      </c>
      <c r="I21">
        <v>14.6159270551882</v>
      </c>
      <c r="J21">
        <v>8.5519921822293394</v>
      </c>
      <c r="K21">
        <v>2.7054990831267398</v>
      </c>
      <c r="L21">
        <v>3.0875995981611317E-5</v>
      </c>
      <c r="M21">
        <v>1.7756440661123002E-6</v>
      </c>
      <c r="N21" s="1">
        <v>-1.2642444316170599E-7</v>
      </c>
      <c r="O21" s="1">
        <v>2.31137556220441E-11</v>
      </c>
      <c r="P21" s="1">
        <v>4.2565153801045998E-10</v>
      </c>
      <c r="Q21">
        <v>63.574216236380202</v>
      </c>
      <c r="S21">
        <v>22.577027738230601</v>
      </c>
      <c r="AA21">
        <v>3.7921048107653998</v>
      </c>
      <c r="AB21">
        <v>8.5252684558017506</v>
      </c>
      <c r="AC21">
        <v>1.53138275882195</v>
      </c>
      <c r="AJ21">
        <v>0.73314686472337398</v>
      </c>
      <c r="AK21">
        <v>0.180207989232055</v>
      </c>
      <c r="AL21">
        <v>8.6645146044569396E-2</v>
      </c>
    </row>
    <row r="22" spans="1:38" x14ac:dyDescent="0.2">
      <c r="A22">
        <v>54</v>
      </c>
      <c r="B22">
        <v>747</v>
      </c>
      <c r="C22">
        <v>225</v>
      </c>
      <c r="D22">
        <v>0.34903739646130499</v>
      </c>
      <c r="E22">
        <v>12.271840360875901</v>
      </c>
      <c r="F22">
        <v>2.52337336595849</v>
      </c>
      <c r="G22">
        <v>-193.1714541976917</v>
      </c>
      <c r="H22">
        <v>-167.46728487507755</v>
      </c>
      <c r="I22">
        <v>25.196460640703901</v>
      </c>
      <c r="J22">
        <v>14.5521123494063</v>
      </c>
      <c r="K22">
        <v>4.8632677694188704</v>
      </c>
      <c r="L22">
        <v>2.8138885226196257E-5</v>
      </c>
      <c r="M22">
        <v>1.7884948548784389E-6</v>
      </c>
      <c r="N22" s="1">
        <v>-8.5904487057569804E-8</v>
      </c>
      <c r="O22" s="1">
        <v>4.6565600894789399E-11</v>
      </c>
      <c r="P22" s="1">
        <v>3.4587603305558202E-10</v>
      </c>
      <c r="Q22">
        <v>65.768464050267696</v>
      </c>
      <c r="S22">
        <v>18.967335073645799</v>
      </c>
      <c r="AA22">
        <v>0.30207367210503799</v>
      </c>
      <c r="AB22">
        <v>3.9517534459120802</v>
      </c>
      <c r="AC22">
        <v>11.0103737580692</v>
      </c>
      <c r="AJ22">
        <v>0.347782987513373</v>
      </c>
      <c r="AK22">
        <v>1.4690688784762601E-2</v>
      </c>
      <c r="AL22">
        <v>0.63752632370186302</v>
      </c>
    </row>
    <row r="23" spans="1:38" x14ac:dyDescent="0.2">
      <c r="A23">
        <v>55</v>
      </c>
      <c r="B23">
        <v>746</v>
      </c>
      <c r="C23">
        <v>225</v>
      </c>
      <c r="D23">
        <v>0.34832998086640898</v>
      </c>
      <c r="E23">
        <v>18.013457934821702</v>
      </c>
      <c r="F23">
        <v>2.5889701062452399</v>
      </c>
      <c r="G23">
        <v>-292.01658092958803</v>
      </c>
      <c r="H23">
        <v>-253.71993906021146</v>
      </c>
      <c r="I23">
        <v>37.577041524188203</v>
      </c>
      <c r="J23">
        <v>22.009138098191102</v>
      </c>
      <c r="K23">
        <v>6.9577697677423096</v>
      </c>
      <c r="L23">
        <v>3.0839031470631169E-5</v>
      </c>
      <c r="M23">
        <v>1.7722478875485113E-6</v>
      </c>
      <c r="N23" s="1">
        <v>-3.33753761358375E-7</v>
      </c>
      <c r="O23" s="1">
        <v>5.9224564640006004E-11</v>
      </c>
      <c r="P23" s="1">
        <v>1.1194108785004199E-9</v>
      </c>
      <c r="Q23">
        <v>63.417439564009101</v>
      </c>
      <c r="S23">
        <v>22.692929910994302</v>
      </c>
      <c r="AA23">
        <v>3.9243069832622002</v>
      </c>
      <c r="AB23">
        <v>8.47975266166263</v>
      </c>
      <c r="AC23">
        <v>1.48557088007166</v>
      </c>
      <c r="AJ23">
        <v>0.72939584332836505</v>
      </c>
      <c r="AK23">
        <v>0.18653222158389701</v>
      </c>
      <c r="AL23">
        <v>8.4071935087737998E-2</v>
      </c>
    </row>
    <row r="24" spans="1:38" x14ac:dyDescent="0.2">
      <c r="A24">
        <v>55</v>
      </c>
      <c r="B24">
        <v>746</v>
      </c>
      <c r="C24">
        <v>225</v>
      </c>
      <c r="D24">
        <v>0.34832998086640898</v>
      </c>
      <c r="E24">
        <v>36.386143848750798</v>
      </c>
      <c r="F24">
        <v>2.5233955047875498</v>
      </c>
      <c r="G24">
        <v>-572.50693484800024</v>
      </c>
      <c r="H24">
        <v>-496.44331708480132</v>
      </c>
      <c r="I24">
        <v>74.634369585634005</v>
      </c>
      <c r="J24">
        <v>43.134609014474101</v>
      </c>
      <c r="K24">
        <v>14.4195167898637</v>
      </c>
      <c r="L24">
        <v>2.8102270883196648E-5</v>
      </c>
      <c r="M24">
        <v>1.7878862299175986E-6</v>
      </c>
      <c r="N24" s="1">
        <v>-2.58249853764421E-7</v>
      </c>
      <c r="O24" s="1">
        <v>1.3809978511554301E-10</v>
      </c>
      <c r="P24" s="1">
        <v>1.0353234112754399E-9</v>
      </c>
      <c r="Q24">
        <v>65.746366321765393</v>
      </c>
      <c r="S24">
        <v>18.959768256871701</v>
      </c>
      <c r="AA24">
        <v>0.30098717363911598</v>
      </c>
      <c r="AB24">
        <v>3.8826724488510802</v>
      </c>
      <c r="AC24">
        <v>11.110205798872499</v>
      </c>
      <c r="AJ24">
        <v>0.34182366680363901</v>
      </c>
      <c r="AK24">
        <v>1.4643003081286601E-2</v>
      </c>
      <c r="AL24">
        <v>0.64353333011507297</v>
      </c>
    </row>
    <row r="25" spans="1:38" x14ac:dyDescent="0.2">
      <c r="A25">
        <v>56</v>
      </c>
      <c r="B25">
        <v>745</v>
      </c>
      <c r="C25">
        <v>225</v>
      </c>
      <c r="D25">
        <v>0.347621175661739</v>
      </c>
      <c r="E25">
        <v>19.2571099295191</v>
      </c>
      <c r="F25">
        <v>2.5892555681379101</v>
      </c>
      <c r="G25">
        <v>-312.14941317475518</v>
      </c>
      <c r="H25">
        <v>-271.27392660487681</v>
      </c>
      <c r="I25">
        <v>40.146821755024597</v>
      </c>
      <c r="J25">
        <v>23.538670869415</v>
      </c>
      <c r="K25">
        <v>7.4373152524947796</v>
      </c>
      <c r="L25">
        <v>3.0880371586260015E-5</v>
      </c>
      <c r="M25">
        <v>1.7720275827988063E-6</v>
      </c>
      <c r="N25" s="1">
        <v>-3.6825925581649602E-7</v>
      </c>
      <c r="O25" s="1">
        <v>6.3190208014687E-11</v>
      </c>
      <c r="P25" s="1">
        <v>1.22945066205956E-9</v>
      </c>
      <c r="Q25">
        <v>63.397481287138099</v>
      </c>
      <c r="S25">
        <v>22.708951271744599</v>
      </c>
      <c r="AA25">
        <v>3.9421817609874501</v>
      </c>
      <c r="AB25">
        <v>8.4772787919015293</v>
      </c>
      <c r="AC25">
        <v>1.47410688822822</v>
      </c>
      <c r="AJ25">
        <v>0.72919175242399203</v>
      </c>
      <c r="AK25">
        <v>0.187384091081534</v>
      </c>
      <c r="AL25">
        <v>8.34241564944736E-2</v>
      </c>
    </row>
    <row r="26" spans="1:38" x14ac:dyDescent="0.2">
      <c r="A26">
        <v>56</v>
      </c>
      <c r="B26">
        <v>745</v>
      </c>
      <c r="C26">
        <v>225</v>
      </c>
      <c r="D26">
        <v>0.347621175661739</v>
      </c>
      <c r="E26">
        <v>39.037219909710799</v>
      </c>
      <c r="F26">
        <v>2.5234271627947802</v>
      </c>
      <c r="G26">
        <v>-614.09049881059366</v>
      </c>
      <c r="H26">
        <v>-532.61986993902451</v>
      </c>
      <c r="I26">
        <v>80.018296784922597</v>
      </c>
      <c r="J26">
        <v>46.279930625812</v>
      </c>
      <c r="K26">
        <v>15.4699214169018</v>
      </c>
      <c r="L26">
        <v>2.8108305221661157E-5</v>
      </c>
      <c r="M26">
        <v>1.7878697356296596E-6</v>
      </c>
      <c r="N26" s="1">
        <v>-2.8609179690122002E-7</v>
      </c>
      <c r="O26" s="1">
        <v>1.4810890014311701E-10</v>
      </c>
      <c r="P26" s="1">
        <v>1.1365343627012199E-9</v>
      </c>
      <c r="Q26">
        <v>65.743055635615093</v>
      </c>
      <c r="S26">
        <v>18.9561491983089</v>
      </c>
      <c r="AA26">
        <v>0.29877391662175701</v>
      </c>
      <c r="AB26">
        <v>3.8658069297447999</v>
      </c>
      <c r="AC26">
        <v>11.1362143197093</v>
      </c>
      <c r="AJ26">
        <v>0.34036812818614898</v>
      </c>
      <c r="AK26">
        <v>1.4536578459591699E-2</v>
      </c>
      <c r="AL26">
        <v>0.64509529335425797</v>
      </c>
    </row>
    <row r="27" spans="1:38" x14ac:dyDescent="0.2">
      <c r="A27">
        <v>61</v>
      </c>
      <c r="B27">
        <v>756</v>
      </c>
      <c r="C27">
        <v>200</v>
      </c>
      <c r="D27">
        <v>0.38206335325268598</v>
      </c>
      <c r="E27">
        <v>0.31915913415645197</v>
      </c>
      <c r="F27">
        <v>2.58678571017031</v>
      </c>
      <c r="G27">
        <v>-5.1849893198780599</v>
      </c>
      <c r="H27">
        <v>-4.4956518980496707</v>
      </c>
      <c r="I27">
        <v>0.66981239064119802</v>
      </c>
      <c r="J27">
        <v>0.38865686258676801</v>
      </c>
      <c r="K27">
        <v>0.123380584986855</v>
      </c>
      <c r="L27">
        <v>3.0473035009989853E-5</v>
      </c>
      <c r="M27">
        <v>1.7742448616969816E-6</v>
      </c>
      <c r="N27" s="1">
        <v>-4.2688303377641704E-9</v>
      </c>
      <c r="O27" s="1">
        <v>1.0639718013174099E-12</v>
      </c>
      <c r="P27" s="1">
        <v>1.5113165602238999E-11</v>
      </c>
      <c r="Q27">
        <v>63.509558992929399</v>
      </c>
      <c r="S27">
        <v>22.6517031030941</v>
      </c>
      <c r="AA27">
        <v>3.8687996352304399</v>
      </c>
      <c r="AB27">
        <v>8.5769544330038698</v>
      </c>
      <c r="AC27">
        <v>1.39298383574214</v>
      </c>
      <c r="AJ27">
        <v>0.73740074885707596</v>
      </c>
      <c r="AK27">
        <v>0.18380507570069701</v>
      </c>
      <c r="AL27">
        <v>7.8794175442225306E-2</v>
      </c>
    </row>
    <row r="28" spans="1:38" x14ac:dyDescent="0.2">
      <c r="A28">
        <v>62</v>
      </c>
      <c r="B28">
        <v>755</v>
      </c>
      <c r="C28">
        <v>200</v>
      </c>
      <c r="D28">
        <v>0.38139425181150599</v>
      </c>
      <c r="E28">
        <v>1.16115707392372</v>
      </c>
      <c r="F28">
        <v>2.5857007614944401</v>
      </c>
      <c r="G28">
        <v>-18.856950418185374</v>
      </c>
      <c r="H28">
        <v>-16.352391266019595</v>
      </c>
      <c r="I28">
        <v>2.43598614226112</v>
      </c>
      <c r="J28">
        <v>1.4144689494332801</v>
      </c>
      <c r="K28">
        <v>0.449068620474327</v>
      </c>
      <c r="L28">
        <v>3.0549118025705157E-5</v>
      </c>
      <c r="M28">
        <v>1.7767436797002235E-6</v>
      </c>
      <c r="N28" s="1">
        <v>-1.6045341655023798E-8</v>
      </c>
      <c r="O28" s="1">
        <v>3.8759744925495001E-12</v>
      </c>
      <c r="P28" s="1">
        <v>5.6459633259363502E-11</v>
      </c>
      <c r="Q28">
        <v>63.6173490137976</v>
      </c>
      <c r="S28">
        <v>22.562879604865199</v>
      </c>
      <c r="AA28">
        <v>3.7703680119261298</v>
      </c>
      <c r="AB28">
        <v>8.5842963665891201</v>
      </c>
      <c r="AC28">
        <v>1.46510700282183</v>
      </c>
      <c r="AJ28">
        <v>0.73800656421217803</v>
      </c>
      <c r="AK28">
        <v>0.17912246380461699</v>
      </c>
      <c r="AL28">
        <v>8.2870971983203701E-2</v>
      </c>
    </row>
    <row r="29" spans="1:38" x14ac:dyDescent="0.2">
      <c r="A29">
        <v>63</v>
      </c>
      <c r="B29">
        <v>754</v>
      </c>
      <c r="C29">
        <v>200</v>
      </c>
      <c r="D29">
        <v>0.38072384753930699</v>
      </c>
      <c r="E29">
        <v>2.0136231463527299</v>
      </c>
      <c r="F29">
        <v>2.5845735582685498</v>
      </c>
      <c r="G29">
        <v>-32.688062836302713</v>
      </c>
      <c r="H29">
        <v>-28.350653447143468</v>
      </c>
      <c r="I29">
        <v>4.22276141669595</v>
      </c>
      <c r="J29">
        <v>2.4536849322559999</v>
      </c>
      <c r="K29">
        <v>0.77909299192153203</v>
      </c>
      <c r="L29">
        <v>3.0623192734503997E-5</v>
      </c>
      <c r="M29">
        <v>1.7792081188571383E-6</v>
      </c>
      <c r="N29" s="1">
        <v>-2.8730729155704998E-8</v>
      </c>
      <c r="O29" s="1">
        <v>6.7306111927687697E-12</v>
      </c>
      <c r="P29" s="1">
        <v>1.0050317876586E-10</v>
      </c>
      <c r="Q29">
        <v>63.725066802665602</v>
      </c>
      <c r="S29">
        <v>22.472506428728899</v>
      </c>
      <c r="AA29">
        <v>3.67067474283051</v>
      </c>
      <c r="AB29">
        <v>8.5874146529284001</v>
      </c>
      <c r="AC29">
        <v>1.5443373728465399</v>
      </c>
      <c r="AJ29">
        <v>0.73826477396151102</v>
      </c>
      <c r="AK29">
        <v>0.17438390826264799</v>
      </c>
      <c r="AL29">
        <v>8.7351317775840306E-2</v>
      </c>
    </row>
    <row r="30" spans="1:38" x14ac:dyDescent="0.2">
      <c r="A30">
        <v>64</v>
      </c>
      <c r="B30">
        <v>753</v>
      </c>
      <c r="C30">
        <v>200</v>
      </c>
      <c r="D30">
        <v>0.380052136627202</v>
      </c>
      <c r="E30">
        <v>2.8803094743842101</v>
      </c>
      <c r="F30">
        <v>2.58339057469759</v>
      </c>
      <c r="G30">
        <v>-46.737885878528296</v>
      </c>
      <c r="H30">
        <v>-40.542059726015808</v>
      </c>
      <c r="I30">
        <v>6.0379341738658798</v>
      </c>
      <c r="J30">
        <v>3.5108376491620001</v>
      </c>
      <c r="K30">
        <v>1.1149338015686501</v>
      </c>
      <c r="L30">
        <v>3.0694884039300329E-5</v>
      </c>
      <c r="M30">
        <v>1.781643779812123E-6</v>
      </c>
      <c r="N30" s="1">
        <v>-4.2406883690973701E-8</v>
      </c>
      <c r="O30" s="1">
        <v>9.6412393504905406E-12</v>
      </c>
      <c r="P30" s="1">
        <v>1.4750802471700399E-10</v>
      </c>
      <c r="Q30">
        <v>63.833261048605998</v>
      </c>
      <c r="S30">
        <v>22.3798489667392</v>
      </c>
      <c r="AA30">
        <v>3.5689857397724198</v>
      </c>
      <c r="AB30">
        <v>8.5856061459650803</v>
      </c>
      <c r="AC30">
        <v>1.63229809891724</v>
      </c>
      <c r="AJ30">
        <v>0.73811755261173495</v>
      </c>
      <c r="AK30">
        <v>0.169554833302792</v>
      </c>
      <c r="AL30">
        <v>9.2327614085472506E-2</v>
      </c>
    </row>
    <row r="31" spans="1:38" x14ac:dyDescent="0.2">
      <c r="A31">
        <v>65</v>
      </c>
      <c r="B31">
        <v>752</v>
      </c>
      <c r="C31">
        <v>200</v>
      </c>
      <c r="D31">
        <v>0.37937911525142798</v>
      </c>
      <c r="E31">
        <v>6.0292629239899602</v>
      </c>
      <c r="F31">
        <v>2.5841731446144398</v>
      </c>
      <c r="G31">
        <v>-97.829708888428996</v>
      </c>
      <c r="H31">
        <v>-84.882038208030949</v>
      </c>
      <c r="I31">
        <v>12.630025538114401</v>
      </c>
      <c r="J31">
        <v>7.3505240706380803</v>
      </c>
      <c r="K31">
        <v>2.3331497491006901</v>
      </c>
      <c r="L31">
        <v>3.0690409810170769E-5</v>
      </c>
      <c r="M31">
        <v>1.7799934383258375E-6</v>
      </c>
      <c r="N31" s="1">
        <v>-9.1282230394989804E-8</v>
      </c>
      <c r="O31" s="1">
        <v>2.0130383839276201E-11</v>
      </c>
      <c r="P31" s="1">
        <v>3.1599645582293198E-10</v>
      </c>
      <c r="Q31">
        <v>63.753569888664998</v>
      </c>
      <c r="S31">
        <v>22.437841629586199</v>
      </c>
      <c r="AA31">
        <v>3.6354251231428698</v>
      </c>
      <c r="AB31">
        <v>8.5600539741199206</v>
      </c>
      <c r="AC31">
        <v>1.6131093844858899</v>
      </c>
      <c r="AJ31">
        <v>0.73601333801770796</v>
      </c>
      <c r="AK31">
        <v>0.172732944416571</v>
      </c>
      <c r="AL31">
        <v>9.1253717565719997E-2</v>
      </c>
    </row>
    <row r="32" spans="1:38" x14ac:dyDescent="0.2">
      <c r="A32">
        <v>65</v>
      </c>
      <c r="B32">
        <v>752</v>
      </c>
      <c r="C32">
        <v>200</v>
      </c>
      <c r="D32">
        <v>0.37937911525142798</v>
      </c>
      <c r="E32">
        <v>7.8824663107998303</v>
      </c>
      <c r="F32">
        <v>2.5221822746222702</v>
      </c>
      <c r="G32">
        <v>-124.32671073439366</v>
      </c>
      <c r="H32">
        <v>-107.67053603811682</v>
      </c>
      <c r="I32">
        <v>16.247548842878398</v>
      </c>
      <c r="J32">
        <v>9.3483659827948404</v>
      </c>
      <c r="K32">
        <v>3.1252564059749801</v>
      </c>
      <c r="L32">
        <v>2.8143339966491636E-5</v>
      </c>
      <c r="M32">
        <v>1.790959967720481E-6</v>
      </c>
      <c r="N32" s="1">
        <v>-4.6847910862546999E-8</v>
      </c>
      <c r="O32" s="1">
        <v>2.99434355619305E-11</v>
      </c>
      <c r="P32" s="1">
        <v>1.9829629011189E-10</v>
      </c>
      <c r="Q32">
        <v>65.807347952915407</v>
      </c>
      <c r="S32">
        <v>18.994172503907699</v>
      </c>
      <c r="AA32">
        <v>0.31514179975853301</v>
      </c>
      <c r="AB32">
        <v>4.1087619506264703</v>
      </c>
      <c r="AC32">
        <v>10.774575792791699</v>
      </c>
      <c r="AJ32">
        <v>0.36131176276807703</v>
      </c>
      <c r="AK32">
        <v>1.5313974569006E-2</v>
      </c>
      <c r="AL32">
        <v>0.62337426266291596</v>
      </c>
    </row>
    <row r="33" spans="1:38" x14ac:dyDescent="0.2">
      <c r="A33">
        <v>66</v>
      </c>
      <c r="B33">
        <v>751</v>
      </c>
      <c r="C33">
        <v>200</v>
      </c>
      <c r="D33">
        <v>0.378704779573308</v>
      </c>
      <c r="E33">
        <v>15.1476010014916</v>
      </c>
      <c r="F33">
        <v>2.586614593727</v>
      </c>
      <c r="G33">
        <v>-245.82144235127078</v>
      </c>
      <c r="H33">
        <v>-213.35810224548925</v>
      </c>
      <c r="I33">
        <v>31.697837334161498</v>
      </c>
      <c r="J33">
        <v>18.465457875093801</v>
      </c>
      <c r="K33">
        <v>5.8561492068540897</v>
      </c>
      <c r="L33">
        <v>3.0592085223892065E-5</v>
      </c>
      <c r="M33">
        <v>1.7741966529906243E-6</v>
      </c>
      <c r="N33" s="1">
        <v>-2.3417894460304299E-7</v>
      </c>
      <c r="O33" s="1">
        <v>5.0279389343528802E-11</v>
      </c>
      <c r="P33" s="1">
        <v>8.07844073877174E-10</v>
      </c>
      <c r="Q33">
        <v>63.492445126453802</v>
      </c>
      <c r="S33">
        <v>22.631062302468202</v>
      </c>
      <c r="AA33">
        <v>3.8557640501497201</v>
      </c>
      <c r="AB33">
        <v>8.4847045568440596</v>
      </c>
      <c r="AC33">
        <v>1.5360239640841</v>
      </c>
      <c r="AJ33">
        <v>0.72980486766785002</v>
      </c>
      <c r="AK33">
        <v>0.183269954211318</v>
      </c>
      <c r="AL33">
        <v>8.6925178120831406E-2</v>
      </c>
    </row>
    <row r="34" spans="1:38" x14ac:dyDescent="0.2">
      <c r="A34">
        <v>66</v>
      </c>
      <c r="B34">
        <v>751</v>
      </c>
      <c r="C34">
        <v>200</v>
      </c>
      <c r="D34">
        <v>0.378704779573308</v>
      </c>
      <c r="E34">
        <v>30.151886919877501</v>
      </c>
      <c r="F34">
        <v>2.5221675632835798</v>
      </c>
      <c r="G34">
        <v>-475.27420486916509</v>
      </c>
      <c r="H34">
        <v>-411.70198549025741</v>
      </c>
      <c r="I34">
        <v>62.073152740231002</v>
      </c>
      <c r="J34">
        <v>35.738537175466902</v>
      </c>
      <c r="K34">
        <v>11.954751682169301</v>
      </c>
      <c r="L34">
        <v>2.8071220573679377E-5</v>
      </c>
      <c r="M34">
        <v>1.7898429651255516E-6</v>
      </c>
      <c r="N34" s="1">
        <v>-1.7885219463849101E-7</v>
      </c>
      <c r="O34" s="1">
        <v>1.14623159654358E-10</v>
      </c>
      <c r="P34" s="1">
        <v>7.5709772202902005E-10</v>
      </c>
      <c r="Q34">
        <v>65.769635733460802</v>
      </c>
      <c r="S34">
        <v>18.9827428855099</v>
      </c>
      <c r="AA34">
        <v>0.31451187840106498</v>
      </c>
      <c r="AB34">
        <v>3.9947580610385298</v>
      </c>
      <c r="AC34">
        <v>10.938351441589599</v>
      </c>
      <c r="AJ34">
        <v>0.35149060177577901</v>
      </c>
      <c r="AK34">
        <v>1.52922390454369E-2</v>
      </c>
      <c r="AL34">
        <v>0.63321715917878296</v>
      </c>
    </row>
    <row r="35" spans="1:38" x14ac:dyDescent="0.2">
      <c r="A35">
        <v>67</v>
      </c>
      <c r="B35">
        <v>750</v>
      </c>
      <c r="C35">
        <v>200</v>
      </c>
      <c r="D35">
        <v>0.37802912573913899</v>
      </c>
      <c r="E35">
        <v>18.2493878004301</v>
      </c>
      <c r="F35">
        <v>2.5876264605714199</v>
      </c>
      <c r="G35">
        <v>-296.15586937758678</v>
      </c>
      <c r="H35">
        <v>-257.1128394597859</v>
      </c>
      <c r="I35">
        <v>38.159634381860698</v>
      </c>
      <c r="J35">
        <v>22.250918915501099</v>
      </c>
      <c r="K35">
        <v>7.0525588134541399</v>
      </c>
      <c r="L35">
        <v>3.0579784549031914E-5</v>
      </c>
      <c r="M35">
        <v>1.772040981711301E-6</v>
      </c>
      <c r="N35" s="1">
        <v>-2.9005149540857402E-7</v>
      </c>
      <c r="O35" s="1">
        <v>6.0387111300979299E-11</v>
      </c>
      <c r="P35" s="1">
        <v>9.9600278301833703E-10</v>
      </c>
      <c r="Q35">
        <v>63.389951772823203</v>
      </c>
      <c r="S35">
        <v>22.707424127209102</v>
      </c>
      <c r="AA35">
        <v>3.9426787603392799</v>
      </c>
      <c r="AB35">
        <v>8.4564960650249308</v>
      </c>
      <c r="AC35">
        <v>1.50344927460345</v>
      </c>
      <c r="AJ35">
        <v>0.727479355583877</v>
      </c>
      <c r="AK35">
        <v>0.18742710879302699</v>
      </c>
      <c r="AL35">
        <v>8.5093535623095795E-2</v>
      </c>
    </row>
    <row r="36" spans="1:38" x14ac:dyDescent="0.2">
      <c r="A36">
        <v>67</v>
      </c>
      <c r="B36">
        <v>750</v>
      </c>
      <c r="C36">
        <v>200</v>
      </c>
      <c r="D36">
        <v>0.37802912573913899</v>
      </c>
      <c r="E36">
        <v>37.6099729767095</v>
      </c>
      <c r="F36">
        <v>2.5221858434218198</v>
      </c>
      <c r="G36">
        <v>-592.62728560544417</v>
      </c>
      <c r="H36">
        <v>-513.47573136235007</v>
      </c>
      <c r="I36">
        <v>77.360655078037496</v>
      </c>
      <c r="J36">
        <v>44.570730480798098</v>
      </c>
      <c r="K36">
        <v>14.9116581059246</v>
      </c>
      <c r="L36">
        <v>2.8049723197385111E-5</v>
      </c>
      <c r="M36">
        <v>1.7894621007278744E-6</v>
      </c>
      <c r="N36" s="1">
        <v>-2.27831296581597E-7</v>
      </c>
      <c r="O36" s="1">
        <v>1.42983337408293E-10</v>
      </c>
      <c r="P36" s="1">
        <v>9.5778901226064304E-10</v>
      </c>
      <c r="Q36">
        <v>65.755056132941306</v>
      </c>
      <c r="S36">
        <v>18.976495737492598</v>
      </c>
      <c r="AA36">
        <v>0.31275986778644499</v>
      </c>
      <c r="AB36">
        <v>3.9458904922957898</v>
      </c>
      <c r="AC36">
        <v>11.0097977694838</v>
      </c>
      <c r="AJ36">
        <v>0.34727729622919601</v>
      </c>
      <c r="AK36">
        <v>1.52108391697917E-2</v>
      </c>
      <c r="AL36">
        <v>0.63751186460101195</v>
      </c>
    </row>
    <row r="37" spans="1:38" x14ac:dyDescent="0.2">
      <c r="A37">
        <v>68</v>
      </c>
      <c r="B37">
        <v>749</v>
      </c>
      <c r="C37">
        <v>200</v>
      </c>
      <c r="D37">
        <v>0.37735214988015597</v>
      </c>
      <c r="E37">
        <v>19.1174774904486</v>
      </c>
      <c r="F37">
        <v>2.58797730233819</v>
      </c>
      <c r="G37">
        <v>-310.21781740052415</v>
      </c>
      <c r="H37">
        <v>-269.38290002409019</v>
      </c>
      <c r="I37">
        <v>39.950024337361299</v>
      </c>
      <c r="J37">
        <v>23.317299534128999</v>
      </c>
      <c r="K37">
        <v>7.3870344508726102</v>
      </c>
      <c r="L37">
        <v>3.0610077094997954E-5</v>
      </c>
      <c r="M37">
        <v>1.7716264401050786E-6</v>
      </c>
      <c r="N37" s="1">
        <v>-3.1343834190189802E-7</v>
      </c>
      <c r="O37" s="1">
        <v>6.3142485593696097E-11</v>
      </c>
      <c r="P37" s="1">
        <v>1.07087961697155E-9</v>
      </c>
      <c r="Q37">
        <v>63.3625077128629</v>
      </c>
      <c r="S37">
        <v>22.728924685070002</v>
      </c>
      <c r="AA37">
        <v>3.9668206369300201</v>
      </c>
      <c r="AB37">
        <v>8.4517049565908593</v>
      </c>
      <c r="AC37">
        <v>1.4900420085460899</v>
      </c>
      <c r="AJ37">
        <v>0.72708416515558005</v>
      </c>
      <c r="AK37">
        <v>0.18857916698636101</v>
      </c>
      <c r="AL37">
        <v>8.4336667858057199E-2</v>
      </c>
    </row>
    <row r="38" spans="1:38" x14ac:dyDescent="0.2">
      <c r="A38">
        <v>68</v>
      </c>
      <c r="B38">
        <v>749</v>
      </c>
      <c r="C38">
        <v>200</v>
      </c>
      <c r="D38">
        <v>0.37735214988015597</v>
      </c>
      <c r="E38">
        <v>39.602373503549003</v>
      </c>
      <c r="F38">
        <v>2.5222136780492699</v>
      </c>
      <c r="G38">
        <v>-623.88285849684485</v>
      </c>
      <c r="H38">
        <v>-540.67676979664543</v>
      </c>
      <c r="I38">
        <v>81.403011984737404</v>
      </c>
      <c r="J38">
        <v>46.9324568786448</v>
      </c>
      <c r="K38">
        <v>15.701434754797599</v>
      </c>
      <c r="L38">
        <v>2.8051294960241639E-5</v>
      </c>
      <c r="M38">
        <v>1.789408144967237E-6</v>
      </c>
      <c r="N38" s="1">
        <v>-2.47573789751069E-7</v>
      </c>
      <c r="O38" s="1">
        <v>1.5051895973690201E-10</v>
      </c>
      <c r="P38" s="1">
        <v>1.0305081457664799E-9</v>
      </c>
      <c r="Q38">
        <v>65.750820117610303</v>
      </c>
      <c r="S38">
        <v>18.972558279008101</v>
      </c>
      <c r="AA38">
        <v>0.31049984048782397</v>
      </c>
      <c r="AB38">
        <v>3.92612819993521</v>
      </c>
      <c r="AC38">
        <v>11.039993562958401</v>
      </c>
      <c r="AJ38">
        <v>0.34557283001091899</v>
      </c>
      <c r="AK38">
        <v>1.5102445765445401E-2</v>
      </c>
      <c r="AL38">
        <v>0.63932472422363396</v>
      </c>
    </row>
    <row r="39" spans="1:38" x14ac:dyDescent="0.2">
      <c r="A39">
        <v>70</v>
      </c>
      <c r="B39">
        <v>764</v>
      </c>
      <c r="C39">
        <v>175</v>
      </c>
      <c r="D39">
        <v>0.41388468398978101</v>
      </c>
      <c r="E39">
        <v>9.40492422789376E-2</v>
      </c>
      <c r="F39">
        <v>2.5852863004181401</v>
      </c>
      <c r="G39">
        <v>-1.5305890869970564</v>
      </c>
      <c r="H39">
        <v>-1.324932120786128</v>
      </c>
      <c r="I39">
        <v>0.198290475062361</v>
      </c>
      <c r="J39">
        <v>0.114285987274729</v>
      </c>
      <c r="K39">
        <v>3.6378656500723403E-2</v>
      </c>
      <c r="L39">
        <v>3.0192872954338066E-5</v>
      </c>
      <c r="M39">
        <v>1.7742357097159789E-6</v>
      </c>
      <c r="N39" s="1">
        <v>-9.6015290762164209E-10</v>
      </c>
      <c r="O39" s="1">
        <v>3.15921150296442E-13</v>
      </c>
      <c r="P39" s="1">
        <v>3.5921476596380101E-12</v>
      </c>
      <c r="Q39">
        <v>63.499861879553599</v>
      </c>
      <c r="S39">
        <v>22.667621727594</v>
      </c>
      <c r="AA39">
        <v>3.8841953522747299</v>
      </c>
      <c r="AB39">
        <v>8.5970776794732604</v>
      </c>
      <c r="AC39">
        <v>1.35124336110432</v>
      </c>
      <c r="AJ39">
        <v>0.73905657613876596</v>
      </c>
      <c r="AK39">
        <v>0.18451797910316201</v>
      </c>
      <c r="AL39">
        <v>7.6425444758070796E-2</v>
      </c>
    </row>
    <row r="40" spans="1:38" x14ac:dyDescent="0.2">
      <c r="A40">
        <v>71</v>
      </c>
      <c r="B40">
        <v>763</v>
      </c>
      <c r="C40">
        <v>175</v>
      </c>
      <c r="D40">
        <v>0.41325145973073701</v>
      </c>
      <c r="E40">
        <v>0.41104999261012198</v>
      </c>
      <c r="F40">
        <v>2.5848656376778298</v>
      </c>
      <c r="G40">
        <v>-6.6881931419143914</v>
      </c>
      <c r="H40">
        <v>-5.7906311204425567</v>
      </c>
      <c r="I40">
        <v>0.86624718570847203</v>
      </c>
      <c r="J40">
        <v>0.49963057642112901</v>
      </c>
      <c r="K40">
        <v>0.159021802378632</v>
      </c>
      <c r="L40">
        <v>3.0245259414699665E-5</v>
      </c>
      <c r="M40">
        <v>1.7755705687959293E-6</v>
      </c>
      <c r="N40" s="1">
        <v>-4.3373151320190396E-9</v>
      </c>
      <c r="O40" s="1">
        <v>1.38100848714485E-12</v>
      </c>
      <c r="P40" s="1">
        <v>1.6107011338339501E-11</v>
      </c>
      <c r="Q40">
        <v>63.552250043876001</v>
      </c>
      <c r="S40">
        <v>22.627476912340899</v>
      </c>
      <c r="AA40">
        <v>3.8388514066883901</v>
      </c>
      <c r="AB40">
        <v>8.6085770423567496</v>
      </c>
      <c r="AC40">
        <v>1.3728445947377701</v>
      </c>
      <c r="AJ40">
        <v>0.74000350507432</v>
      </c>
      <c r="AK40">
        <v>0.182353665903945</v>
      </c>
      <c r="AL40">
        <v>7.7642829021734E-2</v>
      </c>
    </row>
    <row r="41" spans="1:38" x14ac:dyDescent="0.2">
      <c r="A41">
        <v>72</v>
      </c>
      <c r="B41">
        <v>762</v>
      </c>
      <c r="C41">
        <v>175</v>
      </c>
      <c r="D41">
        <v>0.41261701202724399</v>
      </c>
      <c r="E41">
        <v>0.93420306853149704</v>
      </c>
      <c r="F41">
        <v>2.5842061202129201</v>
      </c>
      <c r="G41">
        <v>-15.196388231305987</v>
      </c>
      <c r="H41">
        <v>-13.159316934946801</v>
      </c>
      <c r="I41">
        <v>1.9678996245560401</v>
      </c>
      <c r="J41">
        <v>1.1358233306552299</v>
      </c>
      <c r="K41">
        <v>0.36150485877439298</v>
      </c>
      <c r="L41">
        <v>3.0303564939321277E-5</v>
      </c>
      <c r="M41">
        <v>1.7773058148362411E-6</v>
      </c>
      <c r="N41" s="1">
        <v>-1.01857498731122E-8</v>
      </c>
      <c r="O41" s="1">
        <v>3.14067368384382E-12</v>
      </c>
      <c r="P41" s="1">
        <v>3.7553628136561699E-11</v>
      </c>
      <c r="Q41">
        <v>63.624145582928001</v>
      </c>
      <c r="S41">
        <v>22.5700180969508</v>
      </c>
      <c r="AA41">
        <v>3.7746714544975402</v>
      </c>
      <c r="AB41">
        <v>8.6181566415485999</v>
      </c>
      <c r="AC41">
        <v>1.41300822407486</v>
      </c>
      <c r="AJ41">
        <v>0.74079268790916597</v>
      </c>
      <c r="AK41">
        <v>0.179296681135205</v>
      </c>
      <c r="AL41">
        <v>7.9910630955628503E-2</v>
      </c>
    </row>
    <row r="42" spans="1:38" x14ac:dyDescent="0.2">
      <c r="A42">
        <v>73</v>
      </c>
      <c r="B42">
        <v>761</v>
      </c>
      <c r="C42">
        <v>175</v>
      </c>
      <c r="D42">
        <v>0.411981337330175</v>
      </c>
      <c r="E42">
        <v>1.75949096604334</v>
      </c>
      <c r="F42">
        <v>2.5831766029884502</v>
      </c>
      <c r="G42">
        <v>-28.610723810285172</v>
      </c>
      <c r="H42">
        <v>-24.779249598273566</v>
      </c>
      <c r="I42">
        <v>3.7049501639139399</v>
      </c>
      <c r="J42">
        <v>2.1397498402126902</v>
      </c>
      <c r="K42">
        <v>0.68113460148555105</v>
      </c>
      <c r="L42">
        <v>3.0368822532236344E-5</v>
      </c>
      <c r="M42">
        <v>1.7796128074082932E-6</v>
      </c>
      <c r="N42" s="1">
        <v>-1.9810233335000599E-8</v>
      </c>
      <c r="O42" s="1">
        <v>5.9233098090003002E-12</v>
      </c>
      <c r="P42" s="1">
        <v>7.2530360248806799E-11</v>
      </c>
      <c r="Q42">
        <v>63.724715591439903</v>
      </c>
      <c r="S42">
        <v>22.486409126221702</v>
      </c>
      <c r="AA42">
        <v>3.6822265609525102</v>
      </c>
      <c r="AB42">
        <v>8.6230797264947796</v>
      </c>
      <c r="AC42">
        <v>1.4835689948909501</v>
      </c>
      <c r="AJ42">
        <v>0.74119917854267903</v>
      </c>
      <c r="AK42">
        <v>0.174901616963267</v>
      </c>
      <c r="AL42">
        <v>8.3899204494053206E-2</v>
      </c>
    </row>
    <row r="43" spans="1:38" x14ac:dyDescent="0.2">
      <c r="A43">
        <v>74</v>
      </c>
      <c r="B43">
        <v>760</v>
      </c>
      <c r="C43">
        <v>175</v>
      </c>
      <c r="D43">
        <v>0.41134443207665999</v>
      </c>
      <c r="E43">
        <v>2.59396394094078</v>
      </c>
      <c r="F43">
        <v>2.5821090255189398</v>
      </c>
      <c r="G43">
        <v>-42.163801306813177</v>
      </c>
      <c r="H43">
        <v>-36.522842484164805</v>
      </c>
      <c r="I43">
        <v>5.45996111179244</v>
      </c>
      <c r="J43">
        <v>3.1553031149752102</v>
      </c>
      <c r="K43">
        <v>1.0045911753937</v>
      </c>
      <c r="L43">
        <v>3.0432075977453054E-5</v>
      </c>
      <c r="M43">
        <v>1.7818836517458584E-6</v>
      </c>
      <c r="N43" s="1">
        <v>-3.0141612708718199E-8</v>
      </c>
      <c r="O43" s="1">
        <v>8.7448963241138993E-12</v>
      </c>
      <c r="P43" s="1">
        <v>1.0961867715264901E-10</v>
      </c>
      <c r="Q43">
        <v>63.825043153150098</v>
      </c>
      <c r="S43">
        <v>22.401478960295599</v>
      </c>
      <c r="AA43">
        <v>3.5887482394886301</v>
      </c>
      <c r="AB43">
        <v>8.6239988467667192</v>
      </c>
      <c r="AC43">
        <v>1.56073080029885</v>
      </c>
      <c r="AJ43">
        <v>0.74127628117194699</v>
      </c>
      <c r="AK43">
        <v>0.170461064856165</v>
      </c>
      <c r="AL43">
        <v>8.8262653971886401E-2</v>
      </c>
    </row>
    <row r="44" spans="1:38" x14ac:dyDescent="0.2">
      <c r="A44">
        <v>75</v>
      </c>
      <c r="B44">
        <v>759</v>
      </c>
      <c r="C44">
        <v>175</v>
      </c>
      <c r="D44">
        <v>0.41070629269001901</v>
      </c>
      <c r="E44">
        <v>3.44102620674163</v>
      </c>
      <c r="F44">
        <v>2.5809916450022601</v>
      </c>
      <c r="G44">
        <v>-55.909707528333449</v>
      </c>
      <c r="H44">
        <v>-48.436912060132137</v>
      </c>
      <c r="I44">
        <v>7.2400285503088702</v>
      </c>
      <c r="J44">
        <v>4.1865801420048498</v>
      </c>
      <c r="K44">
        <v>1.3332186539250099</v>
      </c>
      <c r="L44">
        <v>3.0493006736018208E-5</v>
      </c>
      <c r="M44">
        <v>1.7841228937701987E-6</v>
      </c>
      <c r="N44" s="1">
        <v>-4.1239035225047202E-8</v>
      </c>
      <c r="O44" s="1">
        <v>1.16176779969058E-11</v>
      </c>
      <c r="P44" s="1">
        <v>1.4901539020227599E-10</v>
      </c>
      <c r="Q44">
        <v>63.925591158877602</v>
      </c>
      <c r="S44">
        <v>22.314595790848902</v>
      </c>
      <c r="AA44">
        <v>3.4936072325254099</v>
      </c>
      <c r="AB44">
        <v>8.6202891620744904</v>
      </c>
      <c r="AC44">
        <v>1.6459166556735501</v>
      </c>
      <c r="AJ44">
        <v>0.74097260761477901</v>
      </c>
      <c r="AK44">
        <v>0.16594538817601401</v>
      </c>
      <c r="AL44">
        <v>9.3082004209205801E-2</v>
      </c>
    </row>
    <row r="45" spans="1:38" x14ac:dyDescent="0.2">
      <c r="A45">
        <v>76</v>
      </c>
      <c r="B45">
        <v>758</v>
      </c>
      <c r="C45">
        <v>175</v>
      </c>
      <c r="D45">
        <v>0.41006691557969399</v>
      </c>
      <c r="E45">
        <v>4.3776868360102403</v>
      </c>
      <c r="F45">
        <v>2.57988949065094</v>
      </c>
      <c r="G45">
        <v>-71.098546954121232</v>
      </c>
      <c r="H45">
        <v>-61.604830002665288</v>
      </c>
      <c r="I45">
        <v>9.2069213513610606</v>
      </c>
      <c r="J45">
        <v>5.3272066373780902</v>
      </c>
      <c r="K45">
        <v>1.6968505247508401</v>
      </c>
      <c r="L45">
        <v>3.0548199889834902E-5</v>
      </c>
      <c r="M45">
        <v>1.7861743569128475E-6</v>
      </c>
      <c r="N45" s="1">
        <v>-5.4062907620915999E-8</v>
      </c>
      <c r="O45" s="1">
        <v>1.4800907687691301E-11</v>
      </c>
      <c r="P45" s="1">
        <v>1.9416009906889E-10</v>
      </c>
      <c r="Q45">
        <v>64.019445753379202</v>
      </c>
      <c r="S45">
        <v>22.230992295706098</v>
      </c>
      <c r="AA45">
        <v>3.4027338064488699</v>
      </c>
      <c r="AB45">
        <v>8.6102616619265007</v>
      </c>
      <c r="AC45">
        <v>1.73656648253919</v>
      </c>
      <c r="AJ45">
        <v>0.74014905147134902</v>
      </c>
      <c r="AK45">
        <v>0.161637305988063</v>
      </c>
      <c r="AL45">
        <v>9.8213642540587204E-2</v>
      </c>
    </row>
    <row r="46" spans="1:38" x14ac:dyDescent="0.2">
      <c r="A46">
        <v>76</v>
      </c>
      <c r="B46">
        <v>758</v>
      </c>
      <c r="C46">
        <v>175</v>
      </c>
      <c r="D46">
        <v>0.41006691557969399</v>
      </c>
      <c r="E46">
        <v>0.29190823335267102</v>
      </c>
      <c r="F46">
        <v>2.52106096563646</v>
      </c>
      <c r="G46">
        <v>-4.6151010921422149</v>
      </c>
      <c r="H46">
        <v>-3.9917249716077112</v>
      </c>
      <c r="I46">
        <v>0.60454455756631298</v>
      </c>
      <c r="J46">
        <v>0.34635403859317998</v>
      </c>
      <c r="K46">
        <v>0.11578785175430099</v>
      </c>
      <c r="L46">
        <v>2.8183897639750193E-5</v>
      </c>
      <c r="M46">
        <v>1.7938991006530878E-6</v>
      </c>
      <c r="N46" s="1">
        <v>-1.4403162492883901E-9</v>
      </c>
      <c r="O46" s="1">
        <v>1.1095841376257601E-12</v>
      </c>
      <c r="P46" s="1">
        <v>6.4965528630813903E-12</v>
      </c>
      <c r="Q46">
        <v>65.8610608558715</v>
      </c>
      <c r="S46">
        <v>19.029295047428199</v>
      </c>
      <c r="AA46">
        <v>0.331585086186658</v>
      </c>
      <c r="AB46">
        <v>4.3205365889742904</v>
      </c>
      <c r="AC46">
        <v>10.457522421539201</v>
      </c>
      <c r="AJ46">
        <v>0.379525288155733</v>
      </c>
      <c r="AK46">
        <v>1.6095660777994601E-2</v>
      </c>
      <c r="AL46">
        <v>0.60437905106627099</v>
      </c>
    </row>
    <row r="47" spans="1:38" x14ac:dyDescent="0.2">
      <c r="A47">
        <v>77</v>
      </c>
      <c r="B47">
        <v>757</v>
      </c>
      <c r="C47">
        <v>175</v>
      </c>
      <c r="D47">
        <v>0.40942629714119499</v>
      </c>
      <c r="E47">
        <v>7.2319657551574403</v>
      </c>
      <c r="F47">
        <v>2.5813165703216501</v>
      </c>
      <c r="G47">
        <v>-117.46194011921247</v>
      </c>
      <c r="H47">
        <v>-101.80610900373497</v>
      </c>
      <c r="I47">
        <v>15.197622788406999</v>
      </c>
      <c r="J47">
        <v>8.8013460496101406</v>
      </c>
      <c r="K47">
        <v>2.8016578200078199</v>
      </c>
      <c r="L47">
        <v>3.0512201550603483E-5</v>
      </c>
      <c r="M47">
        <v>1.7831683625074483E-6</v>
      </c>
      <c r="N47" s="1">
        <v>-9.1680852770976394E-8</v>
      </c>
      <c r="O47" s="1">
        <v>2.43631380203311E-11</v>
      </c>
      <c r="P47" s="1">
        <v>3.2760935216255098E-10</v>
      </c>
      <c r="Q47">
        <v>63.878126813249999</v>
      </c>
      <c r="S47">
        <v>22.337821446816299</v>
      </c>
      <c r="AA47">
        <v>3.52384379268327</v>
      </c>
      <c r="AB47">
        <v>8.5754064894399509</v>
      </c>
      <c r="AC47">
        <v>1.6848014578103401</v>
      </c>
      <c r="AJ47">
        <v>0.73727881304493503</v>
      </c>
      <c r="AK47">
        <v>0.16741889731145199</v>
      </c>
      <c r="AL47">
        <v>9.5302289643612106E-2</v>
      </c>
    </row>
    <row r="48" spans="1:38" x14ac:dyDescent="0.2">
      <c r="A48">
        <v>77</v>
      </c>
      <c r="B48">
        <v>757</v>
      </c>
      <c r="C48">
        <v>175</v>
      </c>
      <c r="D48">
        <v>0.40942629714119499</v>
      </c>
      <c r="E48">
        <v>8.8000477936982406</v>
      </c>
      <c r="F48">
        <v>2.5210311794716498</v>
      </c>
      <c r="G48">
        <v>-139.06718448341786</v>
      </c>
      <c r="H48">
        <v>-120.3109739836744</v>
      </c>
      <c r="I48">
        <v>18.207261563600799</v>
      </c>
      <c r="J48">
        <v>10.438038394465201</v>
      </c>
      <c r="K48">
        <v>3.4906540884363402</v>
      </c>
      <c r="L48">
        <v>2.8144064153926129E-5</v>
      </c>
      <c r="M48">
        <v>1.7932460843653962E-6</v>
      </c>
      <c r="N48" s="1">
        <v>-4.4007766029614599E-8</v>
      </c>
      <c r="O48" s="1">
        <v>3.3461201576350301E-11</v>
      </c>
      <c r="P48" s="1">
        <v>1.9748658464217099E-10</v>
      </c>
      <c r="Q48">
        <v>65.838755455953006</v>
      </c>
      <c r="S48">
        <v>19.020671888678802</v>
      </c>
      <c r="AA48">
        <v>0.32967555206090099</v>
      </c>
      <c r="AB48">
        <v>4.2482234694749499</v>
      </c>
      <c r="AC48">
        <v>10.562673633832301</v>
      </c>
      <c r="AJ48">
        <v>0.37331043349404402</v>
      </c>
      <c r="AK48">
        <v>1.60088563101017E-2</v>
      </c>
      <c r="AL48">
        <v>0.61068071019585302</v>
      </c>
    </row>
    <row r="49" spans="1:38" x14ac:dyDescent="0.2">
      <c r="A49">
        <v>78</v>
      </c>
      <c r="B49">
        <v>756</v>
      </c>
      <c r="C49">
        <v>175</v>
      </c>
      <c r="D49">
        <v>0.40878443375601398</v>
      </c>
      <c r="E49">
        <v>15.089109057155699</v>
      </c>
      <c r="F49">
        <v>2.5846767679634302</v>
      </c>
      <c r="G49">
        <v>-245.14583213057176</v>
      </c>
      <c r="H49">
        <v>-212.55200026841553</v>
      </c>
      <c r="I49">
        <v>31.6706329127495</v>
      </c>
      <c r="J49">
        <v>18.358582254699598</v>
      </c>
      <c r="K49">
        <v>5.8379094996257503</v>
      </c>
      <c r="L49">
        <v>3.036020079150714E-5</v>
      </c>
      <c r="M49">
        <v>1.7751505074074335E-6</v>
      </c>
      <c r="N49" s="1">
        <v>-1.9446719988316401E-7</v>
      </c>
      <c r="O49" s="1">
        <v>5.04555502380498E-11</v>
      </c>
      <c r="P49" s="1">
        <v>6.92803336283848E-10</v>
      </c>
      <c r="Q49">
        <v>63.519438782955199</v>
      </c>
      <c r="S49">
        <v>22.604015032012999</v>
      </c>
      <c r="AA49">
        <v>3.82715117436463</v>
      </c>
      <c r="AB49">
        <v>8.4739505371321702</v>
      </c>
      <c r="AC49">
        <v>1.5754444735348301</v>
      </c>
      <c r="AJ49">
        <v>0.72891934898656896</v>
      </c>
      <c r="AK49">
        <v>0.18191979656548299</v>
      </c>
      <c r="AL49">
        <v>8.9160854447946095E-2</v>
      </c>
    </row>
    <row r="50" spans="1:38" x14ac:dyDescent="0.2">
      <c r="A50">
        <v>78</v>
      </c>
      <c r="B50">
        <v>756</v>
      </c>
      <c r="C50">
        <v>175</v>
      </c>
      <c r="D50">
        <v>0.40878443375601398</v>
      </c>
      <c r="E50">
        <v>30.170904740697299</v>
      </c>
      <c r="F50">
        <v>2.52096058330627</v>
      </c>
      <c r="G50">
        <v>-476.39892923562155</v>
      </c>
      <c r="H50">
        <v>-412.25093469358967</v>
      </c>
      <c r="I50">
        <v>62.331044592170102</v>
      </c>
      <c r="J50">
        <v>35.756658030790703</v>
      </c>
      <c r="K50">
        <v>11.9680192306409</v>
      </c>
      <c r="L50">
        <v>2.8038876286506846E-5</v>
      </c>
      <c r="M50">
        <v>1.7916270801658041E-6</v>
      </c>
      <c r="N50" s="1">
        <v>-1.48069859814597E-7</v>
      </c>
      <c r="O50" s="1">
        <v>1.1485715224604201E-10</v>
      </c>
      <c r="P50" s="1">
        <v>6.6846630312948299E-10</v>
      </c>
      <c r="Q50">
        <v>65.785819420123204</v>
      </c>
      <c r="S50">
        <v>19.004983158352399</v>
      </c>
      <c r="AA50">
        <v>0.32908408918086002</v>
      </c>
      <c r="AB50">
        <v>4.0891283057205401</v>
      </c>
      <c r="AC50">
        <v>10.790985026622799</v>
      </c>
      <c r="AJ50">
        <v>0.35962107296048101</v>
      </c>
      <c r="AK50">
        <v>1.5993078547687299E-2</v>
      </c>
      <c r="AL50">
        <v>0.62438584849183099</v>
      </c>
    </row>
    <row r="51" spans="1:38" x14ac:dyDescent="0.2">
      <c r="A51">
        <v>79</v>
      </c>
      <c r="B51">
        <v>755</v>
      </c>
      <c r="C51">
        <v>175</v>
      </c>
      <c r="D51">
        <v>0.40814132179156798</v>
      </c>
      <c r="E51">
        <v>17.8774975575027</v>
      </c>
      <c r="F51">
        <v>2.58608061972456</v>
      </c>
      <c r="G51">
        <v>-290.45812237013888</v>
      </c>
      <c r="H51">
        <v>-251.91081975486895</v>
      </c>
      <c r="I51">
        <v>37.491905476117203</v>
      </c>
      <c r="J51">
        <v>21.7524798805463</v>
      </c>
      <c r="K51">
        <v>6.9129699287591402</v>
      </c>
      <c r="L51">
        <v>3.0318909309514414E-5</v>
      </c>
      <c r="M51">
        <v>1.771978245492316E-6</v>
      </c>
      <c r="N51" s="1">
        <v>-2.3634091183050401E-7</v>
      </c>
      <c r="O51" s="1">
        <v>5.95603379833278E-11</v>
      </c>
      <c r="P51" s="1">
        <v>8.3797171075874901E-10</v>
      </c>
      <c r="Q51">
        <v>63.373530552389703</v>
      </c>
      <c r="S51">
        <v>22.712387620750999</v>
      </c>
      <c r="AA51">
        <v>3.95060536062919</v>
      </c>
      <c r="AB51">
        <v>8.4329146993780206</v>
      </c>
      <c r="AC51">
        <v>1.53056176685196</v>
      </c>
      <c r="AJ51">
        <v>0.72553582015528295</v>
      </c>
      <c r="AK51">
        <v>0.18782594836612901</v>
      </c>
      <c r="AL51">
        <v>8.6638231478586403E-2</v>
      </c>
    </row>
    <row r="52" spans="1:38" x14ac:dyDescent="0.2">
      <c r="A52">
        <v>79</v>
      </c>
      <c r="B52">
        <v>755</v>
      </c>
      <c r="C52">
        <v>175</v>
      </c>
      <c r="D52">
        <v>0.40814132179156798</v>
      </c>
      <c r="E52">
        <v>37.575975447732297</v>
      </c>
      <c r="F52">
        <v>2.52096058542715</v>
      </c>
      <c r="G52">
        <v>-593.0718734874979</v>
      </c>
      <c r="H52">
        <v>-513.3334554323643</v>
      </c>
      <c r="I52">
        <v>77.555238102546994</v>
      </c>
      <c r="J52">
        <v>44.519433358476803</v>
      </c>
      <c r="K52">
        <v>14.9054196503296</v>
      </c>
      <c r="L52">
        <v>2.8002489413754027E-5</v>
      </c>
      <c r="M52">
        <v>1.7910430500587546E-6</v>
      </c>
      <c r="N52" s="1">
        <v>-1.8710094162800399E-7</v>
      </c>
      <c r="O52" s="1">
        <v>1.43087919480579E-10</v>
      </c>
      <c r="P52" s="1">
        <v>8.4005257423528797E-10</v>
      </c>
      <c r="Q52">
        <v>65.765127657634295</v>
      </c>
      <c r="S52">
        <v>18.996998627810001</v>
      </c>
      <c r="AA52">
        <v>0.32732490963058802</v>
      </c>
      <c r="AB52">
        <v>4.0220853375852501</v>
      </c>
      <c r="AC52">
        <v>10.888463467339699</v>
      </c>
      <c r="AJ52">
        <v>0.353845721582772</v>
      </c>
      <c r="AK52">
        <v>1.5913016566878099E-2</v>
      </c>
      <c r="AL52">
        <v>0.63024126185034901</v>
      </c>
    </row>
    <row r="53" spans="1:38" x14ac:dyDescent="0.2">
      <c r="A53">
        <v>80</v>
      </c>
      <c r="B53">
        <v>754</v>
      </c>
      <c r="C53">
        <v>175</v>
      </c>
      <c r="D53">
        <v>0.40749695760112897</v>
      </c>
      <c r="E53">
        <v>18.7350284625951</v>
      </c>
      <c r="F53">
        <v>2.5865788899084601</v>
      </c>
      <c r="G53">
        <v>-304.37037541238823</v>
      </c>
      <c r="H53">
        <v>-264.03942999227064</v>
      </c>
      <c r="I53">
        <v>39.264903295640899</v>
      </c>
      <c r="J53">
        <v>22.801376837510801</v>
      </c>
      <c r="K53">
        <v>7.2431691666895999</v>
      </c>
      <c r="L53">
        <v>3.033324145950928E-5</v>
      </c>
      <c r="M53">
        <v>1.7711568266311458E-6</v>
      </c>
      <c r="N53" s="1">
        <v>-2.5524222331426999E-7</v>
      </c>
      <c r="O53" s="1">
        <v>6.2297414742772002E-11</v>
      </c>
      <c r="P53" s="1">
        <v>8.9995401227708601E-10</v>
      </c>
      <c r="Q53">
        <v>63.329400560737099</v>
      </c>
      <c r="S53">
        <v>22.746119510286899</v>
      </c>
      <c r="AA53">
        <v>3.9887316451397399</v>
      </c>
      <c r="AB53">
        <v>8.4230059129989101</v>
      </c>
      <c r="AC53">
        <v>1.51274237083727</v>
      </c>
      <c r="AJ53">
        <v>0.72471847648125698</v>
      </c>
      <c r="AK53">
        <v>0.18964781226801899</v>
      </c>
      <c r="AL53">
        <v>8.5633711250722E-2</v>
      </c>
    </row>
    <row r="54" spans="1:38" x14ac:dyDescent="0.2">
      <c r="A54">
        <v>80</v>
      </c>
      <c r="B54">
        <v>754</v>
      </c>
      <c r="C54">
        <v>175</v>
      </c>
      <c r="D54">
        <v>0.40749695760112897</v>
      </c>
      <c r="E54">
        <v>39.746492374942498</v>
      </c>
      <c r="F54">
        <v>2.52098162801013</v>
      </c>
      <c r="G54">
        <v>-627.17181843129924</v>
      </c>
      <c r="H54">
        <v>-542.97003739816876</v>
      </c>
      <c r="I54">
        <v>81.976129127323802</v>
      </c>
      <c r="J54">
        <v>47.088576140627801</v>
      </c>
      <c r="K54">
        <v>15.766276093933699</v>
      </c>
      <c r="L54">
        <v>2.7996894089163529E-5</v>
      </c>
      <c r="M54">
        <v>1.7909112982042289E-6</v>
      </c>
      <c r="N54" s="1">
        <v>-2.03877395538183E-7</v>
      </c>
      <c r="O54" s="1">
        <v>1.51334185117979E-10</v>
      </c>
      <c r="P54" s="1">
        <v>9.0571727439763396E-10</v>
      </c>
      <c r="Q54">
        <v>65.758710657116197</v>
      </c>
      <c r="S54">
        <v>18.992396169436201</v>
      </c>
      <c r="AA54">
        <v>0.32502515369164198</v>
      </c>
      <c r="AB54">
        <v>3.9957194530090399</v>
      </c>
      <c r="AC54">
        <v>10.928148566746801</v>
      </c>
      <c r="AJ54">
        <v>0.35157338978123698</v>
      </c>
      <c r="AK54">
        <v>1.5803335895679602E-2</v>
      </c>
      <c r="AL54">
        <v>0.63262327432308296</v>
      </c>
    </row>
    <row r="55" spans="1:38" x14ac:dyDescent="0.2">
      <c r="A55">
        <v>83</v>
      </c>
      <c r="B55">
        <v>774</v>
      </c>
      <c r="C55">
        <v>150</v>
      </c>
      <c r="D55">
        <v>0.44641216635630598</v>
      </c>
      <c r="E55">
        <v>0.26394156320134399</v>
      </c>
      <c r="F55">
        <v>2.5831037671461901</v>
      </c>
      <c r="G55">
        <v>-4.3035362322098463</v>
      </c>
      <c r="H55">
        <v>-3.7174755403244601</v>
      </c>
      <c r="I55">
        <v>0.55967215001230497</v>
      </c>
      <c r="J55">
        <v>0.32016044082271</v>
      </c>
      <c r="K55">
        <v>0.10218000784883099</v>
      </c>
      <c r="L55">
        <v>2.9943240199769676E-5</v>
      </c>
      <c r="M55">
        <v>1.7749873577690595E-6</v>
      </c>
      <c r="N55" s="1">
        <v>-1.9284133408863798E-9</v>
      </c>
      <c r="O55" s="1">
        <v>8.9379020525878397E-13</v>
      </c>
      <c r="P55" s="1">
        <v>7.8500118158315093E-12</v>
      </c>
      <c r="Q55">
        <v>63.532153047150601</v>
      </c>
      <c r="S55">
        <v>22.645127005494199</v>
      </c>
      <c r="AA55">
        <v>3.8581022737047102</v>
      </c>
      <c r="AB55">
        <v>8.6100639765819906</v>
      </c>
      <c r="AC55">
        <v>1.3545536970684</v>
      </c>
      <c r="AJ55">
        <v>0.740125541118417</v>
      </c>
      <c r="AK55">
        <v>0.18326669146954699</v>
      </c>
      <c r="AL55">
        <v>7.6607767412034899E-2</v>
      </c>
    </row>
    <row r="56" spans="1:38" x14ac:dyDescent="0.2">
      <c r="A56">
        <v>84</v>
      </c>
      <c r="B56">
        <v>773</v>
      </c>
      <c r="C56">
        <v>150</v>
      </c>
      <c r="D56">
        <v>0.44581608755914398</v>
      </c>
      <c r="E56">
        <v>0.56861638229519995</v>
      </c>
      <c r="F56">
        <v>2.58271070193963</v>
      </c>
      <c r="G56">
        <v>-9.2693586109344341</v>
      </c>
      <c r="H56">
        <v>-8.0085728936899141</v>
      </c>
      <c r="I56">
        <v>1.2051672487162599</v>
      </c>
      <c r="J56">
        <v>0.68985472460163</v>
      </c>
      <c r="K56">
        <v>0.22016263062996699</v>
      </c>
      <c r="L56">
        <v>2.9986020209650191E-5</v>
      </c>
      <c r="M56">
        <v>1.7762262249527154E-6</v>
      </c>
      <c r="N56" s="1">
        <v>-4.29559640532965E-9</v>
      </c>
      <c r="O56" s="1">
        <v>1.9261820865483402E-12</v>
      </c>
      <c r="P56" s="1">
        <v>1.7321977177179601E-11</v>
      </c>
      <c r="Q56">
        <v>63.581375617972697</v>
      </c>
      <c r="S56">
        <v>22.6073853592641</v>
      </c>
      <c r="AA56">
        <v>3.8154796151356001</v>
      </c>
      <c r="AB56">
        <v>8.6208092041093707</v>
      </c>
      <c r="AC56">
        <v>1.3749502035180701</v>
      </c>
      <c r="AJ56">
        <v>0.74101026429171402</v>
      </c>
      <c r="AK56">
        <v>0.18123251542697799</v>
      </c>
      <c r="AL56">
        <v>7.7757220281307798E-2</v>
      </c>
    </row>
    <row r="57" spans="1:38" x14ac:dyDescent="0.2">
      <c r="A57">
        <v>85</v>
      </c>
      <c r="B57">
        <v>772</v>
      </c>
      <c r="C57">
        <v>150</v>
      </c>
      <c r="D57">
        <v>0.44521886810505501</v>
      </c>
      <c r="E57">
        <v>0.87355839620137898</v>
      </c>
      <c r="F57">
        <v>2.5823205402372298</v>
      </c>
      <c r="G57">
        <v>-14.237525757724985</v>
      </c>
      <c r="H57">
        <v>-12.303334935666474</v>
      </c>
      <c r="I57">
        <v>1.85063466685022</v>
      </c>
      <c r="J57">
        <v>1.06001162400766</v>
      </c>
      <c r="K57">
        <v>0.33828426122541899</v>
      </c>
      <c r="L57">
        <v>3.0028903915499797E-5</v>
      </c>
      <c r="M57">
        <v>1.7774478338142785E-6</v>
      </c>
      <c r="N57" s="1">
        <v>-6.8222382098028203E-9</v>
      </c>
      <c r="O57" s="1">
        <v>2.9601165365808001E-12</v>
      </c>
      <c r="P57" s="1">
        <v>2.72595295918557E-11</v>
      </c>
      <c r="Q57">
        <v>63.629891205125503</v>
      </c>
      <c r="S57">
        <v>22.570046327598</v>
      </c>
      <c r="AA57">
        <v>3.77335408267846</v>
      </c>
      <c r="AB57">
        <v>8.6310344628595193</v>
      </c>
      <c r="AC57">
        <v>1.39567392173838</v>
      </c>
      <c r="AJ57">
        <v>0.74185211373865001</v>
      </c>
      <c r="AK57">
        <v>0.17922262681110099</v>
      </c>
      <c r="AL57">
        <v>7.8925259450247906E-2</v>
      </c>
    </row>
    <row r="58" spans="1:38" x14ac:dyDescent="0.2">
      <c r="A58">
        <v>86</v>
      </c>
      <c r="B58">
        <v>771</v>
      </c>
      <c r="C58">
        <v>150</v>
      </c>
      <c r="D58">
        <v>0.44462050471675502</v>
      </c>
      <c r="E58">
        <v>1.17872784540152</v>
      </c>
      <c r="F58">
        <v>2.5819332157630499</v>
      </c>
      <c r="G58">
        <v>-19.207374562139854</v>
      </c>
      <c r="H58">
        <v>-16.601192558035628</v>
      </c>
      <c r="I58">
        <v>2.4959842973751099</v>
      </c>
      <c r="J58">
        <v>1.43058848909197</v>
      </c>
      <c r="K58">
        <v>0.45652917674447702</v>
      </c>
      <c r="L58">
        <v>3.0071906444108267E-5</v>
      </c>
      <c r="M58">
        <v>1.7786522885092916E-6</v>
      </c>
      <c r="N58" s="1">
        <v>-9.5148812711448E-9</v>
      </c>
      <c r="O58" s="1">
        <v>3.9953779046896204E-12</v>
      </c>
      <c r="P58" s="1">
        <v>3.7680935845268199E-11</v>
      </c>
      <c r="Q58">
        <v>63.677703033307601</v>
      </c>
      <c r="S58">
        <v>22.5331061328401</v>
      </c>
      <c r="AA58">
        <v>3.7317218072891301</v>
      </c>
      <c r="AB58">
        <v>8.6407370352847597</v>
      </c>
      <c r="AC58">
        <v>1.4167319912782701</v>
      </c>
      <c r="AJ58">
        <v>0.74265087892900095</v>
      </c>
      <c r="AK58">
        <v>0.17723682509889899</v>
      </c>
      <c r="AL58">
        <v>8.0112295972098999E-2</v>
      </c>
    </row>
    <row r="59" spans="1:38" x14ac:dyDescent="0.2">
      <c r="A59">
        <v>87</v>
      </c>
      <c r="B59">
        <v>770</v>
      </c>
      <c r="C59">
        <v>150</v>
      </c>
      <c r="D59">
        <v>0.44402099410439499</v>
      </c>
      <c r="E59">
        <v>1.48408588870682</v>
      </c>
      <c r="F59">
        <v>2.5815486556545602</v>
      </c>
      <c r="G59">
        <v>-24.178256950706597</v>
      </c>
      <c r="H59">
        <v>-20.901589137840968</v>
      </c>
      <c r="I59">
        <v>3.1411281338883401</v>
      </c>
      <c r="J59">
        <v>1.8015439993054601</v>
      </c>
      <c r="K59">
        <v>0.57488201334347</v>
      </c>
      <c r="L59">
        <v>3.0115043583004707E-5</v>
      </c>
      <c r="M59">
        <v>1.7798397063749352E-6</v>
      </c>
      <c r="N59" s="1">
        <v>-1.2380339802651301E-8</v>
      </c>
      <c r="O59" s="1">
        <v>5.0317516054353601E-12</v>
      </c>
      <c r="P59" s="1">
        <v>4.8605222540876803E-11</v>
      </c>
      <c r="Q59">
        <v>63.724814905832297</v>
      </c>
      <c r="S59">
        <v>22.496560503720399</v>
      </c>
      <c r="AA59">
        <v>3.6905783776749601</v>
      </c>
      <c r="AB59">
        <v>8.6499141991751092</v>
      </c>
      <c r="AC59">
        <v>1.4381320135970901</v>
      </c>
      <c r="AJ59">
        <v>0.74340634837388997</v>
      </c>
      <c r="AK59">
        <v>0.17527488432532201</v>
      </c>
      <c r="AL59">
        <v>8.1318767300786701E-2</v>
      </c>
    </row>
    <row r="60" spans="1:38" x14ac:dyDescent="0.2">
      <c r="A60">
        <v>88</v>
      </c>
      <c r="B60">
        <v>769</v>
      </c>
      <c r="C60">
        <v>150</v>
      </c>
      <c r="D60">
        <v>0.44342033296550898</v>
      </c>
      <c r="E60">
        <v>1.78959476903453</v>
      </c>
      <c r="F60">
        <v>2.5811667802165301</v>
      </c>
      <c r="G60">
        <v>-29.149542534854437</v>
      </c>
      <c r="H60">
        <v>-25.203982831773896</v>
      </c>
      <c r="I60">
        <v>3.78598061994966</v>
      </c>
      <c r="J60">
        <v>2.1728383737855501</v>
      </c>
      <c r="K60">
        <v>0.69332783249457297</v>
      </c>
      <c r="L60">
        <v>3.0158331777757833E-5</v>
      </c>
      <c r="M60">
        <v>1.7810102176684186E-6</v>
      </c>
      <c r="N60" s="1">
        <v>-1.5425713425443698E-8</v>
      </c>
      <c r="O60" s="1">
        <v>6.0690246890953602E-12</v>
      </c>
      <c r="P60" s="1">
        <v>6.0052214937539005E-11</v>
      </c>
      <c r="Q60">
        <v>63.7712312013564</v>
      </c>
      <c r="S60">
        <v>22.460404668000201</v>
      </c>
      <c r="AA60">
        <v>3.6499188349904799</v>
      </c>
      <c r="AB60">
        <v>8.6585632010882794</v>
      </c>
      <c r="AC60">
        <v>1.4598820945645401</v>
      </c>
      <c r="AJ60">
        <v>0.74411830742978502</v>
      </c>
      <c r="AK60">
        <v>0.17333655285739299</v>
      </c>
      <c r="AL60">
        <v>8.2545139712821097E-2</v>
      </c>
    </row>
    <row r="61" spans="1:38" x14ac:dyDescent="0.2">
      <c r="A61">
        <v>89</v>
      </c>
      <c r="B61">
        <v>768</v>
      </c>
      <c r="C61">
        <v>150</v>
      </c>
      <c r="D61">
        <v>0.442818517984921</v>
      </c>
      <c r="E61">
        <v>2.59238122138682</v>
      </c>
      <c r="F61">
        <v>2.5801908362972199</v>
      </c>
      <c r="G61">
        <v>-42.210432267586299</v>
      </c>
      <c r="H61">
        <v>-36.502693919634012</v>
      </c>
      <c r="I61">
        <v>5.4821479594220603</v>
      </c>
      <c r="J61">
        <v>3.1480492522771999</v>
      </c>
      <c r="K61">
        <v>1.00472460599352</v>
      </c>
      <c r="L61">
        <v>3.0212383520558435E-5</v>
      </c>
      <c r="M61">
        <v>1.7831004234308442E-6</v>
      </c>
      <c r="N61" s="1">
        <v>-2.3065124197218901E-8</v>
      </c>
      <c r="O61" s="1">
        <v>8.80394627993881E-12</v>
      </c>
      <c r="P61" s="1">
        <v>8.9067805359008602E-11</v>
      </c>
      <c r="Q61">
        <v>63.863753851003501</v>
      </c>
      <c r="S61">
        <v>22.3822818643822</v>
      </c>
      <c r="AA61">
        <v>3.5638778266625999</v>
      </c>
      <c r="AB61">
        <v>8.6599358786184393</v>
      </c>
      <c r="AC61">
        <v>1.53015057933323</v>
      </c>
      <c r="AJ61">
        <v>0.74423256946314298</v>
      </c>
      <c r="AK61">
        <v>0.16924957758752901</v>
      </c>
      <c r="AL61">
        <v>8.6517852949326998E-2</v>
      </c>
    </row>
    <row r="62" spans="1:38" x14ac:dyDescent="0.2">
      <c r="A62">
        <v>90</v>
      </c>
      <c r="B62">
        <v>767</v>
      </c>
      <c r="C62">
        <v>150</v>
      </c>
      <c r="D62">
        <v>0.44221554583473799</v>
      </c>
      <c r="E62">
        <v>3.4089952726161701</v>
      </c>
      <c r="F62">
        <v>2.57917195385805</v>
      </c>
      <c r="G62">
        <v>-55.485833377863912</v>
      </c>
      <c r="H62">
        <v>-47.990353719529175</v>
      </c>
      <c r="I62">
        <v>7.2061526302309602</v>
      </c>
      <c r="J62">
        <v>4.1403131811036804</v>
      </c>
      <c r="K62">
        <v>1.3217402071687501</v>
      </c>
      <c r="L62">
        <v>3.0264515525291422E-5</v>
      </c>
      <c r="M62">
        <v>1.7851645451219121E-6</v>
      </c>
      <c r="N62" s="1">
        <v>-3.1287755250573197E-8</v>
      </c>
      <c r="O62" s="1">
        <v>1.1594248049350899E-11</v>
      </c>
      <c r="P62" s="1">
        <v>1.19883551206634E-10</v>
      </c>
      <c r="Q62">
        <v>63.956495486806503</v>
      </c>
      <c r="S62">
        <v>22.302457887613802</v>
      </c>
      <c r="AA62">
        <v>3.4763822356412999</v>
      </c>
      <c r="AB62">
        <v>8.6573367084745794</v>
      </c>
      <c r="AC62">
        <v>1.6073276814636499</v>
      </c>
      <c r="AJ62">
        <v>0.744020217121654</v>
      </c>
      <c r="AK62">
        <v>0.165096832178593</v>
      </c>
      <c r="AL62">
        <v>9.0882950699751802E-2</v>
      </c>
    </row>
    <row r="63" spans="1:38" x14ac:dyDescent="0.2">
      <c r="A63">
        <v>91</v>
      </c>
      <c r="B63">
        <v>766</v>
      </c>
      <c r="C63">
        <v>150</v>
      </c>
      <c r="D63">
        <v>0.44161141317423203</v>
      </c>
      <c r="E63">
        <v>4.2377699008002097</v>
      </c>
      <c r="F63">
        <v>2.5781049195171799</v>
      </c>
      <c r="G63">
        <v>-68.947350456749277</v>
      </c>
      <c r="H63">
        <v>-59.642396393007274</v>
      </c>
      <c r="I63">
        <v>8.9543897067237701</v>
      </c>
      <c r="J63">
        <v>5.1475570217637401</v>
      </c>
      <c r="K63">
        <v>1.6437538552906601</v>
      </c>
      <c r="L63">
        <v>3.0314314869624069E-5</v>
      </c>
      <c r="M63">
        <v>1.7871969525157628E-6</v>
      </c>
      <c r="N63" s="1">
        <v>-4.0093486890311298E-8</v>
      </c>
      <c r="O63" s="1">
        <v>1.4435054552012701E-11</v>
      </c>
      <c r="P63" s="1">
        <v>1.52481942806114E-10</v>
      </c>
      <c r="Q63">
        <v>64.049406744829398</v>
      </c>
      <c r="S63">
        <v>22.220764260810899</v>
      </c>
      <c r="AA63">
        <v>3.3873045851716701</v>
      </c>
      <c r="AB63">
        <v>8.6502140017158595</v>
      </c>
      <c r="AC63">
        <v>1.6923104074721</v>
      </c>
      <c r="AJ63">
        <v>0.743435851497244</v>
      </c>
      <c r="AK63">
        <v>0.16087245492203001</v>
      </c>
      <c r="AL63">
        <v>9.5691693580725101E-2</v>
      </c>
    </row>
    <row r="64" spans="1:38" x14ac:dyDescent="0.2">
      <c r="A64">
        <v>92</v>
      </c>
      <c r="B64">
        <v>765</v>
      </c>
      <c r="C64">
        <v>150</v>
      </c>
      <c r="D64">
        <v>0.44100611664981298</v>
      </c>
      <c r="E64">
        <v>5.0833768968682396</v>
      </c>
      <c r="F64">
        <v>2.5769742118840799</v>
      </c>
      <c r="G64">
        <v>-82.669285795146763</v>
      </c>
      <c r="H64">
        <v>-71.523039528043569</v>
      </c>
      <c r="I64">
        <v>10.7366433242818</v>
      </c>
      <c r="J64">
        <v>6.1753820531204902</v>
      </c>
      <c r="K64">
        <v>1.97261457775771</v>
      </c>
      <c r="L64">
        <v>3.036136771496891E-5</v>
      </c>
      <c r="M64">
        <v>1.7892032415822034E-6</v>
      </c>
      <c r="N64" s="1">
        <v>-4.9536933434738003E-8</v>
      </c>
      <c r="O64" s="1">
        <v>1.73435532911819E-11</v>
      </c>
      <c r="P64" s="1">
        <v>1.87057611950824E-10</v>
      </c>
      <c r="Q64">
        <v>64.143083629267295</v>
      </c>
      <c r="S64">
        <v>22.1363725827613</v>
      </c>
      <c r="AA64">
        <v>3.2958223663405701</v>
      </c>
      <c r="AB64">
        <v>8.6377241602583297</v>
      </c>
      <c r="AC64">
        <v>1.7869972613723699</v>
      </c>
      <c r="AJ64">
        <v>0.74241001388085504</v>
      </c>
      <c r="AK64">
        <v>0.15653774636788401</v>
      </c>
      <c r="AL64">
        <v>0.101052239751259</v>
      </c>
    </row>
    <row r="65" spans="1:38" x14ac:dyDescent="0.2">
      <c r="A65">
        <v>93</v>
      </c>
      <c r="B65">
        <v>764</v>
      </c>
      <c r="C65">
        <v>150</v>
      </c>
      <c r="D65">
        <v>0.44039965289495597</v>
      </c>
      <c r="E65">
        <v>6.6213485168305297</v>
      </c>
      <c r="F65">
        <v>2.5770514533031599</v>
      </c>
      <c r="G65">
        <v>-107.65743547974246</v>
      </c>
      <c r="H65">
        <v>-93.161685093678258</v>
      </c>
      <c r="I65">
        <v>13.976522572495901</v>
      </c>
      <c r="J65">
        <v>8.0441644198846003</v>
      </c>
      <c r="K65">
        <v>2.5693505297860999</v>
      </c>
      <c r="L65">
        <v>3.0363086084806218E-5</v>
      </c>
      <c r="M65">
        <v>1.78874912524755E-6</v>
      </c>
      <c r="N65" s="1">
        <v>-6.6299467744121796E-8</v>
      </c>
      <c r="O65" s="1">
        <v>2.2573956456886499E-11</v>
      </c>
      <c r="P65" s="1">
        <v>2.48783905117047E-10</v>
      </c>
      <c r="Q65">
        <v>64.122857003806701</v>
      </c>
      <c r="S65">
        <v>22.1431003506789</v>
      </c>
      <c r="AA65">
        <v>3.3060924502949498</v>
      </c>
      <c r="AB65">
        <v>8.6102879281929994</v>
      </c>
      <c r="AC65">
        <v>1.8176622670264</v>
      </c>
      <c r="AJ65">
        <v>0.74015275027975302</v>
      </c>
      <c r="AK65">
        <v>0.15704693571586201</v>
      </c>
      <c r="AL65">
        <v>0.102800314004384</v>
      </c>
    </row>
    <row r="66" spans="1:38" x14ac:dyDescent="0.2">
      <c r="A66">
        <v>93</v>
      </c>
      <c r="B66">
        <v>764</v>
      </c>
      <c r="C66">
        <v>150</v>
      </c>
      <c r="D66">
        <v>0.44039965289495597</v>
      </c>
      <c r="E66">
        <v>3.7078115619098901</v>
      </c>
      <c r="F66">
        <v>2.5199581355943099</v>
      </c>
      <c r="G66">
        <v>-58.744438780934111</v>
      </c>
      <c r="H66">
        <v>-50.745841737709384</v>
      </c>
      <c r="I66">
        <v>7.7120927958585703</v>
      </c>
      <c r="J66">
        <v>4.4003307786693204</v>
      </c>
      <c r="K66">
        <v>1.4713782382084799</v>
      </c>
      <c r="L66">
        <v>2.8187626559912406E-5</v>
      </c>
      <c r="M66">
        <v>1.7961300149165168E-6</v>
      </c>
      <c r="N66" s="1">
        <v>-1.4764717626382799E-8</v>
      </c>
      <c r="O66" s="1">
        <v>1.4106088755051599E-11</v>
      </c>
      <c r="P66" s="1">
        <v>7.22908347789879E-11</v>
      </c>
      <c r="Q66">
        <v>65.890257796280906</v>
      </c>
      <c r="S66">
        <v>19.060703205426599</v>
      </c>
      <c r="AA66">
        <v>0.35068443123231102</v>
      </c>
      <c r="AB66">
        <v>4.4679409747311096</v>
      </c>
      <c r="AC66">
        <v>10.230413592329</v>
      </c>
      <c r="AJ66">
        <v>0.39217948566823402</v>
      </c>
      <c r="AK66">
        <v>1.7010015975970301E-2</v>
      </c>
      <c r="AL66">
        <v>0.59081049835579502</v>
      </c>
    </row>
    <row r="67" spans="1:38" x14ac:dyDescent="0.2">
      <c r="A67">
        <v>94</v>
      </c>
      <c r="B67">
        <v>763</v>
      </c>
      <c r="C67">
        <v>150</v>
      </c>
      <c r="D67">
        <v>0.43979201853014099</v>
      </c>
      <c r="E67">
        <v>8.6317048979833704</v>
      </c>
      <c r="F67">
        <v>2.5785761780210299</v>
      </c>
      <c r="G67">
        <v>-140.35486396657313</v>
      </c>
      <c r="H67">
        <v>-121.49140756488315</v>
      </c>
      <c r="I67">
        <v>18.2053335923273</v>
      </c>
      <c r="J67">
        <v>10.486924564569</v>
      </c>
      <c r="K67">
        <v>3.3474694180289299</v>
      </c>
      <c r="L67">
        <v>3.0320073012222212E-5</v>
      </c>
      <c r="M67">
        <v>1.7855891769971228E-6</v>
      </c>
      <c r="N67" s="1">
        <v>-8.8695415853685198E-8</v>
      </c>
      <c r="O67" s="1">
        <v>2.93221646319147E-11</v>
      </c>
      <c r="P67" s="1">
        <v>3.3092555632721001E-10</v>
      </c>
      <c r="Q67">
        <v>63.974342542059603</v>
      </c>
      <c r="S67">
        <v>22.256193838582401</v>
      </c>
      <c r="AA67">
        <v>3.43404955512597</v>
      </c>
      <c r="AB67">
        <v>8.5758206949125597</v>
      </c>
      <c r="AC67">
        <v>1.7595933693193599</v>
      </c>
      <c r="AJ67">
        <v>0.73731432828224297</v>
      </c>
      <c r="AK67">
        <v>0.16315272424901001</v>
      </c>
      <c r="AL67">
        <v>9.9532947468745497E-2</v>
      </c>
    </row>
    <row r="68" spans="1:38" x14ac:dyDescent="0.2">
      <c r="A68">
        <v>94</v>
      </c>
      <c r="B68">
        <v>763</v>
      </c>
      <c r="C68">
        <v>150</v>
      </c>
      <c r="D68">
        <v>0.43979201853014099</v>
      </c>
      <c r="E68">
        <v>10.707035154126199</v>
      </c>
      <c r="F68">
        <v>2.5198984715412802</v>
      </c>
      <c r="G68">
        <v>-169.55471273111681</v>
      </c>
      <c r="H68">
        <v>-146.50247326441041</v>
      </c>
      <c r="I68">
        <v>22.247975164509398</v>
      </c>
      <c r="J68">
        <v>12.702148365537999</v>
      </c>
      <c r="K68">
        <v>4.2489946619068704</v>
      </c>
      <c r="L68">
        <v>2.8142485291166115E-5</v>
      </c>
      <c r="M68">
        <v>1.7954011069683147E-6</v>
      </c>
      <c r="N68" s="1">
        <v>-4.3113643471134998E-8</v>
      </c>
      <c r="O68" s="1">
        <v>4.0751423126733003E-11</v>
      </c>
      <c r="P68" s="1">
        <v>2.10075692371948E-10</v>
      </c>
      <c r="Q68">
        <v>65.866179957378094</v>
      </c>
      <c r="S68">
        <v>19.050992843305998</v>
      </c>
      <c r="AA68">
        <v>0.34829151759954402</v>
      </c>
      <c r="AB68">
        <v>4.3888278250062296</v>
      </c>
      <c r="AC68">
        <v>10.3457078567099</v>
      </c>
      <c r="AJ68">
        <v>0.38539016594097297</v>
      </c>
      <c r="AK68">
        <v>1.69007420295503E-2</v>
      </c>
      <c r="AL68">
        <v>0.59770909202947498</v>
      </c>
    </row>
    <row r="69" spans="1:38" x14ac:dyDescent="0.2">
      <c r="A69">
        <v>95</v>
      </c>
      <c r="B69">
        <v>762</v>
      </c>
      <c r="C69">
        <v>150</v>
      </c>
      <c r="D69">
        <v>0.439183210162781</v>
      </c>
      <c r="E69">
        <v>15.410175098646</v>
      </c>
      <c r="F69">
        <v>2.5829026755203901</v>
      </c>
      <c r="G69">
        <v>-250.6767733243814</v>
      </c>
      <c r="H69">
        <v>-217.07868208687526</v>
      </c>
      <c r="I69">
        <v>32.457219956050899</v>
      </c>
      <c r="J69">
        <v>18.714345075162999</v>
      </c>
      <c r="K69">
        <v>5.9662236772205199</v>
      </c>
      <c r="L69">
        <v>3.0116200633183235E-5</v>
      </c>
      <c r="M69">
        <v>1.775314789186235E-6</v>
      </c>
      <c r="N69" s="1">
        <v>-1.6022635256069899E-7</v>
      </c>
      <c r="O69" s="1">
        <v>5.1872902548874299E-11</v>
      </c>
      <c r="P69" s="1">
        <v>5.9642732773540497E-10</v>
      </c>
      <c r="Q69">
        <v>63.515613757385701</v>
      </c>
      <c r="S69">
        <v>22.5979029345255</v>
      </c>
      <c r="AA69">
        <v>3.8230011487797699</v>
      </c>
      <c r="AB69">
        <v>8.4494030145498709</v>
      </c>
      <c r="AC69">
        <v>1.61407914475898</v>
      </c>
      <c r="AJ69">
        <v>0.72689671540466005</v>
      </c>
      <c r="AK69">
        <v>0.18174476070017501</v>
      </c>
      <c r="AL69">
        <v>9.1358523895163996E-2</v>
      </c>
    </row>
    <row r="70" spans="1:38" x14ac:dyDescent="0.2">
      <c r="A70">
        <v>95</v>
      </c>
      <c r="B70">
        <v>762</v>
      </c>
      <c r="C70">
        <v>150</v>
      </c>
      <c r="D70">
        <v>0.439183210162781</v>
      </c>
      <c r="E70">
        <v>31.4955718714154</v>
      </c>
      <c r="F70">
        <v>2.5197455082003102</v>
      </c>
      <c r="G70">
        <v>-498.24170284455079</v>
      </c>
      <c r="H70">
        <v>-430.61525716684838</v>
      </c>
      <c r="I70">
        <v>65.330092911850798</v>
      </c>
      <c r="J70">
        <v>37.3231706774977</v>
      </c>
      <c r="K70">
        <v>12.499505116257</v>
      </c>
      <c r="L70">
        <v>2.8003789652875372E-5</v>
      </c>
      <c r="M70">
        <v>1.7932448035721193E-6</v>
      </c>
      <c r="N70" s="1">
        <v>-1.2190334262901E-7</v>
      </c>
      <c r="O70" s="1">
        <v>1.2006841750633601E-10</v>
      </c>
      <c r="P70" s="1">
        <v>6.0311630022770405E-10</v>
      </c>
      <c r="Q70">
        <v>65.797225914056099</v>
      </c>
      <c r="S70">
        <v>19.0301381965734</v>
      </c>
      <c r="AA70">
        <v>0.34717570385764401</v>
      </c>
      <c r="AB70">
        <v>4.1804942689325397</v>
      </c>
      <c r="AC70">
        <v>10.644965916580199</v>
      </c>
      <c r="AJ70">
        <v>0.36748523324318499</v>
      </c>
      <c r="AK70">
        <v>1.6864457489675001E-2</v>
      </c>
      <c r="AL70">
        <v>0.61565030926713904</v>
      </c>
    </row>
    <row r="71" spans="1:38" x14ac:dyDescent="0.2">
      <c r="A71">
        <v>96</v>
      </c>
      <c r="B71">
        <v>761</v>
      </c>
      <c r="C71">
        <v>150</v>
      </c>
      <c r="D71">
        <v>0.43857322438717999</v>
      </c>
      <c r="E71">
        <v>17.566135626510398</v>
      </c>
      <c r="F71">
        <v>2.5844889810179201</v>
      </c>
      <c r="G71">
        <v>-285.76461746309542</v>
      </c>
      <c r="H71">
        <v>-247.53599479025411</v>
      </c>
      <c r="I71">
        <v>36.966226053127002</v>
      </c>
      <c r="J71">
        <v>21.332192348882199</v>
      </c>
      <c r="K71">
        <v>6.7967539252544498</v>
      </c>
      <c r="L71">
        <v>3.0059993180933764E-5</v>
      </c>
      <c r="M71">
        <v>1.7716885837561399E-6</v>
      </c>
      <c r="N71" s="1">
        <v>-1.8712963579860501E-7</v>
      </c>
      <c r="O71" s="1">
        <v>5.8903515773846196E-11</v>
      </c>
      <c r="P71" s="1">
        <v>6.92921422047882E-10</v>
      </c>
      <c r="Q71">
        <v>63.350455998729302</v>
      </c>
      <c r="S71">
        <v>22.7207160820771</v>
      </c>
      <c r="AA71">
        <v>3.9628605581471801</v>
      </c>
      <c r="AB71">
        <v>8.4033284378942792</v>
      </c>
      <c r="AC71">
        <v>1.5626389231519899</v>
      </c>
      <c r="AJ71">
        <v>0.72309669078164396</v>
      </c>
      <c r="AK71">
        <v>0.188436321363849</v>
      </c>
      <c r="AL71">
        <v>8.8466987854505602E-2</v>
      </c>
    </row>
    <row r="72" spans="1:38" x14ac:dyDescent="0.2">
      <c r="A72">
        <v>96</v>
      </c>
      <c r="B72">
        <v>761</v>
      </c>
      <c r="C72">
        <v>150</v>
      </c>
      <c r="D72">
        <v>0.43857322438717999</v>
      </c>
      <c r="E72">
        <v>37.851596537319999</v>
      </c>
      <c r="F72">
        <v>2.5197253163928801</v>
      </c>
      <c r="G72">
        <v>-598.51039400263016</v>
      </c>
      <c r="H72">
        <v>-517.39613447483839</v>
      </c>
      <c r="I72">
        <v>78.435681020927106</v>
      </c>
      <c r="J72">
        <v>44.839112036888899</v>
      </c>
      <c r="K72">
        <v>15.0221122481344</v>
      </c>
      <c r="L72">
        <v>2.7960080848920789E-5</v>
      </c>
      <c r="M72">
        <v>1.792561068270428E-6</v>
      </c>
      <c r="N72" s="1">
        <v>-1.48104988683183E-7</v>
      </c>
      <c r="O72" s="1">
        <v>1.4435771395910801E-10</v>
      </c>
      <c r="P72" s="1">
        <v>7.2924352073123296E-10</v>
      </c>
      <c r="Q72">
        <v>65.773770805045203</v>
      </c>
      <c r="S72">
        <v>19.020986148200201</v>
      </c>
      <c r="AA72">
        <v>0.345098099276125</v>
      </c>
      <c r="AB72">
        <v>4.1042325314568098</v>
      </c>
      <c r="AC72">
        <v>10.7559124160215</v>
      </c>
      <c r="AJ72">
        <v>0.36092154368678497</v>
      </c>
      <c r="AK72">
        <v>1.6770044129452599E-2</v>
      </c>
      <c r="AL72">
        <v>0.62230841218376198</v>
      </c>
    </row>
    <row r="73" spans="1:38" x14ac:dyDescent="0.2">
      <c r="A73">
        <v>97</v>
      </c>
      <c r="B73">
        <v>760</v>
      </c>
      <c r="C73">
        <v>150</v>
      </c>
      <c r="D73">
        <v>0.43796205778444602</v>
      </c>
      <c r="E73">
        <v>18.3412044557044</v>
      </c>
      <c r="F73">
        <v>2.5851150883797098</v>
      </c>
      <c r="G73">
        <v>-298.35794646610088</v>
      </c>
      <c r="H73">
        <v>-258.50772912879489</v>
      </c>
      <c r="I73">
        <v>38.571569798486202</v>
      </c>
      <c r="J73">
        <v>22.276835985112001</v>
      </c>
      <c r="K73">
        <v>7.0949276255240896</v>
      </c>
      <c r="L73">
        <v>3.0060407523953992E-5</v>
      </c>
      <c r="M73">
        <v>1.7705201284538921E-6</v>
      </c>
      <c r="N73" s="1">
        <v>-2.0118866102443201E-7</v>
      </c>
      <c r="O73" s="1">
        <v>6.1381468911557694E-11</v>
      </c>
      <c r="P73" s="1">
        <v>7.4029680047143498E-10</v>
      </c>
      <c r="Q73">
        <v>63.292111790406899</v>
      </c>
      <c r="S73">
        <v>22.764931681202999</v>
      </c>
      <c r="AA73">
        <v>4.01295270355316</v>
      </c>
      <c r="AB73">
        <v>8.3892284394678196</v>
      </c>
      <c r="AC73">
        <v>1.5407753853689801</v>
      </c>
      <c r="AJ73">
        <v>0.72193332878643002</v>
      </c>
      <c r="AK73">
        <v>0.19083142925406099</v>
      </c>
      <c r="AL73">
        <v>8.7235241959508006E-2</v>
      </c>
    </row>
    <row r="74" spans="1:38" x14ac:dyDescent="0.2">
      <c r="A74">
        <v>97</v>
      </c>
      <c r="B74">
        <v>760</v>
      </c>
      <c r="C74">
        <v>150</v>
      </c>
      <c r="D74">
        <v>0.43796205778444602</v>
      </c>
      <c r="E74">
        <v>40.014507690721103</v>
      </c>
      <c r="F74">
        <v>2.5197370353939701</v>
      </c>
      <c r="G74">
        <v>-632.53457392147402</v>
      </c>
      <c r="H74">
        <v>-546.93214895316987</v>
      </c>
      <c r="I74">
        <v>82.855756635826495</v>
      </c>
      <c r="J74">
        <v>47.396179331358098</v>
      </c>
      <c r="K74">
        <v>15.880430032439699</v>
      </c>
      <c r="L74">
        <v>2.7948265967763009E-5</v>
      </c>
      <c r="M74">
        <v>1.7923611790132979E-6</v>
      </c>
      <c r="N74" s="1">
        <v>-1.6108612153769401E-7</v>
      </c>
      <c r="O74" s="1">
        <v>1.5260539887383E-10</v>
      </c>
      <c r="P74" s="1">
        <v>7.8392777112354701E-10</v>
      </c>
      <c r="Q74">
        <v>65.765508007305499</v>
      </c>
      <c r="S74">
        <v>19.015696286555301</v>
      </c>
      <c r="AA74">
        <v>0.34266192014809699</v>
      </c>
      <c r="AB74">
        <v>4.0719512696964504</v>
      </c>
      <c r="AC74">
        <v>10.8041825162944</v>
      </c>
      <c r="AJ74">
        <v>0.358141639088004</v>
      </c>
      <c r="AK74">
        <v>1.6654395712048901E-2</v>
      </c>
      <c r="AL74">
        <v>0.62520396519994603</v>
      </c>
    </row>
    <row r="75" spans="1:38" x14ac:dyDescent="0.2">
      <c r="A75">
        <v>99</v>
      </c>
      <c r="B75">
        <v>787</v>
      </c>
      <c r="C75">
        <v>125</v>
      </c>
      <c r="D75">
        <v>0.479998585105882</v>
      </c>
      <c r="E75">
        <v>0.186929584921189</v>
      </c>
      <c r="F75">
        <v>2.5808556100284799</v>
      </c>
      <c r="G75">
        <v>-3.05485509772417</v>
      </c>
      <c r="H75">
        <v>-2.6316071926273108</v>
      </c>
      <c r="I75">
        <v>0.39923398113178199</v>
      </c>
      <c r="J75">
        <v>0.22645005974244201</v>
      </c>
      <c r="K75">
        <v>7.2429307627607298E-2</v>
      </c>
      <c r="L75">
        <v>2.9713004078233836E-5</v>
      </c>
      <c r="M75">
        <v>1.7752041638652972E-6</v>
      </c>
      <c r="N75" s="1">
        <v>-8.7629333422804202E-10</v>
      </c>
      <c r="O75" s="1">
        <v>6.3749930932707398E-13</v>
      </c>
      <c r="P75" s="1">
        <v>4.1232766937841601E-12</v>
      </c>
      <c r="Q75">
        <v>63.546838459362</v>
      </c>
      <c r="S75">
        <v>22.635683477088399</v>
      </c>
      <c r="AA75">
        <v>3.8468846258988298</v>
      </c>
      <c r="AB75">
        <v>8.6180321928364592</v>
      </c>
      <c r="AC75">
        <v>1.3525612448142199</v>
      </c>
      <c r="AJ75">
        <v>0.74078129945756399</v>
      </c>
      <c r="AK75">
        <v>0.182726632209253</v>
      </c>
      <c r="AL75">
        <v>7.6492068333182006E-2</v>
      </c>
    </row>
    <row r="76" spans="1:38" x14ac:dyDescent="0.2">
      <c r="A76">
        <v>100</v>
      </c>
      <c r="B76">
        <v>786</v>
      </c>
      <c r="C76">
        <v>125</v>
      </c>
      <c r="D76">
        <v>0.47944153330501299</v>
      </c>
      <c r="E76">
        <v>0.47973690615398201</v>
      </c>
      <c r="F76">
        <v>2.5804885344948199</v>
      </c>
      <c r="G76">
        <v>-7.8384494669115377</v>
      </c>
      <c r="H76">
        <v>-6.7537370111547901</v>
      </c>
      <c r="I76">
        <v>1.02413487773851</v>
      </c>
      <c r="J76">
        <v>0.58122183927131899</v>
      </c>
      <c r="K76">
        <v>0.18590933450820299</v>
      </c>
      <c r="L76">
        <v>2.9747228950110838E-5</v>
      </c>
      <c r="M76">
        <v>1.7763575165806469E-6</v>
      </c>
      <c r="N76" s="1">
        <v>-2.3300610616976499E-9</v>
      </c>
      <c r="O76" s="1">
        <v>1.6368653341137401E-12</v>
      </c>
      <c r="P76" s="1">
        <v>1.0819650122643801E-11</v>
      </c>
      <c r="Q76">
        <v>63.593214883328997</v>
      </c>
      <c r="S76">
        <v>22.600149186234201</v>
      </c>
      <c r="AA76">
        <v>3.8067471675757099</v>
      </c>
      <c r="AB76">
        <v>8.6282218037951104</v>
      </c>
      <c r="AC76">
        <v>1.3716669590658901</v>
      </c>
      <c r="AJ76">
        <v>0.74162020723063604</v>
      </c>
      <c r="AK76">
        <v>0.18081109546131899</v>
      </c>
      <c r="AL76">
        <v>7.7568697308043499E-2</v>
      </c>
    </row>
    <row r="77" spans="1:38" x14ac:dyDescent="0.2">
      <c r="A77">
        <v>101</v>
      </c>
      <c r="B77">
        <v>785</v>
      </c>
      <c r="C77">
        <v>125</v>
      </c>
      <c r="D77">
        <v>0.47888342862543298</v>
      </c>
      <c r="E77">
        <v>0.77266216156185896</v>
      </c>
      <c r="F77">
        <v>2.58012433107023</v>
      </c>
      <c r="G77">
        <v>-12.622077125581542</v>
      </c>
      <c r="H77">
        <v>-10.877483257603416</v>
      </c>
      <c r="I77">
        <v>1.6487207560157999</v>
      </c>
      <c r="J77">
        <v>0.93621166696263103</v>
      </c>
      <c r="K77">
        <v>0.29946702655269303</v>
      </c>
      <c r="L77">
        <v>2.9781414529474743E-5</v>
      </c>
      <c r="M77">
        <v>1.7774946615868966E-6</v>
      </c>
      <c r="N77" s="1">
        <v>-3.88683494899279E-9</v>
      </c>
      <c r="O77" s="1">
        <v>2.63754100640348E-12</v>
      </c>
      <c r="P77" s="1">
        <v>1.7818514931823301E-11</v>
      </c>
      <c r="Q77">
        <v>63.638937961428397</v>
      </c>
      <c r="S77">
        <v>22.5649933130546</v>
      </c>
      <c r="AA77">
        <v>3.7670743570352299</v>
      </c>
      <c r="AB77">
        <v>8.6379475396506393</v>
      </c>
      <c r="AC77">
        <v>1.3910468288309701</v>
      </c>
      <c r="AJ77">
        <v>0.74242086805157403</v>
      </c>
      <c r="AK77">
        <v>0.178918229304115</v>
      </c>
      <c r="AL77">
        <v>7.8660902644310804E-2</v>
      </c>
    </row>
    <row r="78" spans="1:38" x14ac:dyDescent="0.2">
      <c r="A78">
        <v>102</v>
      </c>
      <c r="B78">
        <v>784</v>
      </c>
      <c r="C78">
        <v>125</v>
      </c>
      <c r="D78">
        <v>0.47832426807926898</v>
      </c>
      <c r="E78">
        <v>1.0656702190756</v>
      </c>
      <c r="F78">
        <v>2.57976294750957</v>
      </c>
      <c r="G78">
        <v>-17.405153293208311</v>
      </c>
      <c r="H78">
        <v>-15.002344546147102</v>
      </c>
      <c r="I78">
        <v>2.2729118356536002</v>
      </c>
      <c r="J78">
        <v>1.29138012872665</v>
      </c>
      <c r="K78">
        <v>0.41308842740933799</v>
      </c>
      <c r="L78">
        <v>2.9815570760788518E-5</v>
      </c>
      <c r="M78">
        <v>1.7786156919993937E-6</v>
      </c>
      <c r="N78" s="1">
        <v>-5.5504690284542304E-9</v>
      </c>
      <c r="O78" s="1">
        <v>3.6393488308549899E-12</v>
      </c>
      <c r="P78" s="1">
        <v>2.5130624130145201E-11</v>
      </c>
      <c r="Q78">
        <v>63.684010796659202</v>
      </c>
      <c r="S78">
        <v>22.530212653682199</v>
      </c>
      <c r="AA78">
        <v>3.7278628270115099</v>
      </c>
      <c r="AB78">
        <v>8.6472079159145494</v>
      </c>
      <c r="AC78">
        <v>1.4107058067324301</v>
      </c>
      <c r="AJ78">
        <v>0.74318317085240704</v>
      </c>
      <c r="AK78">
        <v>0.177047858854498</v>
      </c>
      <c r="AL78">
        <v>7.9768970293094099E-2</v>
      </c>
    </row>
    <row r="79" spans="1:38" x14ac:dyDescent="0.2">
      <c r="A79">
        <v>103</v>
      </c>
      <c r="B79">
        <v>783</v>
      </c>
      <c r="C79">
        <v>125</v>
      </c>
      <c r="D79">
        <v>0.47776404866733202</v>
      </c>
      <c r="E79">
        <v>1.35872667457605</v>
      </c>
      <c r="F79">
        <v>2.5794043267278899</v>
      </c>
      <c r="G79">
        <v>-22.187105245712271</v>
      </c>
      <c r="H79">
        <v>-19.127829433100558</v>
      </c>
      <c r="I79">
        <v>2.8966300360855102</v>
      </c>
      <c r="J79">
        <v>1.6466888223472</v>
      </c>
      <c r="K79">
        <v>0.52675986486370896</v>
      </c>
      <c r="L79">
        <v>2.9849708035092817E-5</v>
      </c>
      <c r="M79">
        <v>1.7797207112971122E-6</v>
      </c>
      <c r="N79" s="1">
        <v>-7.3249646732122304E-9</v>
      </c>
      <c r="O79" s="1">
        <v>4.6421126545146502E-12</v>
      </c>
      <c r="P79" s="1">
        <v>3.2767147212860398E-11</v>
      </c>
      <c r="Q79">
        <v>63.728436947192101</v>
      </c>
      <c r="S79">
        <v>22.495803628471499</v>
      </c>
      <c r="AA79">
        <v>3.6891087940100098</v>
      </c>
      <c r="AB79">
        <v>8.6560014772739304</v>
      </c>
      <c r="AC79">
        <v>1.43064915305228</v>
      </c>
      <c r="AJ79">
        <v>0.74390700648460295</v>
      </c>
      <c r="AK79">
        <v>0.17519978972577299</v>
      </c>
      <c r="AL79">
        <v>8.08932037896226E-2</v>
      </c>
    </row>
    <row r="80" spans="1:38" x14ac:dyDescent="0.2">
      <c r="A80">
        <v>104</v>
      </c>
      <c r="B80">
        <v>782</v>
      </c>
      <c r="C80">
        <v>125</v>
      </c>
      <c r="D80">
        <v>0.47720276737904699</v>
      </c>
      <c r="E80">
        <v>1.65179796727596</v>
      </c>
      <c r="F80">
        <v>2.5790484067513799</v>
      </c>
      <c r="G80">
        <v>-26.967374165212359</v>
      </c>
      <c r="H80">
        <v>-23.253458016643506</v>
      </c>
      <c r="I80">
        <v>3.5197992215029599</v>
      </c>
      <c r="J80">
        <v>2.0021005025551402</v>
      </c>
      <c r="K80">
        <v>0.64046799701468304</v>
      </c>
      <c r="L80">
        <v>2.988383718974289E-5</v>
      </c>
      <c r="M80">
        <v>1.7808098330586652E-6</v>
      </c>
      <c r="N80" s="1">
        <v>-9.2144779296078108E-9</v>
      </c>
      <c r="O80" s="1">
        <v>5.6456580815716201E-12</v>
      </c>
      <c r="P80" s="1">
        <v>4.0739691387514202E-11</v>
      </c>
      <c r="Q80">
        <v>63.772220418231399</v>
      </c>
      <c r="S80">
        <v>22.461762284312702</v>
      </c>
      <c r="AA80">
        <v>3.6508080621148302</v>
      </c>
      <c r="AB80">
        <v>8.66432678551989</v>
      </c>
      <c r="AC80">
        <v>1.4508824498210899</v>
      </c>
      <c r="AJ80">
        <v>0.74459226672002798</v>
      </c>
      <c r="AK80">
        <v>0.17337380822172499</v>
      </c>
      <c r="AL80">
        <v>8.2033925058245305E-2</v>
      </c>
    </row>
    <row r="81" spans="1:38" x14ac:dyDescent="0.2">
      <c r="A81">
        <v>105</v>
      </c>
      <c r="B81">
        <v>781</v>
      </c>
      <c r="C81">
        <v>125</v>
      </c>
      <c r="D81">
        <v>0.476640421192431</v>
      </c>
      <c r="E81">
        <v>1.94485150120563</v>
      </c>
      <c r="F81">
        <v>2.57869512057523</v>
      </c>
      <c r="G81">
        <v>-31.745417084322856</v>
      </c>
      <c r="H81">
        <v>-27.378763619881514</v>
      </c>
      <c r="I81">
        <v>4.1423454578962602</v>
      </c>
      <c r="J81">
        <v>2.3575792335801098</v>
      </c>
      <c r="K81">
        <v>0.75419986088615099</v>
      </c>
      <c r="L81">
        <v>2.9917969502659691E-5</v>
      </c>
      <c r="M81">
        <v>1.781883180653718E-6</v>
      </c>
      <c r="N81" s="1">
        <v>-1.12233272859375E-8</v>
      </c>
      <c r="O81" s="1">
        <v>6.6498129084240796E-12</v>
      </c>
      <c r="P81" s="1">
        <v>4.9060324055311399E-11</v>
      </c>
      <c r="Q81">
        <v>63.8153656546882</v>
      </c>
      <c r="S81">
        <v>22.428084292519699</v>
      </c>
      <c r="AA81">
        <v>3.6129560229565798</v>
      </c>
      <c r="AB81">
        <v>8.6721823976857593</v>
      </c>
      <c r="AC81">
        <v>1.47141163214966</v>
      </c>
      <c r="AJ81">
        <v>0.74523884244754901</v>
      </c>
      <c r="AK81">
        <v>0.17156968135525899</v>
      </c>
      <c r="AL81">
        <v>8.31914761971915E-2</v>
      </c>
    </row>
    <row r="82" spans="1:38" x14ac:dyDescent="0.2">
      <c r="A82">
        <v>106</v>
      </c>
      <c r="B82">
        <v>780</v>
      </c>
      <c r="C82">
        <v>125</v>
      </c>
      <c r="D82">
        <v>0.47607700707401701</v>
      </c>
      <c r="E82">
        <v>2.2378557654271698</v>
      </c>
      <c r="F82">
        <v>2.5783443960190899</v>
      </c>
      <c r="G82">
        <v>-36.520708804939154</v>
      </c>
      <c r="H82">
        <v>-31.503294453852572</v>
      </c>
      <c r="I82">
        <v>4.7641972663785603</v>
      </c>
      <c r="J82">
        <v>2.7130905403024701</v>
      </c>
      <c r="K82">
        <v>0.86794292061307599</v>
      </c>
      <c r="L82">
        <v>2.9952116688685804E-5</v>
      </c>
      <c r="M82">
        <v>1.7829408869846296E-6</v>
      </c>
      <c r="N82" s="1">
        <v>-1.33560018678534E-8</v>
      </c>
      <c r="O82" s="1">
        <v>7.6544075535268094E-12</v>
      </c>
      <c r="P82" s="1">
        <v>5.7741596453230103E-11</v>
      </c>
      <c r="Q82">
        <v>63.857877535588401</v>
      </c>
      <c r="S82">
        <v>22.394764946192499</v>
      </c>
      <c r="AA82">
        <v>3.5755476548404102</v>
      </c>
      <c r="AB82">
        <v>8.6795668466688305</v>
      </c>
      <c r="AC82">
        <v>1.4922430167096401</v>
      </c>
      <c r="AJ82">
        <v>0.745846622074679</v>
      </c>
      <c r="AK82">
        <v>0.169787156823169</v>
      </c>
      <c r="AL82">
        <v>8.4366221102151404E-2</v>
      </c>
    </row>
    <row r="83" spans="1:38" x14ac:dyDescent="0.2">
      <c r="A83">
        <v>107</v>
      </c>
      <c r="B83">
        <v>779</v>
      </c>
      <c r="C83">
        <v>125</v>
      </c>
      <c r="D83">
        <v>0.475512521978807</v>
      </c>
      <c r="E83">
        <v>2.5307804536936001</v>
      </c>
      <c r="F83">
        <v>2.57799615560522</v>
      </c>
      <c r="G83">
        <v>-41.292743803115059</v>
      </c>
      <c r="H83">
        <v>-35.62661527051177</v>
      </c>
      <c r="I83">
        <v>5.3852858742605898</v>
      </c>
      <c r="J83">
        <v>3.0686015588501498</v>
      </c>
      <c r="K83">
        <v>0.98168511546886394</v>
      </c>
      <c r="L83">
        <v>2.9986290893554169E-5</v>
      </c>
      <c r="M83">
        <v>1.7839830941353648E-6</v>
      </c>
      <c r="N83" s="1">
        <v>-1.5617170077304301E-8</v>
      </c>
      <c r="O83" s="1">
        <v>8.6592754837818907E-12</v>
      </c>
      <c r="P83" s="1">
        <v>6.6796568506603303E-11</v>
      </c>
      <c r="Q83">
        <v>63.899761364752898</v>
      </c>
      <c r="S83">
        <v>22.361799159968399</v>
      </c>
      <c r="AA83">
        <v>3.5385775247158899</v>
      </c>
      <c r="AB83">
        <v>8.6864786198093604</v>
      </c>
      <c r="AC83">
        <v>1.51338333075333</v>
      </c>
      <c r="AJ83">
        <v>0.74641548976184002</v>
      </c>
      <c r="AK83">
        <v>0.16802596311583001</v>
      </c>
      <c r="AL83">
        <v>8.5558547122328701E-2</v>
      </c>
    </row>
    <row r="84" spans="1:38" x14ac:dyDescent="0.2">
      <c r="A84">
        <v>108</v>
      </c>
      <c r="B84">
        <v>778</v>
      </c>
      <c r="C84">
        <v>125</v>
      </c>
      <c r="D84">
        <v>0.47494696285021398</v>
      </c>
      <c r="E84">
        <v>2.8235965879955298</v>
      </c>
      <c r="F84">
        <v>2.5776503164025102</v>
      </c>
      <c r="G84">
        <v>-46.061038191939048</v>
      </c>
      <c r="H84">
        <v>-39.748309067650091</v>
      </c>
      <c r="I84">
        <v>6.0055454733282003</v>
      </c>
      <c r="J84">
        <v>3.4240811920187002</v>
      </c>
      <c r="K84">
        <v>1.09541490947316</v>
      </c>
      <c r="L84">
        <v>3.0020504687251077E-5</v>
      </c>
      <c r="M84">
        <v>1.785009953037584E-6</v>
      </c>
      <c r="N84" s="1">
        <v>-1.80116887196255E-8</v>
      </c>
      <c r="O84" s="1">
        <v>9.6642536531843192E-12</v>
      </c>
      <c r="P84" s="1">
        <v>7.6238835052794201E-11</v>
      </c>
      <c r="Q84">
        <v>63.941022862904802</v>
      </c>
      <c r="S84">
        <v>22.329181467891502</v>
      </c>
      <c r="AA84">
        <v>3.5020397882610901</v>
      </c>
      <c r="AB84">
        <v>8.6929161357188001</v>
      </c>
      <c r="AC84">
        <v>1.5348397452237399</v>
      </c>
      <c r="AJ84">
        <v>0.74694532351319198</v>
      </c>
      <c r="AK84">
        <v>0.166285809537003</v>
      </c>
      <c r="AL84">
        <v>8.6768866949803902E-2</v>
      </c>
    </row>
    <row r="85" spans="1:38" x14ac:dyDescent="0.2">
      <c r="A85">
        <v>109</v>
      </c>
      <c r="B85">
        <v>777</v>
      </c>
      <c r="C85">
        <v>125</v>
      </c>
      <c r="D85">
        <v>0.47438032662001101</v>
      </c>
      <c r="E85">
        <v>3.45603366684024</v>
      </c>
      <c r="F85">
        <v>2.5768991135524901</v>
      </c>
      <c r="G85">
        <v>-56.360276992840689</v>
      </c>
      <c r="H85">
        <v>-48.644260417871621</v>
      </c>
      <c r="I85">
        <v>7.3475375660325302</v>
      </c>
      <c r="J85">
        <v>4.1914059595605604</v>
      </c>
      <c r="K85">
        <v>1.3411598648407199</v>
      </c>
      <c r="L85">
        <v>3.0060619592437141E-5</v>
      </c>
      <c r="M85">
        <v>1.7866169417160206E-6</v>
      </c>
      <c r="N85" s="1">
        <v>-2.2764213872352998E-8</v>
      </c>
      <c r="O85" s="1">
        <v>1.1841918814853799E-11</v>
      </c>
      <c r="P85" s="1">
        <v>9.5399805421864903E-11</v>
      </c>
      <c r="Q85">
        <v>64.012133439835196</v>
      </c>
      <c r="S85">
        <v>22.2686451576098</v>
      </c>
      <c r="AA85">
        <v>3.43550403145364</v>
      </c>
      <c r="AB85">
        <v>8.6926784359506506</v>
      </c>
      <c r="AC85">
        <v>1.59103893515064</v>
      </c>
      <c r="AJ85">
        <v>0.74692685000130099</v>
      </c>
      <c r="AK85">
        <v>0.163126947661592</v>
      </c>
      <c r="AL85">
        <v>8.9946202337106401E-2</v>
      </c>
    </row>
    <row r="86" spans="1:38" x14ac:dyDescent="0.2">
      <c r="A86">
        <v>110</v>
      </c>
      <c r="B86">
        <v>776</v>
      </c>
      <c r="C86">
        <v>125</v>
      </c>
      <c r="D86">
        <v>0.47381261020826598</v>
      </c>
      <c r="E86">
        <v>4.2531664878371398</v>
      </c>
      <c r="F86">
        <v>2.5759280665014401</v>
      </c>
      <c r="G86">
        <v>-69.333405199024298</v>
      </c>
      <c r="H86">
        <v>-59.850663311519384</v>
      </c>
      <c r="I86">
        <v>9.0384996306580607</v>
      </c>
      <c r="J86">
        <v>5.1584825846762898</v>
      </c>
      <c r="K86">
        <v>1.6511200538350701</v>
      </c>
      <c r="L86">
        <v>3.010170859880514E-5</v>
      </c>
      <c r="M86">
        <v>1.7884682913636988E-6</v>
      </c>
      <c r="N86" s="1">
        <v>-2.8896859177652298E-8</v>
      </c>
      <c r="O86" s="1">
        <v>1.4595254370794101E-11</v>
      </c>
      <c r="P86" s="1">
        <v>1.19956353496358E-10</v>
      </c>
      <c r="Q86">
        <v>64.097081352842295</v>
      </c>
      <c r="S86">
        <v>22.1939741363752</v>
      </c>
      <c r="AA86">
        <v>3.3540782401771501</v>
      </c>
      <c r="AB86">
        <v>8.6862205153003504</v>
      </c>
      <c r="AC86">
        <v>1.6686457553048999</v>
      </c>
      <c r="AJ86">
        <v>0.74639722873774905</v>
      </c>
      <c r="AK86">
        <v>0.159266027288962</v>
      </c>
      <c r="AL86">
        <v>9.4336743973287798E-2</v>
      </c>
    </row>
    <row r="87" spans="1:38" x14ac:dyDescent="0.2">
      <c r="A87">
        <v>111</v>
      </c>
      <c r="B87">
        <v>775</v>
      </c>
      <c r="C87">
        <v>125</v>
      </c>
      <c r="D87">
        <v>0.473243810523307</v>
      </c>
      <c r="E87">
        <v>5.0622883399134198</v>
      </c>
      <c r="F87">
        <v>2.5749098236193801</v>
      </c>
      <c r="G87">
        <v>-82.490124917278223</v>
      </c>
      <c r="H87">
        <v>-71.218909234355479</v>
      </c>
      <c r="I87">
        <v>10.7534376596124</v>
      </c>
      <c r="J87">
        <v>6.1401210564825801</v>
      </c>
      <c r="K87">
        <v>1.9660060688252301</v>
      </c>
      <c r="L87">
        <v>3.0140477388799074E-5</v>
      </c>
      <c r="M87">
        <v>1.7902887232685979E-6</v>
      </c>
      <c r="N87" s="1">
        <v>-3.5449126775298298E-8</v>
      </c>
      <c r="O87" s="1">
        <v>1.7399180194728302E-11</v>
      </c>
      <c r="P87" s="1">
        <v>1.4582567409396999E-10</v>
      </c>
      <c r="Q87">
        <v>64.182195517045301</v>
      </c>
      <c r="S87">
        <v>22.117470695167299</v>
      </c>
      <c r="AA87">
        <v>3.2711018912164298</v>
      </c>
      <c r="AB87">
        <v>8.67532914933523</v>
      </c>
      <c r="AC87">
        <v>1.7539027472356099</v>
      </c>
      <c r="AJ87">
        <v>0.745503063671896</v>
      </c>
      <c r="AK87">
        <v>0.155334646608529</v>
      </c>
      <c r="AL87">
        <v>9.9162289719574595E-2</v>
      </c>
    </row>
    <row r="88" spans="1:38" x14ac:dyDescent="0.2">
      <c r="A88">
        <v>112</v>
      </c>
      <c r="B88">
        <v>774</v>
      </c>
      <c r="C88">
        <v>125</v>
      </c>
      <c r="D88">
        <v>0.47267392446163797</v>
      </c>
      <c r="E88">
        <v>5.8880489729266499</v>
      </c>
      <c r="F88">
        <v>2.5738296980500399</v>
      </c>
      <c r="G88">
        <v>-95.904490976606382</v>
      </c>
      <c r="H88">
        <v>-82.812876681764976</v>
      </c>
      <c r="I88">
        <v>12.502138466161799</v>
      </c>
      <c r="J88">
        <v>7.1418810371834098</v>
      </c>
      <c r="K88">
        <v>2.2876606705515501</v>
      </c>
      <c r="L88">
        <v>3.0176541143090191E-5</v>
      </c>
      <c r="M88">
        <v>1.7920829898898206E-6</v>
      </c>
      <c r="N88" s="1">
        <v>-4.2458228089146501E-8</v>
      </c>
      <c r="O88" s="1">
        <v>2.0270988522718299E-11</v>
      </c>
      <c r="P88" s="1">
        <v>1.73152314513952E-10</v>
      </c>
      <c r="Q88">
        <v>64.268018227150407</v>
      </c>
      <c r="S88">
        <v>22.038360272654199</v>
      </c>
      <c r="AA88">
        <v>3.1858094264857901</v>
      </c>
      <c r="AB88">
        <v>8.6591821994997993</v>
      </c>
      <c r="AC88">
        <v>1.84862987420972</v>
      </c>
      <c r="AJ88">
        <v>0.744176635398483</v>
      </c>
      <c r="AK88">
        <v>0.151296797713278</v>
      </c>
      <c r="AL88">
        <v>0.104526566888238</v>
      </c>
    </row>
    <row r="89" spans="1:38" x14ac:dyDescent="0.2">
      <c r="A89">
        <v>113</v>
      </c>
      <c r="B89">
        <v>773</v>
      </c>
      <c r="C89">
        <v>125</v>
      </c>
      <c r="D89">
        <v>0.472102948907902</v>
      </c>
      <c r="E89">
        <v>6.7371634807291496</v>
      </c>
      <c r="F89">
        <v>2.5726664417928999</v>
      </c>
      <c r="G89">
        <v>-109.68343743274889</v>
      </c>
      <c r="H89">
        <v>-94.724810642398182</v>
      </c>
      <c r="I89">
        <v>14.298739942026099</v>
      </c>
      <c r="J89">
        <v>8.1717904710119598</v>
      </c>
      <c r="K89">
        <v>2.6187473709316098</v>
      </c>
      <c r="L89">
        <v>3.020933711174244E-5</v>
      </c>
      <c r="M89">
        <v>1.7938578198566047E-6</v>
      </c>
      <c r="N89" s="1">
        <v>-4.9973548222166799E-8</v>
      </c>
      <c r="O89" s="1">
        <v>2.3235813329007801E-11</v>
      </c>
      <c r="P89" s="1">
        <v>2.0213264429945999E-10</v>
      </c>
      <c r="Q89">
        <v>64.355330255942306</v>
      </c>
      <c r="S89">
        <v>21.955523689112901</v>
      </c>
      <c r="AA89">
        <v>3.0970953285987699</v>
      </c>
      <c r="AB89">
        <v>8.6365855009347605</v>
      </c>
      <c r="AC89">
        <v>1.95546522541109</v>
      </c>
      <c r="AJ89">
        <v>0.74231952270645296</v>
      </c>
      <c r="AK89">
        <v>0.14710050684402401</v>
      </c>
      <c r="AL89">
        <v>0.110579970449522</v>
      </c>
    </row>
    <row r="90" spans="1:38" x14ac:dyDescent="0.2">
      <c r="A90">
        <v>114</v>
      </c>
      <c r="B90">
        <v>772</v>
      </c>
      <c r="C90">
        <v>125</v>
      </c>
      <c r="D90">
        <v>0.47153088073482102</v>
      </c>
      <c r="E90">
        <v>8.1962083618814994</v>
      </c>
      <c r="F90">
        <v>2.5737760261137002</v>
      </c>
      <c r="G90">
        <v>-133.43443678840939</v>
      </c>
      <c r="H90">
        <v>-115.26710024797575</v>
      </c>
      <c r="I90">
        <v>17.3825159454945</v>
      </c>
      <c r="J90">
        <v>9.9412618834648203</v>
      </c>
      <c r="K90">
        <v>3.18450722934793</v>
      </c>
      <c r="L90">
        <v>3.0171707798169247E-5</v>
      </c>
      <c r="M90">
        <v>1.79143310375266E-6</v>
      </c>
      <c r="N90" s="1">
        <v>-6.2376516541239595E-8</v>
      </c>
      <c r="O90" s="1">
        <v>2.81957213456344E-11</v>
      </c>
      <c r="P90" s="1">
        <v>2.5054451954337001E-10</v>
      </c>
      <c r="Q90">
        <v>64.242650441307703</v>
      </c>
      <c r="S90">
        <v>22.0378002965675</v>
      </c>
      <c r="AA90">
        <v>3.1912666665070999</v>
      </c>
      <c r="AB90">
        <v>8.6011833988027497</v>
      </c>
      <c r="AC90">
        <v>1.9270991968147699</v>
      </c>
      <c r="AJ90">
        <v>0.73940543593846797</v>
      </c>
      <c r="AK90">
        <v>0.15159969143438701</v>
      </c>
      <c r="AL90">
        <v>0.108994872627144</v>
      </c>
    </row>
    <row r="91" spans="1:38" x14ac:dyDescent="0.2">
      <c r="A91">
        <v>114</v>
      </c>
      <c r="B91">
        <v>772</v>
      </c>
      <c r="C91">
        <v>125</v>
      </c>
      <c r="D91">
        <v>0.47153088073482102</v>
      </c>
      <c r="E91">
        <v>5.5964029954384298</v>
      </c>
      <c r="F91">
        <v>2.5189101890258798</v>
      </c>
      <c r="G91">
        <v>-88.890936057821676</v>
      </c>
      <c r="H91">
        <v>-76.657515857306095</v>
      </c>
      <c r="I91">
        <v>11.704942066225501</v>
      </c>
      <c r="J91">
        <v>6.6444430406985804</v>
      </c>
      <c r="K91">
        <v>2.2217556702975099</v>
      </c>
      <c r="L91">
        <v>2.8205985286978011E-5</v>
      </c>
      <c r="M91">
        <v>1.7984308996489244E-6</v>
      </c>
      <c r="N91" s="1">
        <v>-1.6564954124665001E-8</v>
      </c>
      <c r="O91" s="1">
        <v>2.1305689726060401E-11</v>
      </c>
      <c r="P91" s="1">
        <v>9.2449366991199798E-11</v>
      </c>
      <c r="Q91">
        <v>65.9220368515074</v>
      </c>
      <c r="S91">
        <v>19.102434139392301</v>
      </c>
      <c r="AA91">
        <v>0.377697670955009</v>
      </c>
      <c r="AB91">
        <v>4.6481619641611296</v>
      </c>
      <c r="AC91">
        <v>9.9496693739840598</v>
      </c>
      <c r="AJ91">
        <v>0.407625105010193</v>
      </c>
      <c r="AK91">
        <v>1.83035263282182E-2</v>
      </c>
      <c r="AL91">
        <v>0.57407136866158803</v>
      </c>
    </row>
    <row r="92" spans="1:38" x14ac:dyDescent="0.2">
      <c r="A92">
        <v>115</v>
      </c>
      <c r="B92">
        <v>771</v>
      </c>
      <c r="C92">
        <v>125</v>
      </c>
      <c r="D92">
        <v>0.47095771680314102</v>
      </c>
      <c r="E92">
        <v>11.116740182537001</v>
      </c>
      <c r="F92">
        <v>2.5767207415611599</v>
      </c>
      <c r="G92">
        <v>-181.03041107327476</v>
      </c>
      <c r="H92">
        <v>-156.43865549656076</v>
      </c>
      <c r="I92">
        <v>23.551937534562999</v>
      </c>
      <c r="J92">
        <v>13.481409843012701</v>
      </c>
      <c r="K92">
        <v>4.3142976276900402</v>
      </c>
      <c r="L92">
        <v>3.0056684936077028E-5</v>
      </c>
      <c r="M92">
        <v>1.7850617126704235E-6</v>
      </c>
      <c r="N92" s="1">
        <v>-8.63208225904191E-8</v>
      </c>
      <c r="O92" s="1">
        <v>3.80090588338028E-11</v>
      </c>
      <c r="P92" s="1">
        <v>3.4495297431714302E-10</v>
      </c>
      <c r="Q92">
        <v>63.950176940118098</v>
      </c>
      <c r="S92">
        <v>22.260482064956101</v>
      </c>
      <c r="AA92">
        <v>3.4432260986403298</v>
      </c>
      <c r="AB92">
        <v>8.5332110896399094</v>
      </c>
      <c r="AC92">
        <v>1.8129038066454399</v>
      </c>
      <c r="AJ92">
        <v>0.73380639793500402</v>
      </c>
      <c r="AK92">
        <v>0.16362337132639801</v>
      </c>
      <c r="AL92">
        <v>0.102570230738596</v>
      </c>
    </row>
    <row r="93" spans="1:38" x14ac:dyDescent="0.2">
      <c r="A93">
        <v>115</v>
      </c>
      <c r="B93">
        <v>771</v>
      </c>
      <c r="C93">
        <v>125</v>
      </c>
      <c r="D93">
        <v>0.47095771680314102</v>
      </c>
      <c r="E93">
        <v>17.157741042024298</v>
      </c>
      <c r="F93">
        <v>2.5187208285374401</v>
      </c>
      <c r="G93">
        <v>-272.30873821125232</v>
      </c>
      <c r="H93">
        <v>-234.89069574330108</v>
      </c>
      <c r="I93">
        <v>35.835888012212003</v>
      </c>
      <c r="J93">
        <v>20.355262100944898</v>
      </c>
      <c r="K93">
        <v>6.8120852647204098</v>
      </c>
      <c r="L93">
        <v>2.8109888427635782E-5</v>
      </c>
      <c r="M93">
        <v>1.796891218505028E-6</v>
      </c>
      <c r="N93" s="1">
        <v>-4.9834137796032599E-8</v>
      </c>
      <c r="O93" s="1">
        <v>6.5392206434039801E-11</v>
      </c>
      <c r="P93" s="1">
        <v>2.8048884977080301E-10</v>
      </c>
      <c r="Q93">
        <v>65.874060509746997</v>
      </c>
      <c r="S93">
        <v>19.085013223643202</v>
      </c>
      <c r="AA93">
        <v>0.37451986055730901</v>
      </c>
      <c r="AB93">
        <v>4.49557806342691</v>
      </c>
      <c r="AC93">
        <v>10.1708283426255</v>
      </c>
      <c r="AJ93">
        <v>0.394549755326084</v>
      </c>
      <c r="AK93">
        <v>1.8163597871137999E-2</v>
      </c>
      <c r="AL93">
        <v>0.58728664680277698</v>
      </c>
    </row>
    <row r="94" spans="1:38" x14ac:dyDescent="0.2">
      <c r="A94">
        <v>116</v>
      </c>
      <c r="B94">
        <v>770</v>
      </c>
      <c r="C94">
        <v>125</v>
      </c>
      <c r="D94">
        <v>0.47038345396155901</v>
      </c>
      <c r="E94">
        <v>14.7637553289305</v>
      </c>
      <c r="F94">
        <v>2.5802647158604599</v>
      </c>
      <c r="G94">
        <v>-240.49724869580075</v>
      </c>
      <c r="H94">
        <v>-207.90817225330619</v>
      </c>
      <c r="I94">
        <v>31.2410261635378</v>
      </c>
      <c r="J94">
        <v>17.8988004026114</v>
      </c>
      <c r="K94">
        <v>5.72179871242676</v>
      </c>
      <c r="L94">
        <v>2.9898616945911941E-5</v>
      </c>
      <c r="M94">
        <v>1.7768829607722883E-6</v>
      </c>
      <c r="N94" s="1">
        <v>-1.16422002362745E-7</v>
      </c>
      <c r="O94" s="1">
        <v>5.0105933382129002E-11</v>
      </c>
      <c r="P94" s="1">
        <v>4.6350220923456198E-10</v>
      </c>
      <c r="Q94">
        <v>63.582290392269599</v>
      </c>
      <c r="S94">
        <v>22.536348585615599</v>
      </c>
      <c r="AA94">
        <v>3.75666009944077</v>
      </c>
      <c r="AB94">
        <v>8.4366155920514299</v>
      </c>
      <c r="AC94">
        <v>1.6880853306225401</v>
      </c>
      <c r="AJ94">
        <v>0.72584388086831197</v>
      </c>
      <c r="AK94">
        <v>0.17860254829566399</v>
      </c>
      <c r="AL94">
        <v>9.5553570836023199E-2</v>
      </c>
    </row>
    <row r="95" spans="1:38" x14ac:dyDescent="0.2">
      <c r="A95">
        <v>116</v>
      </c>
      <c r="B95">
        <v>770</v>
      </c>
      <c r="C95">
        <v>125</v>
      </c>
      <c r="D95">
        <v>0.47038345396155901</v>
      </c>
      <c r="E95">
        <v>30.162822014526</v>
      </c>
      <c r="F95">
        <v>2.5185469426801701</v>
      </c>
      <c r="G95">
        <v>-478.28174287845621</v>
      </c>
      <c r="H95">
        <v>-412.66560316467633</v>
      </c>
      <c r="I95">
        <v>62.901921788601598</v>
      </c>
      <c r="J95">
        <v>35.751962467350502</v>
      </c>
      <c r="K95">
        <v>11.976279458356</v>
      </c>
      <c r="L95">
        <v>2.7997711986124808E-5</v>
      </c>
      <c r="M95">
        <v>1.7951174175756713E-6</v>
      </c>
      <c r="N95" s="1">
        <v>-8.4925833016113695E-8</v>
      </c>
      <c r="O95" s="1">
        <v>1.15107711088306E-10</v>
      </c>
      <c r="P95" s="1">
        <v>4.8491668795889198E-10</v>
      </c>
      <c r="Q95">
        <v>65.817953394124601</v>
      </c>
      <c r="S95">
        <v>19.065826449595601</v>
      </c>
      <c r="AA95">
        <v>0.37178240390830902</v>
      </c>
      <c r="AB95">
        <v>4.3202457419892903</v>
      </c>
      <c r="AC95">
        <v>10.4241920103821</v>
      </c>
      <c r="AJ95">
        <v>0.37949996568059302</v>
      </c>
      <c r="AK95">
        <v>1.8046912457447498E-2</v>
      </c>
      <c r="AL95">
        <v>0.60245312186195898</v>
      </c>
    </row>
    <row r="96" spans="1:38" x14ac:dyDescent="0.2">
      <c r="A96">
        <v>117</v>
      </c>
      <c r="B96">
        <v>769</v>
      </c>
      <c r="C96">
        <v>125</v>
      </c>
      <c r="D96">
        <v>0.46980808904668597</v>
      </c>
      <c r="E96">
        <v>16.869771495861801</v>
      </c>
      <c r="F96">
        <v>2.58242444428276</v>
      </c>
      <c r="G96">
        <v>-274.83965836526028</v>
      </c>
      <c r="H96">
        <v>-237.67336766785795</v>
      </c>
      <c r="I96">
        <v>35.663091395098903</v>
      </c>
      <c r="J96">
        <v>20.449087135084699</v>
      </c>
      <c r="K96">
        <v>6.5325324553869599</v>
      </c>
      <c r="L96">
        <v>2.9807469708303998E-5</v>
      </c>
      <c r="M96">
        <v>1.7718640308747672E-6</v>
      </c>
      <c r="N96" s="1">
        <v>-1.3588541971973799E-7</v>
      </c>
      <c r="O96" s="1">
        <v>5.69804667100247E-11</v>
      </c>
      <c r="P96" s="1">
        <v>5.3805587450779996E-10</v>
      </c>
      <c r="Q96">
        <v>63.356360039708697</v>
      </c>
      <c r="S96">
        <v>22.704661556841099</v>
      </c>
      <c r="AA96">
        <v>3.9482377831931399</v>
      </c>
      <c r="AB96">
        <v>8.3743962515178794</v>
      </c>
      <c r="AC96">
        <v>1.6163443687390699</v>
      </c>
      <c r="AJ96">
        <v>0.72071120278308898</v>
      </c>
      <c r="AK96">
        <v>0.18776811949216901</v>
      </c>
      <c r="AL96">
        <v>9.1520677724740304E-2</v>
      </c>
    </row>
    <row r="97" spans="1:38" x14ac:dyDescent="0.2">
      <c r="A97">
        <v>117</v>
      </c>
      <c r="B97">
        <v>769</v>
      </c>
      <c r="C97">
        <v>125</v>
      </c>
      <c r="D97">
        <v>0.46980808904668597</v>
      </c>
      <c r="E97">
        <v>37.2247579419329</v>
      </c>
      <c r="F97">
        <v>2.5184781502573501</v>
      </c>
      <c r="G97">
        <v>-589.91125022363849</v>
      </c>
      <c r="H97">
        <v>-509.10308744319843</v>
      </c>
      <c r="I97">
        <v>77.539857775214699</v>
      </c>
      <c r="J97">
        <v>44.099541731393302</v>
      </c>
      <c r="K97">
        <v>14.7806555074258</v>
      </c>
      <c r="L97">
        <v>2.7934068537481792E-5</v>
      </c>
      <c r="M97">
        <v>1.7941281999382629E-6</v>
      </c>
      <c r="N97" s="1">
        <v>-1.04623918477787E-7</v>
      </c>
      <c r="O97" s="1">
        <v>1.42155510978602E-10</v>
      </c>
      <c r="P97" s="1">
        <v>5.9766144748767198E-10</v>
      </c>
      <c r="Q97">
        <v>65.785503422041202</v>
      </c>
      <c r="S97">
        <v>19.053490773345999</v>
      </c>
      <c r="AA97">
        <v>0.36917710206128701</v>
      </c>
      <c r="AB97">
        <v>4.2155931400637998</v>
      </c>
      <c r="AC97">
        <v>10.5762355624876</v>
      </c>
      <c r="AJ97">
        <v>0.370504237152119</v>
      </c>
      <c r="AK97">
        <v>1.7929989556821999E-2</v>
      </c>
      <c r="AL97">
        <v>0.61156577329105799</v>
      </c>
    </row>
    <row r="98" spans="1:38" x14ac:dyDescent="0.2">
      <c r="A98">
        <v>118</v>
      </c>
      <c r="B98">
        <v>768</v>
      </c>
      <c r="C98">
        <v>125</v>
      </c>
      <c r="D98">
        <v>0.46923161888296799</v>
      </c>
      <c r="E98">
        <v>17.722228906494401</v>
      </c>
      <c r="F98">
        <v>2.5833521219676001</v>
      </c>
      <c r="G98">
        <v>-288.72295649229665</v>
      </c>
      <c r="H98">
        <v>-249.74413514577284</v>
      </c>
      <c r="I98">
        <v>37.438237858640697</v>
      </c>
      <c r="J98">
        <v>21.483321933748499</v>
      </c>
      <c r="K98">
        <v>6.8601677470883802</v>
      </c>
      <c r="L98">
        <v>2.9784623087785369E-5</v>
      </c>
      <c r="M98">
        <v>1.7699161022823654E-6</v>
      </c>
      <c r="N98" s="1">
        <v>-1.4676307901480701E-7</v>
      </c>
      <c r="O98" s="1">
        <v>5.9718117277220503E-11</v>
      </c>
      <c r="P98" s="1">
        <v>5.7696074674252901E-10</v>
      </c>
      <c r="Q98">
        <v>63.264882020862103</v>
      </c>
      <c r="S98">
        <v>22.773385119352699</v>
      </c>
      <c r="AA98">
        <v>4.02628057105139</v>
      </c>
      <c r="AB98">
        <v>8.3507101451703001</v>
      </c>
      <c r="AC98">
        <v>1.5847421435634601</v>
      </c>
      <c r="AJ98">
        <v>0.71875635366090995</v>
      </c>
      <c r="AK98">
        <v>0.19150191137466699</v>
      </c>
      <c r="AL98">
        <v>8.9741734964422698E-2</v>
      </c>
    </row>
    <row r="99" spans="1:38" x14ac:dyDescent="0.2">
      <c r="A99">
        <v>118</v>
      </c>
      <c r="B99">
        <v>768</v>
      </c>
      <c r="C99">
        <v>125</v>
      </c>
      <c r="D99">
        <v>0.46923161888296799</v>
      </c>
      <c r="E99">
        <v>39.919337081672303</v>
      </c>
      <c r="F99">
        <v>2.5184692442350598</v>
      </c>
      <c r="G99">
        <v>-632.39787330405773</v>
      </c>
      <c r="H99">
        <v>-545.8942938609606</v>
      </c>
      <c r="I99">
        <v>83.084646249913206</v>
      </c>
      <c r="J99">
        <v>47.2820342506256</v>
      </c>
      <c r="K99">
        <v>15.850635132055</v>
      </c>
      <c r="L99">
        <v>2.7910666680274397E-5</v>
      </c>
      <c r="M99">
        <v>1.7937731786706409E-6</v>
      </c>
      <c r="N99" s="1">
        <v>-1.14945254800933E-7</v>
      </c>
      <c r="O99" s="1">
        <v>1.5247268901198201E-10</v>
      </c>
      <c r="P99" s="1">
        <v>6.4883764252131396E-10</v>
      </c>
      <c r="Q99">
        <v>65.772739514805906</v>
      </c>
      <c r="S99">
        <v>19.046627514830298</v>
      </c>
      <c r="AA99">
        <v>0.366493126771264</v>
      </c>
      <c r="AB99">
        <v>4.1691565326801401</v>
      </c>
      <c r="AC99">
        <v>10.644983310912201</v>
      </c>
      <c r="AJ99">
        <v>0.36650958210350998</v>
      </c>
      <c r="AK99">
        <v>1.78038430385597E-2</v>
      </c>
      <c r="AL99">
        <v>0.61568657485792999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B4A60-42CA-4737-ADB9-68CED9D94286}">
  <sheetPr codeName="Sheet12"/>
  <dimension ref="A1:AJ91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3</v>
      </c>
      <c r="B2">
        <v>757</v>
      </c>
      <c r="C2">
        <v>275</v>
      </c>
      <c r="D2">
        <v>0.30264573120419402</v>
      </c>
      <c r="E2">
        <v>0.194684361651599</v>
      </c>
      <c r="F2">
        <v>2.54384628309294</v>
      </c>
      <c r="G2">
        <v>-3.1746153786086482</v>
      </c>
      <c r="H2">
        <v>-2.7797332368736396</v>
      </c>
      <c r="I2">
        <v>0.38332489611707798</v>
      </c>
      <c r="J2">
        <v>0.22561616547264199</v>
      </c>
      <c r="K2">
        <v>7.6531496004896796E-2</v>
      </c>
      <c r="L2">
        <v>0</v>
      </c>
      <c r="M2">
        <v>1.238311233006107E-6</v>
      </c>
      <c r="N2">
        <v>0</v>
      </c>
      <c r="O2" s="1">
        <v>1.0884558955763701E-13</v>
      </c>
      <c r="P2">
        <v>0</v>
      </c>
      <c r="Q2">
        <v>100</v>
      </c>
      <c r="AJ2">
        <v>1</v>
      </c>
    </row>
    <row r="3" spans="1:36" x14ac:dyDescent="0.2">
      <c r="A3">
        <v>4</v>
      </c>
      <c r="B3">
        <v>756</v>
      </c>
      <c r="C3">
        <v>275</v>
      </c>
      <c r="D3">
        <v>0.30190011174270298</v>
      </c>
      <c r="E3">
        <v>0.40740848514161898</v>
      </c>
      <c r="F3">
        <v>2.54384628309294</v>
      </c>
      <c r="G3">
        <v>-6.6425937150088172</v>
      </c>
      <c r="H3">
        <v>-5.8175130742055536</v>
      </c>
      <c r="I3">
        <v>0.80171077180514405</v>
      </c>
      <c r="J3">
        <v>0.47207846018294802</v>
      </c>
      <c r="K3">
        <v>0.16015452185509799</v>
      </c>
      <c r="L3">
        <v>0</v>
      </c>
      <c r="M3">
        <v>1.2383112330061067E-6</v>
      </c>
      <c r="N3">
        <v>0</v>
      </c>
      <c r="O3" s="1">
        <v>2.2777698413897801E-13</v>
      </c>
      <c r="P3">
        <v>0</v>
      </c>
      <c r="Q3">
        <v>100</v>
      </c>
      <c r="AJ3">
        <v>1</v>
      </c>
    </row>
    <row r="4" spans="1:36" x14ac:dyDescent="0.2">
      <c r="A4">
        <v>5</v>
      </c>
      <c r="B4">
        <v>755</v>
      </c>
      <c r="C4">
        <v>275</v>
      </c>
      <c r="D4">
        <v>0.30115304187132302</v>
      </c>
      <c r="E4">
        <v>0.61907413732205796</v>
      </c>
      <c r="F4">
        <v>2.54384628309294</v>
      </c>
      <c r="G4">
        <v>-10.092479531674803</v>
      </c>
      <c r="H4">
        <v>-8.8406703643794753</v>
      </c>
      <c r="I4">
        <v>1.2175355417938301</v>
      </c>
      <c r="J4">
        <v>0.71725175360828297</v>
      </c>
      <c r="K4">
        <v>0.24336145679736401</v>
      </c>
      <c r="L4">
        <v>0</v>
      </c>
      <c r="M4">
        <v>1.238311233006107E-6</v>
      </c>
      <c r="N4">
        <v>0</v>
      </c>
      <c r="O4" s="1">
        <v>3.4611660066098299E-13</v>
      </c>
      <c r="P4">
        <v>0</v>
      </c>
      <c r="Q4">
        <v>100</v>
      </c>
      <c r="AJ4">
        <v>1</v>
      </c>
    </row>
    <row r="5" spans="1:36" x14ac:dyDescent="0.2">
      <c r="A5">
        <v>6</v>
      </c>
      <c r="B5">
        <v>754</v>
      </c>
      <c r="C5">
        <v>275</v>
      </c>
      <c r="D5">
        <v>0.30040451735384299</v>
      </c>
      <c r="E5">
        <v>0.82968990565136003</v>
      </c>
      <c r="F5">
        <v>2.54384628309294</v>
      </c>
      <c r="G5">
        <v>-13.524419771718414</v>
      </c>
      <c r="H5">
        <v>-11.849323977459884</v>
      </c>
      <c r="I5">
        <v>1.6308190568646499</v>
      </c>
      <c r="J5">
        <v>0.96114625769422901</v>
      </c>
      <c r="K5">
        <v>0.326155676608957</v>
      </c>
      <c r="L5">
        <v>0</v>
      </c>
      <c r="M5">
        <v>1.238311233006107E-6</v>
      </c>
      <c r="N5">
        <v>0</v>
      </c>
      <c r="O5" s="1">
        <v>4.6386924026417203E-13</v>
      </c>
      <c r="P5">
        <v>0</v>
      </c>
      <c r="Q5">
        <v>100</v>
      </c>
      <c r="AJ5">
        <v>1</v>
      </c>
    </row>
    <row r="6" spans="1:36" x14ac:dyDescent="0.2">
      <c r="A6">
        <v>7</v>
      </c>
      <c r="B6">
        <v>753</v>
      </c>
      <c r="C6">
        <v>275</v>
      </c>
      <c r="D6">
        <v>0.29965453393753799</v>
      </c>
      <c r="E6">
        <v>1.03926428462665</v>
      </c>
      <c r="F6">
        <v>2.54384628309294</v>
      </c>
      <c r="G6">
        <v>-16.938559789262637</v>
      </c>
      <c r="H6">
        <v>-14.84359149621879</v>
      </c>
      <c r="I6">
        <v>2.0415809511707299</v>
      </c>
      <c r="J6">
        <v>1.2037720727905501</v>
      </c>
      <c r="K6">
        <v>0.40854052052353501</v>
      </c>
      <c r="L6">
        <v>0</v>
      </c>
      <c r="M6">
        <v>1.238311233006107E-6</v>
      </c>
      <c r="N6">
        <v>0</v>
      </c>
      <c r="O6" s="1">
        <v>5.8103965211555502E-13</v>
      </c>
      <c r="P6">
        <v>0</v>
      </c>
      <c r="Q6">
        <v>100</v>
      </c>
      <c r="AJ6">
        <v>1</v>
      </c>
    </row>
    <row r="7" spans="1:36" x14ac:dyDescent="0.2">
      <c r="A7">
        <v>8</v>
      </c>
      <c r="B7">
        <v>752</v>
      </c>
      <c r="C7">
        <v>275</v>
      </c>
      <c r="D7">
        <v>0.29890308735307097</v>
      </c>
      <c r="E7">
        <v>1.2478056756965199</v>
      </c>
      <c r="F7">
        <v>2.54384628309294</v>
      </c>
      <c r="G7">
        <v>-20.335043349021646</v>
      </c>
      <c r="H7">
        <v>-17.823589214341244</v>
      </c>
      <c r="I7">
        <v>2.4498406425209902</v>
      </c>
      <c r="J7">
        <v>1.4451391875977699</v>
      </c>
      <c r="K7">
        <v>0.49051929119686299</v>
      </c>
      <c r="L7">
        <v>0</v>
      </c>
      <c r="M7">
        <v>1.2383112330061072E-6</v>
      </c>
      <c r="N7">
        <v>0</v>
      </c>
      <c r="O7" s="1">
        <v>6.9763253335986902E-13</v>
      </c>
      <c r="P7">
        <v>0</v>
      </c>
      <c r="Q7">
        <v>100</v>
      </c>
      <c r="AJ7">
        <v>1</v>
      </c>
    </row>
    <row r="8" spans="1:36" x14ac:dyDescent="0.2">
      <c r="A8">
        <v>9</v>
      </c>
      <c r="B8">
        <v>751</v>
      </c>
      <c r="C8">
        <v>275</v>
      </c>
      <c r="D8">
        <v>0.29815017331445698</v>
      </c>
      <c r="E8">
        <v>1.45532238839524</v>
      </c>
      <c r="F8">
        <v>2.54384628309294</v>
      </c>
      <c r="G8">
        <v>-23.714012645783104</v>
      </c>
      <c r="H8">
        <v>-20.78943215207854</v>
      </c>
      <c r="I8">
        <v>2.85561733506279</v>
      </c>
      <c r="J8">
        <v>1.6852574805285301</v>
      </c>
      <c r="K8">
        <v>0.57209525515267601</v>
      </c>
      <c r="L8">
        <v>0</v>
      </c>
      <c r="M8">
        <v>1.238311233006107E-6</v>
      </c>
      <c r="N8">
        <v>0</v>
      </c>
      <c r="O8" s="1">
        <v>8.1365252975370602E-13</v>
      </c>
      <c r="P8">
        <v>0</v>
      </c>
      <c r="Q8">
        <v>100</v>
      </c>
      <c r="AJ8">
        <v>1</v>
      </c>
    </row>
    <row r="9" spans="1:36" x14ac:dyDescent="0.2">
      <c r="A9">
        <v>10</v>
      </c>
      <c r="B9">
        <v>750</v>
      </c>
      <c r="C9">
        <v>275</v>
      </c>
      <c r="D9">
        <v>0.29739578751893703</v>
      </c>
      <c r="E9">
        <v>1.6618226433018</v>
      </c>
      <c r="F9">
        <v>2.54384628309294</v>
      </c>
      <c r="G9">
        <v>-27.075608353607354</v>
      </c>
      <c r="H9">
        <v>-23.741234097979664</v>
      </c>
      <c r="I9">
        <v>3.2589300255365101</v>
      </c>
      <c r="J9">
        <v>1.9241367231811899</v>
      </c>
      <c r="K9">
        <v>0.65327164394590398</v>
      </c>
      <c r="L9">
        <v>0</v>
      </c>
      <c r="M9">
        <v>1.2383112330061072E-6</v>
      </c>
      <c r="N9">
        <v>0</v>
      </c>
      <c r="O9" s="1">
        <v>9.2910423731987594E-13</v>
      </c>
      <c r="P9">
        <v>0</v>
      </c>
      <c r="Q9">
        <v>100</v>
      </c>
      <c r="AJ9">
        <v>1</v>
      </c>
    </row>
    <row r="10" spans="1:36" x14ac:dyDescent="0.2">
      <c r="A10">
        <v>11</v>
      </c>
      <c r="B10">
        <v>749</v>
      </c>
      <c r="C10">
        <v>275</v>
      </c>
      <c r="D10">
        <v>0.29663992564692099</v>
      </c>
      <c r="E10">
        <v>1.8673145716903099</v>
      </c>
      <c r="F10">
        <v>2.54384628309294</v>
      </c>
      <c r="G10">
        <v>-30.419969621089606</v>
      </c>
      <c r="H10">
        <v>-26.679107603371076</v>
      </c>
      <c r="I10">
        <v>3.65979750302649</v>
      </c>
      <c r="J10">
        <v>2.16178657998057</v>
      </c>
      <c r="K10">
        <v>0.73405165402523098</v>
      </c>
      <c r="L10">
        <v>0</v>
      </c>
      <c r="M10">
        <v>1.2383112330061072E-6</v>
      </c>
      <c r="N10">
        <v>0</v>
      </c>
      <c r="O10" s="1">
        <v>1.04399220215194E-12</v>
      </c>
      <c r="P10">
        <v>0</v>
      </c>
      <c r="Q10">
        <v>100</v>
      </c>
      <c r="AJ10">
        <v>1</v>
      </c>
    </row>
    <row r="11" spans="1:36" x14ac:dyDescent="0.2">
      <c r="A11">
        <v>12</v>
      </c>
      <c r="B11">
        <v>748</v>
      </c>
      <c r="C11">
        <v>275</v>
      </c>
      <c r="D11">
        <v>0.29588258336189799</v>
      </c>
      <c r="E11">
        <v>2.0718062166429601</v>
      </c>
      <c r="F11">
        <v>2.54384628309294</v>
      </c>
      <c r="G11">
        <v>-33.74723409044902</v>
      </c>
      <c r="H11">
        <v>-29.603163997732832</v>
      </c>
      <c r="I11">
        <v>4.0582383515802603</v>
      </c>
      <c r="J11">
        <v>2.39821660951239</v>
      </c>
      <c r="K11">
        <v>0.81443844717061997</v>
      </c>
      <c r="L11">
        <v>0</v>
      </c>
      <c r="M11">
        <v>1.238311233006107E-6</v>
      </c>
      <c r="N11">
        <v>0</v>
      </c>
      <c r="O11" s="1">
        <v>1.15832092103649E-12</v>
      </c>
      <c r="P11">
        <v>0</v>
      </c>
      <c r="Q11">
        <v>100</v>
      </c>
      <c r="AJ11">
        <v>1</v>
      </c>
    </row>
    <row r="12" spans="1:36" x14ac:dyDescent="0.2">
      <c r="A12">
        <v>13</v>
      </c>
      <c r="B12">
        <v>747</v>
      </c>
      <c r="C12">
        <v>275</v>
      </c>
      <c r="D12">
        <v>0.29512375631034898</v>
      </c>
      <c r="E12">
        <v>2.27530553526976</v>
      </c>
      <c r="F12">
        <v>2.54384628309294</v>
      </c>
      <c r="G12">
        <v>-37.057537934627668</v>
      </c>
      <c r="H12">
        <v>-32.513513419896775</v>
      </c>
      <c r="I12">
        <v>4.4542709549878801</v>
      </c>
      <c r="J12">
        <v>2.6334362671379599</v>
      </c>
      <c r="K12">
        <v>0.89443515136587803</v>
      </c>
      <c r="L12">
        <v>0</v>
      </c>
      <c r="M12">
        <v>1.2383112330061072E-6</v>
      </c>
      <c r="N12">
        <v>0</v>
      </c>
      <c r="O12" s="1">
        <v>1.2720948426941E-12</v>
      </c>
      <c r="P12">
        <v>0</v>
      </c>
      <c r="Q12">
        <v>100</v>
      </c>
      <c r="AJ12">
        <v>1</v>
      </c>
    </row>
    <row r="13" spans="1:36" x14ac:dyDescent="0.2">
      <c r="A13">
        <v>14</v>
      </c>
      <c r="B13">
        <v>746</v>
      </c>
      <c r="C13">
        <v>275</v>
      </c>
      <c r="D13">
        <v>0.29436344012167098</v>
      </c>
      <c r="E13">
        <v>2.47782039929294</v>
      </c>
      <c r="F13">
        <v>2.54384628309294</v>
      </c>
      <c r="G13">
        <v>-40.351015867733381</v>
      </c>
      <c r="H13">
        <v>-35.410264825892135</v>
      </c>
      <c r="I13">
        <v>4.8479134983478804</v>
      </c>
      <c r="J13">
        <v>2.8674549057147001</v>
      </c>
      <c r="K13">
        <v>0.97404486102842502</v>
      </c>
      <c r="L13">
        <v>0</v>
      </c>
      <c r="M13">
        <v>1.238311233006107E-6</v>
      </c>
      <c r="N13">
        <v>0</v>
      </c>
      <c r="O13" s="1">
        <v>1.3853183681061399E-12</v>
      </c>
      <c r="P13">
        <v>0</v>
      </c>
      <c r="Q13">
        <v>100</v>
      </c>
      <c r="AJ13">
        <v>1</v>
      </c>
    </row>
    <row r="14" spans="1:36" x14ac:dyDescent="0.2">
      <c r="A14">
        <v>15</v>
      </c>
      <c r="B14">
        <v>745</v>
      </c>
      <c r="C14">
        <v>275</v>
      </c>
      <c r="D14">
        <v>0.29360163040809401</v>
      </c>
      <c r="E14">
        <v>2.6793585957549002</v>
      </c>
      <c r="F14">
        <v>2.54384628309294</v>
      </c>
      <c r="G14">
        <v>-43.627801157483539</v>
      </c>
      <c r="H14">
        <v>-38.293525998558799</v>
      </c>
      <c r="I14">
        <v>5.2391839698715703</v>
      </c>
      <c r="J14">
        <v>3.1002817764593402</v>
      </c>
      <c r="K14">
        <v>1.05327063728756</v>
      </c>
      <c r="L14">
        <v>0</v>
      </c>
      <c r="M14">
        <v>1.2383112330061067E-6</v>
      </c>
      <c r="N14">
        <v>0</v>
      </c>
      <c r="O14" s="1">
        <v>1.4979958509105501E-12</v>
      </c>
      <c r="P14">
        <v>0</v>
      </c>
      <c r="Q14">
        <v>100</v>
      </c>
      <c r="AJ14">
        <v>1</v>
      </c>
    </row>
    <row r="15" spans="1:36" x14ac:dyDescent="0.2">
      <c r="A15">
        <v>16</v>
      </c>
      <c r="B15">
        <v>744</v>
      </c>
      <c r="C15">
        <v>275</v>
      </c>
      <c r="D15">
        <v>0.29283832276459099</v>
      </c>
      <c r="E15">
        <v>2.8799278287597101</v>
      </c>
      <c r="F15">
        <v>2.54384628309294</v>
      </c>
      <c r="G15">
        <v>-46.888025654467782</v>
      </c>
      <c r="H15">
        <v>-41.163403571939604</v>
      </c>
      <c r="I15">
        <v>5.6281001647035103</v>
      </c>
      <c r="J15">
        <v>3.3319260310065602</v>
      </c>
      <c r="K15">
        <v>1.13211550866908</v>
      </c>
      <c r="L15">
        <v>0</v>
      </c>
      <c r="M15">
        <v>1.238311233006107E-6</v>
      </c>
      <c r="N15">
        <v>0</v>
      </c>
      <c r="O15" s="1">
        <v>1.61013159837547E-12</v>
      </c>
      <c r="P15">
        <v>0</v>
      </c>
      <c r="Q15">
        <v>100</v>
      </c>
      <c r="AJ15">
        <v>1</v>
      </c>
    </row>
    <row r="16" spans="1:36" x14ac:dyDescent="0.2">
      <c r="A16">
        <v>17</v>
      </c>
      <c r="B16">
        <v>743</v>
      </c>
      <c r="C16">
        <v>275</v>
      </c>
      <c r="D16">
        <v>0.29207351276878402</v>
      </c>
      <c r="E16">
        <v>3.0795357201379798</v>
      </c>
      <c r="F16">
        <v>2.54384628309294</v>
      </c>
      <c r="G16">
        <v>-50.131819803862122</v>
      </c>
      <c r="H16">
        <v>-44.02000304029476</v>
      </c>
      <c r="I16">
        <v>6.0146796866283099</v>
      </c>
      <c r="J16">
        <v>3.5623967222209201</v>
      </c>
      <c r="K16">
        <v>1.21058247135661</v>
      </c>
      <c r="L16">
        <v>0</v>
      </c>
      <c r="M16">
        <v>1.2383112330061067E-6</v>
      </c>
      <c r="N16">
        <v>0</v>
      </c>
      <c r="O16" s="1">
        <v>1.7217298717709699E-12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742</v>
      </c>
      <c r="C17">
        <v>275</v>
      </c>
      <c r="D17">
        <v>0.291307195980888</v>
      </c>
      <c r="E17">
        <v>3.2781898112831702</v>
      </c>
      <c r="F17">
        <v>2.54384628309294</v>
      </c>
      <c r="G17">
        <v>-53.359312676202492</v>
      </c>
      <c r="H17">
        <v>-46.863428783868208</v>
      </c>
      <c r="I17">
        <v>6.3989399520605703</v>
      </c>
      <c r="J17">
        <v>3.7917028063633902</v>
      </c>
      <c r="K17">
        <v>1.2886744899135101</v>
      </c>
      <c r="L17">
        <v>0</v>
      </c>
      <c r="M17">
        <v>1.238311233006107E-6</v>
      </c>
      <c r="N17">
        <v>0</v>
      </c>
      <c r="O17" s="1">
        <v>1.8327948873957501E-12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741</v>
      </c>
      <c r="C18">
        <v>275</v>
      </c>
      <c r="D18">
        <v>0.29053936794360102</v>
      </c>
      <c r="E18">
        <v>3.7974808770437098</v>
      </c>
      <c r="F18">
        <v>2.54384628309294</v>
      </c>
      <c r="G18">
        <v>-61.804437328387287</v>
      </c>
      <c r="H18">
        <v>-54.291356773077354</v>
      </c>
      <c r="I18">
        <v>7.4082537645416702</v>
      </c>
      <c r="J18">
        <v>4.3917621742942901</v>
      </c>
      <c r="K18">
        <v>1.4928106711017599</v>
      </c>
      <c r="L18">
        <v>0</v>
      </c>
      <c r="M18">
        <v>1.238311233006107E-6</v>
      </c>
      <c r="N18">
        <v>0</v>
      </c>
      <c r="O18" s="1">
        <v>2.1231240218224299E-12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740</v>
      </c>
      <c r="C19">
        <v>275</v>
      </c>
      <c r="D19">
        <v>0.28977002418201098</v>
      </c>
      <c r="E19">
        <v>9.4521536995906708</v>
      </c>
      <c r="F19">
        <v>2.54384628309294</v>
      </c>
      <c r="G19">
        <v>-153.81645263693224</v>
      </c>
      <c r="H19">
        <v>-135.14531719272046</v>
      </c>
      <c r="I19">
        <v>18.428796766729199</v>
      </c>
      <c r="J19">
        <v>10.9299175159446</v>
      </c>
      <c r="K19">
        <v>3.71569373606106</v>
      </c>
      <c r="L19">
        <v>0</v>
      </c>
      <c r="M19">
        <v>1.2383112330061072E-6</v>
      </c>
      <c r="N19">
        <v>0</v>
      </c>
      <c r="O19" s="1">
        <v>5.2845808122097696E-12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739</v>
      </c>
      <c r="C20">
        <v>275</v>
      </c>
      <c r="D20">
        <v>0.28899916020352701</v>
      </c>
      <c r="E20">
        <v>28.205376481340998</v>
      </c>
      <c r="F20">
        <v>2.54384628309294</v>
      </c>
      <c r="G20">
        <v>-458.93575734702171</v>
      </c>
      <c r="H20">
        <v>-403.30838181425059</v>
      </c>
      <c r="I20">
        <v>54.959616195989803</v>
      </c>
      <c r="J20">
        <v>32.610748568646002</v>
      </c>
      <c r="K20">
        <v>11.0876890120292</v>
      </c>
      <c r="L20">
        <v>0</v>
      </c>
      <c r="M20">
        <v>1.238311233006107E-6</v>
      </c>
      <c r="N20">
        <v>0</v>
      </c>
      <c r="O20" s="1">
        <v>1.5769272918287601E-11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738</v>
      </c>
      <c r="C21">
        <v>275</v>
      </c>
      <c r="D21">
        <v>0.28822677149780002</v>
      </c>
      <c r="E21">
        <v>33.227484539047502</v>
      </c>
      <c r="F21">
        <v>2.54384628309294</v>
      </c>
      <c r="G21">
        <v>-540.58683305962234</v>
      </c>
      <c r="H21">
        <v>-475.15786685791096</v>
      </c>
      <c r="I21">
        <v>64.707477823974003</v>
      </c>
      <c r="J21">
        <v>38.412179965214101</v>
      </c>
      <c r="K21">
        <v>13.061907380129799</v>
      </c>
      <c r="L21">
        <v>0</v>
      </c>
      <c r="M21">
        <v>1.2383112330061072E-6</v>
      </c>
      <c r="N21">
        <v>0</v>
      </c>
      <c r="O21" s="1">
        <v>1.8577070667042899E-11</v>
      </c>
      <c r="P21">
        <v>0</v>
      </c>
      <c r="Q21">
        <v>100</v>
      </c>
      <c r="AJ21">
        <v>1</v>
      </c>
    </row>
    <row r="22" spans="1:36" x14ac:dyDescent="0.2">
      <c r="A22">
        <v>25</v>
      </c>
      <c r="B22">
        <v>757</v>
      </c>
      <c r="C22">
        <v>250</v>
      </c>
      <c r="D22">
        <v>0.32934087268844398</v>
      </c>
      <c r="E22">
        <v>0.207440340879678</v>
      </c>
      <c r="F22">
        <v>2.5430588954681599</v>
      </c>
      <c r="G22">
        <v>-3.3846593796303992</v>
      </c>
      <c r="H22">
        <v>-2.9639040329046087</v>
      </c>
      <c r="I22">
        <v>0.40844085494907501</v>
      </c>
      <c r="J22">
        <v>0.240398837772938</v>
      </c>
      <c r="K22">
        <v>8.1571190210870101E-2</v>
      </c>
      <c r="L22">
        <v>0</v>
      </c>
      <c r="M22">
        <v>1.2382833910659954E-6</v>
      </c>
      <c r="N22">
        <v>0</v>
      </c>
      <c r="O22" s="1">
        <v>1.1597729786582599E-13</v>
      </c>
      <c r="P22">
        <v>0</v>
      </c>
      <c r="Q22">
        <v>100</v>
      </c>
      <c r="AJ22">
        <v>1</v>
      </c>
    </row>
    <row r="23" spans="1:36" x14ac:dyDescent="0.2">
      <c r="A23">
        <v>26</v>
      </c>
      <c r="B23">
        <v>756</v>
      </c>
      <c r="C23">
        <v>250</v>
      </c>
      <c r="D23">
        <v>0.32862119224602798</v>
      </c>
      <c r="E23">
        <v>0.414122368983601</v>
      </c>
      <c r="F23">
        <v>2.5430588954681599</v>
      </c>
      <c r="G23">
        <v>-6.7561307428991393</v>
      </c>
      <c r="H23">
        <v>-5.9174531943616264</v>
      </c>
      <c r="I23">
        <v>0.814922556029259</v>
      </c>
      <c r="J23">
        <v>0.479858072197823</v>
      </c>
      <c r="K23">
        <v>0.16284419119100399</v>
      </c>
      <c r="L23">
        <v>0</v>
      </c>
      <c r="M23">
        <v>1.2382833910659956E-6</v>
      </c>
      <c r="N23">
        <v>0</v>
      </c>
      <c r="O23" s="1">
        <v>2.3153063255122102E-13</v>
      </c>
      <c r="P23">
        <v>0</v>
      </c>
      <c r="Q23">
        <v>100</v>
      </c>
      <c r="AJ23">
        <v>1</v>
      </c>
    </row>
    <row r="24" spans="1:36" x14ac:dyDescent="0.2">
      <c r="A24">
        <v>27</v>
      </c>
      <c r="B24">
        <v>755</v>
      </c>
      <c r="C24">
        <v>250</v>
      </c>
      <c r="D24">
        <v>0.32790011185138401</v>
      </c>
      <c r="E24">
        <v>0.61979739695593195</v>
      </c>
      <c r="F24">
        <v>2.5430588954681599</v>
      </c>
      <c r="G24">
        <v>-10.110362586488888</v>
      </c>
      <c r="H24">
        <v>-8.8570909400082165</v>
      </c>
      <c r="I24">
        <v>1.2189579793616401</v>
      </c>
      <c r="J24">
        <v>0.718089713408953</v>
      </c>
      <c r="K24">
        <v>0.24372121230083801</v>
      </c>
      <c r="L24">
        <v>0</v>
      </c>
      <c r="M24">
        <v>1.2382833910659954E-6</v>
      </c>
      <c r="N24">
        <v>0</v>
      </c>
      <c r="O24" s="1">
        <v>3.4652096606858199E-13</v>
      </c>
      <c r="P24">
        <v>0</v>
      </c>
      <c r="Q24">
        <v>100</v>
      </c>
      <c r="AJ24">
        <v>1</v>
      </c>
    </row>
    <row r="25" spans="1:36" x14ac:dyDescent="0.2">
      <c r="A25">
        <v>28</v>
      </c>
      <c r="B25">
        <v>754</v>
      </c>
      <c r="C25">
        <v>250</v>
      </c>
      <c r="D25">
        <v>0.32717762741566497</v>
      </c>
      <c r="E25">
        <v>0.82447334660768201</v>
      </c>
      <c r="F25">
        <v>2.5430588954681599</v>
      </c>
      <c r="G25">
        <v>-13.44749075693001</v>
      </c>
      <c r="H25">
        <v>-11.782926892799887</v>
      </c>
      <c r="I25">
        <v>1.62056551051951</v>
      </c>
      <c r="J25">
        <v>0.95510318525388704</v>
      </c>
      <c r="K25">
        <v>0.32420536861215699</v>
      </c>
      <c r="L25">
        <v>0</v>
      </c>
      <c r="M25">
        <v>1.2382833910659954E-6</v>
      </c>
      <c r="N25">
        <v>0</v>
      </c>
      <c r="O25" s="1">
        <v>4.6095272740328101E-13</v>
      </c>
      <c r="P25">
        <v>0</v>
      </c>
      <c r="Q25">
        <v>100</v>
      </c>
      <c r="AJ25">
        <v>1</v>
      </c>
    </row>
    <row r="26" spans="1:36" x14ac:dyDescent="0.2">
      <c r="A26">
        <v>29</v>
      </c>
      <c r="B26">
        <v>753</v>
      </c>
      <c r="C26">
        <v>250</v>
      </c>
      <c r="D26">
        <v>0.32645373483409301</v>
      </c>
      <c r="E26">
        <v>1.02815805492507</v>
      </c>
      <c r="F26">
        <v>2.5430588954681599</v>
      </c>
      <c r="G26">
        <v>-16.767649649101667</v>
      </c>
      <c r="H26">
        <v>-14.695069500656123</v>
      </c>
      <c r="I26">
        <v>2.0197633371783201</v>
      </c>
      <c r="J26">
        <v>1.19090780972818</v>
      </c>
      <c r="K26">
        <v>0.404299741841327</v>
      </c>
      <c r="L26">
        <v>0</v>
      </c>
      <c r="M26">
        <v>1.2382833910659954E-6</v>
      </c>
      <c r="N26">
        <v>0</v>
      </c>
      <c r="O26" s="1">
        <v>5.7483029811621001E-13</v>
      </c>
      <c r="P26">
        <v>0</v>
      </c>
      <c r="Q26">
        <v>100</v>
      </c>
      <c r="AJ26">
        <v>1</v>
      </c>
    </row>
    <row r="27" spans="1:36" x14ac:dyDescent="0.2">
      <c r="A27">
        <v>30</v>
      </c>
      <c r="B27">
        <v>752</v>
      </c>
      <c r="C27">
        <v>250</v>
      </c>
      <c r="D27">
        <v>0.32572842998585799</v>
      </c>
      <c r="E27">
        <v>1.2308592753883201</v>
      </c>
      <c r="F27">
        <v>2.5430588954681599</v>
      </c>
      <c r="G27">
        <v>-20.070972228651147</v>
      </c>
      <c r="H27">
        <v>-17.593626054810265</v>
      </c>
      <c r="I27">
        <v>2.41656945212006</v>
      </c>
      <c r="J27">
        <v>1.42551280854605</v>
      </c>
      <c r="K27">
        <v>0.48400738086788397</v>
      </c>
      <c r="L27">
        <v>0</v>
      </c>
      <c r="M27">
        <v>1.2382833910659956E-6</v>
      </c>
      <c r="N27">
        <v>0</v>
      </c>
      <c r="O27" s="1">
        <v>6.8815801308110602E-13</v>
      </c>
      <c r="P27">
        <v>0</v>
      </c>
      <c r="Q27">
        <v>100</v>
      </c>
      <c r="AJ27">
        <v>1</v>
      </c>
    </row>
    <row r="28" spans="1:36" x14ac:dyDescent="0.2">
      <c r="A28">
        <v>31</v>
      </c>
      <c r="B28">
        <v>751</v>
      </c>
      <c r="C28">
        <v>250</v>
      </c>
      <c r="D28">
        <v>0.32500170873407402</v>
      </c>
      <c r="E28">
        <v>1.43258467699329</v>
      </c>
      <c r="F28">
        <v>2.5430588954681599</v>
      </c>
      <c r="G28">
        <v>-23.35759001694203</v>
      </c>
      <c r="H28">
        <v>-20.478702675330691</v>
      </c>
      <c r="I28">
        <v>2.8110016517222398</v>
      </c>
      <c r="J28">
        <v>1.6589273020500199</v>
      </c>
      <c r="K28">
        <v>0.56333130134981202</v>
      </c>
      <c r="L28">
        <v>0</v>
      </c>
      <c r="M28">
        <v>1.2382833910659956E-6</v>
      </c>
      <c r="N28">
        <v>0</v>
      </c>
      <c r="O28" s="1">
        <v>8.0094015993755502E-13</v>
      </c>
      <c r="P28">
        <v>0</v>
      </c>
      <c r="Q28">
        <v>100</v>
      </c>
      <c r="AJ28">
        <v>1</v>
      </c>
    </row>
    <row r="29" spans="1:36" x14ac:dyDescent="0.2">
      <c r="A29">
        <v>32</v>
      </c>
      <c r="B29">
        <v>750</v>
      </c>
      <c r="C29">
        <v>250</v>
      </c>
      <c r="D29">
        <v>0.324273566925672</v>
      </c>
      <c r="E29">
        <v>1.63334184792689</v>
      </c>
      <c r="F29">
        <v>2.5430588954681599</v>
      </c>
      <c r="G29">
        <v>-26.627633151881028</v>
      </c>
      <c r="H29">
        <v>-23.350404363166234</v>
      </c>
      <c r="I29">
        <v>3.20307754358089</v>
      </c>
      <c r="J29">
        <v>1.8911603135100701</v>
      </c>
      <c r="K29">
        <v>0.64227448716880897</v>
      </c>
      <c r="L29">
        <v>0</v>
      </c>
      <c r="M29">
        <v>1.2382833910659954E-6</v>
      </c>
      <c r="N29">
        <v>0</v>
      </c>
      <c r="O29" s="1">
        <v>9.13180981145863E-13</v>
      </c>
      <c r="P29">
        <v>0</v>
      </c>
      <c r="Q29">
        <v>100</v>
      </c>
      <c r="AJ29">
        <v>1</v>
      </c>
    </row>
    <row r="30" spans="1:36" x14ac:dyDescent="0.2">
      <c r="A30">
        <v>33</v>
      </c>
      <c r="B30">
        <v>749</v>
      </c>
      <c r="C30">
        <v>250</v>
      </c>
      <c r="D30">
        <v>0.32354400039133302</v>
      </c>
      <c r="E30">
        <v>1.8331382953922599</v>
      </c>
      <c r="F30">
        <v>2.5430588954681599</v>
      </c>
      <c r="G30">
        <v>-29.881230385939961</v>
      </c>
      <c r="H30">
        <v>-26.208834997170126</v>
      </c>
      <c r="I30">
        <v>3.5928145465634498</v>
      </c>
      <c r="J30">
        <v>2.1222207689624799</v>
      </c>
      <c r="K30">
        <v>0.72083989036156204</v>
      </c>
      <c r="L30">
        <v>0</v>
      </c>
      <c r="M30">
        <v>1.2382833910659956E-6</v>
      </c>
      <c r="N30">
        <v>0</v>
      </c>
      <c r="O30" s="1">
        <v>1.0248846738893299E-12</v>
      </c>
      <c r="P30">
        <v>0</v>
      </c>
      <c r="Q30">
        <v>100</v>
      </c>
      <c r="AJ30">
        <v>1</v>
      </c>
    </row>
    <row r="31" spans="1:36" x14ac:dyDescent="0.2">
      <c r="A31">
        <v>34</v>
      </c>
      <c r="B31">
        <v>748</v>
      </c>
      <c r="C31">
        <v>250</v>
      </c>
      <c r="D31">
        <v>0.32281300494540499</v>
      </c>
      <c r="E31">
        <v>2.0319814456629102</v>
      </c>
      <c r="F31">
        <v>2.5430588954681599</v>
      </c>
      <c r="G31">
        <v>-33.118509087908997</v>
      </c>
      <c r="H31">
        <v>-29.054097334395564</v>
      </c>
      <c r="I31">
        <v>3.9802298913121801</v>
      </c>
      <c r="J31">
        <v>2.35211749731398</v>
      </c>
      <c r="K31">
        <v>0.79903043114101302</v>
      </c>
      <c r="L31">
        <v>0</v>
      </c>
      <c r="M31">
        <v>1.2382833910659954E-6</v>
      </c>
      <c r="N31">
        <v>0</v>
      </c>
      <c r="O31" s="1">
        <v>1.1360553901045301E-12</v>
      </c>
      <c r="P31">
        <v>0</v>
      </c>
      <c r="Q31">
        <v>100</v>
      </c>
      <c r="AJ31">
        <v>1</v>
      </c>
    </row>
    <row r="32" spans="1:36" x14ac:dyDescent="0.2">
      <c r="A32">
        <v>35</v>
      </c>
      <c r="B32">
        <v>747</v>
      </c>
      <c r="C32">
        <v>250</v>
      </c>
      <c r="D32">
        <v>0.32208057638582899</v>
      </c>
      <c r="E32">
        <v>2.2298786463295799</v>
      </c>
      <c r="F32">
        <v>2.5430588954681599</v>
      </c>
      <c r="G32">
        <v>-36.339595280383151</v>
      </c>
      <c r="H32">
        <v>-31.886293041747667</v>
      </c>
      <c r="I32">
        <v>4.3653406250409104</v>
      </c>
      <c r="J32">
        <v>2.58085923298411</v>
      </c>
      <c r="K32">
        <v>0.87684899877990097</v>
      </c>
      <c r="L32">
        <v>0</v>
      </c>
      <c r="M32">
        <v>1.2382833910659956E-6</v>
      </c>
      <c r="N32">
        <v>0</v>
      </c>
      <c r="O32" s="1">
        <v>1.24669723773746E-12</v>
      </c>
      <c r="P32">
        <v>0</v>
      </c>
      <c r="Q32">
        <v>100</v>
      </c>
      <c r="AJ32">
        <v>1</v>
      </c>
    </row>
    <row r="33" spans="1:36" x14ac:dyDescent="0.2">
      <c r="A33">
        <v>36</v>
      </c>
      <c r="B33">
        <v>746</v>
      </c>
      <c r="C33">
        <v>250</v>
      </c>
      <c r="D33">
        <v>0.32134671049404001</v>
      </c>
      <c r="E33">
        <v>2.4268371688463999</v>
      </c>
      <c r="F33">
        <v>2.5430588954681599</v>
      </c>
      <c r="G33">
        <v>-39.544613682097832</v>
      </c>
      <c r="H33">
        <v>-34.705522731931126</v>
      </c>
      <c r="I33">
        <v>4.7481636169030104</v>
      </c>
      <c r="J33">
        <v>2.8084546188921302</v>
      </c>
      <c r="K33">
        <v>0.95429845261198198</v>
      </c>
      <c r="L33">
        <v>0</v>
      </c>
      <c r="M33">
        <v>1.2382833910659954E-6</v>
      </c>
      <c r="N33">
        <v>0</v>
      </c>
      <c r="O33" s="1">
        <v>1.3568142821670901E-12</v>
      </c>
      <c r="P33">
        <v>0</v>
      </c>
      <c r="Q33">
        <v>100</v>
      </c>
      <c r="AJ33">
        <v>1</v>
      </c>
    </row>
    <row r="34" spans="1:36" x14ac:dyDescent="0.2">
      <c r="A34">
        <v>37</v>
      </c>
      <c r="B34">
        <v>745</v>
      </c>
      <c r="C34">
        <v>250</v>
      </c>
      <c r="D34">
        <v>0.32061140303491598</v>
      </c>
      <c r="E34">
        <v>2.6228642050697899</v>
      </c>
      <c r="F34">
        <v>2.5430588954681599</v>
      </c>
      <c r="G34">
        <v>-42.733687652357837</v>
      </c>
      <c r="H34">
        <v>-37.511885913499981</v>
      </c>
      <c r="I34">
        <v>5.1287155515963798</v>
      </c>
      <c r="J34">
        <v>3.0349122024908799</v>
      </c>
      <c r="K34">
        <v>1.03138162067101</v>
      </c>
      <c r="L34">
        <v>0</v>
      </c>
      <c r="M34">
        <v>1.2382833910659956E-6</v>
      </c>
      <c r="N34">
        <v>0</v>
      </c>
      <c r="O34" s="1">
        <v>1.4664105442703399E-12</v>
      </c>
      <c r="P34">
        <v>0</v>
      </c>
      <c r="Q34">
        <v>100</v>
      </c>
      <c r="AJ34">
        <v>1</v>
      </c>
    </row>
    <row r="35" spans="1:36" x14ac:dyDescent="0.2">
      <c r="A35">
        <v>38</v>
      </c>
      <c r="B35">
        <v>744</v>
      </c>
      <c r="C35">
        <v>250</v>
      </c>
      <c r="D35">
        <v>0.31987464975667701</v>
      </c>
      <c r="E35">
        <v>6.9248329549663001</v>
      </c>
      <c r="F35">
        <v>2.5430588954681599</v>
      </c>
      <c r="G35">
        <v>-112.81107988573206</v>
      </c>
      <c r="H35">
        <v>-99.046133675641997</v>
      </c>
      <c r="I35">
        <v>13.532857700526</v>
      </c>
      <c r="J35">
        <v>8.01166992888189</v>
      </c>
      <c r="K35">
        <v>2.7230328669566601</v>
      </c>
      <c r="L35">
        <v>0</v>
      </c>
      <c r="M35">
        <v>1.2382833910659954E-6</v>
      </c>
      <c r="N35">
        <v>0</v>
      </c>
      <c r="O35" s="1">
        <v>3.8715874206698103E-12</v>
      </c>
      <c r="P35">
        <v>0</v>
      </c>
      <c r="Q35">
        <v>100</v>
      </c>
      <c r="AJ35">
        <v>1</v>
      </c>
    </row>
    <row r="36" spans="1:36" x14ac:dyDescent="0.2">
      <c r="A36">
        <v>39</v>
      </c>
      <c r="B36">
        <v>743</v>
      </c>
      <c r="C36">
        <v>250</v>
      </c>
      <c r="D36">
        <v>0.31913644639078897</v>
      </c>
      <c r="E36">
        <v>12.984929884439699</v>
      </c>
      <c r="F36">
        <v>2.5430588954681599</v>
      </c>
      <c r="G36">
        <v>-211.50954831312825</v>
      </c>
      <c r="H36">
        <v>-185.73893892467476</v>
      </c>
      <c r="I36">
        <v>25.361028773757202</v>
      </c>
      <c r="J36">
        <v>15.0209238867098</v>
      </c>
      <c r="K36">
        <v>5.1060279836929601</v>
      </c>
      <c r="L36">
        <v>0</v>
      </c>
      <c r="M36">
        <v>1.2382833910659956E-6</v>
      </c>
      <c r="N36">
        <v>0</v>
      </c>
      <c r="O36" s="1">
        <v>7.2597117541763204E-12</v>
      </c>
      <c r="P36">
        <v>0</v>
      </c>
      <c r="Q36">
        <v>100</v>
      </c>
      <c r="AJ36">
        <v>1</v>
      </c>
    </row>
    <row r="37" spans="1:36" x14ac:dyDescent="0.2">
      <c r="A37">
        <v>40</v>
      </c>
      <c r="B37">
        <v>742</v>
      </c>
      <c r="C37">
        <v>250</v>
      </c>
      <c r="D37">
        <v>0.318396788651924</v>
      </c>
      <c r="E37">
        <v>32.138970704750903</v>
      </c>
      <c r="F37">
        <v>2.5430588954681599</v>
      </c>
      <c r="G37">
        <v>-523.44405381846889</v>
      </c>
      <c r="H37">
        <v>-459.75920512586811</v>
      </c>
      <c r="I37">
        <v>62.734422196326499</v>
      </c>
      <c r="J37">
        <v>37.1733891049874</v>
      </c>
      <c r="K37">
        <v>12.637918359666701</v>
      </c>
      <c r="L37">
        <v>0</v>
      </c>
      <c r="M37">
        <v>1.2382833910659952E-6</v>
      </c>
      <c r="N37">
        <v>0</v>
      </c>
      <c r="O37" s="1">
        <v>1.7968496208208399E-11</v>
      </c>
      <c r="P37">
        <v>0</v>
      </c>
      <c r="Q37">
        <v>100</v>
      </c>
      <c r="AJ37">
        <v>1</v>
      </c>
    </row>
    <row r="38" spans="1:36" x14ac:dyDescent="0.2">
      <c r="A38">
        <v>41</v>
      </c>
      <c r="B38">
        <v>741</v>
      </c>
      <c r="C38">
        <v>250</v>
      </c>
      <c r="D38">
        <v>0.31765567223783697</v>
      </c>
      <c r="E38">
        <v>34.0486347552323</v>
      </c>
      <c r="F38">
        <v>2.5430588954681599</v>
      </c>
      <c r="G38">
        <v>-554.48010980592801</v>
      </c>
      <c r="H38">
        <v>-487.11699620585864</v>
      </c>
      <c r="I38">
        <v>66.423224966789206</v>
      </c>
      <c r="J38">
        <v>39.3770267832925</v>
      </c>
      <c r="K38">
        <v>13.3888502605694</v>
      </c>
      <c r="L38">
        <v>0</v>
      </c>
      <c r="M38">
        <v>1.2382833910659954E-6</v>
      </c>
      <c r="N38">
        <v>0</v>
      </c>
      <c r="O38" s="1">
        <v>1.9036165473825401E-11</v>
      </c>
      <c r="P38">
        <v>0</v>
      </c>
      <c r="Q38">
        <v>100</v>
      </c>
      <c r="AJ38">
        <v>1</v>
      </c>
    </row>
    <row r="39" spans="1:36" x14ac:dyDescent="0.2">
      <c r="A39">
        <v>43</v>
      </c>
      <c r="B39">
        <v>758</v>
      </c>
      <c r="C39">
        <v>225</v>
      </c>
      <c r="D39">
        <v>0.356728410027642</v>
      </c>
      <c r="E39">
        <v>6.8524812928627998E-2</v>
      </c>
      <c r="F39">
        <v>2.5422717692855801</v>
      </c>
      <c r="G39">
        <v>-1.1188802961577688</v>
      </c>
      <c r="H39">
        <v>-0.97967568458469179</v>
      </c>
      <c r="I39">
        <v>0.13499938085930899</v>
      </c>
      <c r="J39">
        <v>7.9422199447064204E-2</v>
      </c>
      <c r="K39">
        <v>2.6954165072558101E-2</v>
      </c>
      <c r="L39">
        <v>0</v>
      </c>
      <c r="M39">
        <v>1.2382554563563432E-6</v>
      </c>
      <c r="N39">
        <v>0</v>
      </c>
      <c r="O39" s="1">
        <v>3.8311365120794998E-14</v>
      </c>
      <c r="P39">
        <v>0</v>
      </c>
      <c r="Q39">
        <v>100</v>
      </c>
      <c r="AJ39">
        <v>1</v>
      </c>
    </row>
    <row r="40" spans="1:36" x14ac:dyDescent="0.2">
      <c r="A40">
        <v>44</v>
      </c>
      <c r="B40">
        <v>757</v>
      </c>
      <c r="C40">
        <v>225</v>
      </c>
      <c r="D40">
        <v>0.35603601417269398</v>
      </c>
      <c r="E40">
        <v>0.26957833550330901</v>
      </c>
      <c r="F40">
        <v>2.5422717692855801</v>
      </c>
      <c r="G40">
        <v>-4.4011722535627031</v>
      </c>
      <c r="H40">
        <v>-3.8543811832074595</v>
      </c>
      <c r="I40">
        <v>0.53078781765300498</v>
      </c>
      <c r="J40">
        <v>0.312409429472294</v>
      </c>
      <c r="K40">
        <v>0.106038362522927</v>
      </c>
      <c r="L40">
        <v>0</v>
      </c>
      <c r="M40">
        <v>1.2382554563563434E-6</v>
      </c>
      <c r="N40">
        <v>0</v>
      </c>
      <c r="O40" s="1">
        <v>1.5071787282192899E-13</v>
      </c>
      <c r="P40">
        <v>0</v>
      </c>
      <c r="Q40">
        <v>100</v>
      </c>
      <c r="AJ40">
        <v>1</v>
      </c>
    </row>
    <row r="41" spans="1:36" x14ac:dyDescent="0.2">
      <c r="A41">
        <v>45</v>
      </c>
      <c r="B41">
        <v>756</v>
      </c>
      <c r="C41">
        <v>225</v>
      </c>
      <c r="D41">
        <v>0.35534227274935698</v>
      </c>
      <c r="E41">
        <v>0.46967595390831901</v>
      </c>
      <c r="F41">
        <v>2.5422717692855801</v>
      </c>
      <c r="G41">
        <v>-7.66706844454625</v>
      </c>
      <c r="H41">
        <v>-6.7158841880724225</v>
      </c>
      <c r="I41">
        <v>0.92424258511764801</v>
      </c>
      <c r="J41">
        <v>0.54422995394640095</v>
      </c>
      <c r="K41">
        <v>0.18474655604593501</v>
      </c>
      <c r="L41">
        <v>0</v>
      </c>
      <c r="M41">
        <v>1.2382554563563432E-6</v>
      </c>
      <c r="N41">
        <v>0</v>
      </c>
      <c r="O41" s="1">
        <v>2.6258994646772499E-13</v>
      </c>
      <c r="P41">
        <v>0</v>
      </c>
      <c r="Q41">
        <v>100</v>
      </c>
      <c r="AJ41">
        <v>1</v>
      </c>
    </row>
    <row r="42" spans="1:36" x14ac:dyDescent="0.2">
      <c r="A42">
        <v>46</v>
      </c>
      <c r="B42">
        <v>755</v>
      </c>
      <c r="C42">
        <v>225</v>
      </c>
      <c r="D42">
        <v>0.354647181831445</v>
      </c>
      <c r="E42">
        <v>0.66882497362765603</v>
      </c>
      <c r="F42">
        <v>2.5422717692855801</v>
      </c>
      <c r="G42">
        <v>-10.916694431402535</v>
      </c>
      <c r="H42">
        <v>-9.5642857571768154</v>
      </c>
      <c r="I42">
        <v>1.3153807073148001</v>
      </c>
      <c r="J42">
        <v>0.77489246646058696</v>
      </c>
      <c r="K42">
        <v>0.26308161924624002</v>
      </c>
      <c r="L42">
        <v>0</v>
      </c>
      <c r="M42">
        <v>1.2382554563563434E-6</v>
      </c>
      <c r="N42">
        <v>0</v>
      </c>
      <c r="O42" s="1">
        <v>3.7393167046283599E-13</v>
      </c>
      <c r="P42">
        <v>0</v>
      </c>
      <c r="Q42">
        <v>100</v>
      </c>
      <c r="AJ42">
        <v>1</v>
      </c>
    </row>
    <row r="43" spans="1:36" x14ac:dyDescent="0.2">
      <c r="A43">
        <v>47</v>
      </c>
      <c r="B43">
        <v>754</v>
      </c>
      <c r="C43">
        <v>225</v>
      </c>
      <c r="D43">
        <v>0.35395073747748601</v>
      </c>
      <c r="E43">
        <v>0.86703262190237296</v>
      </c>
      <c r="F43">
        <v>2.5422717692855801</v>
      </c>
      <c r="G43">
        <v>-14.150174436330792</v>
      </c>
      <c r="H43">
        <v>-12.399685863984702</v>
      </c>
      <c r="I43">
        <v>1.7042190257957299</v>
      </c>
      <c r="J43">
        <v>1.0044055666629399</v>
      </c>
      <c r="K43">
        <v>0.34104639495171701</v>
      </c>
      <c r="L43">
        <v>0</v>
      </c>
      <c r="M43">
        <v>1.2382554563563434E-6</v>
      </c>
      <c r="N43">
        <v>0</v>
      </c>
      <c r="O43" s="1">
        <v>4.84747085467265E-13</v>
      </c>
      <c r="P43">
        <v>0</v>
      </c>
      <c r="Q43">
        <v>100</v>
      </c>
      <c r="AJ43">
        <v>1</v>
      </c>
    </row>
    <row r="44" spans="1:36" x14ac:dyDescent="0.2">
      <c r="A44">
        <v>48</v>
      </c>
      <c r="B44">
        <v>753</v>
      </c>
      <c r="C44">
        <v>225</v>
      </c>
      <c r="D44">
        <v>0.35325293573064698</v>
      </c>
      <c r="E44">
        <v>1.0643060514306499</v>
      </c>
      <c r="F44">
        <v>2.5422717692855801</v>
      </c>
      <c r="G44">
        <v>-17.367631402657747</v>
      </c>
      <c r="H44">
        <v>-15.222183449885163</v>
      </c>
      <c r="I44">
        <v>2.0907742072529101</v>
      </c>
      <c r="J44">
        <v>1.23277776458416</v>
      </c>
      <c r="K44">
        <v>0.41864369666888102</v>
      </c>
      <c r="L44">
        <v>0</v>
      </c>
      <c r="M44">
        <v>1.2382554563563432E-6</v>
      </c>
      <c r="N44">
        <v>0</v>
      </c>
      <c r="O44" s="1">
        <v>5.9504019046502998E-13</v>
      </c>
      <c r="P44">
        <v>0</v>
      </c>
      <c r="Q44">
        <v>100</v>
      </c>
      <c r="AJ44">
        <v>1</v>
      </c>
    </row>
    <row r="45" spans="1:36" x14ac:dyDescent="0.2">
      <c r="A45">
        <v>49</v>
      </c>
      <c r="B45">
        <v>752</v>
      </c>
      <c r="C45">
        <v>225</v>
      </c>
      <c r="D45">
        <v>0.35255377261864101</v>
      </c>
      <c r="E45">
        <v>1.26065233778124</v>
      </c>
      <c r="F45">
        <v>2.5422717692855801</v>
      </c>
      <c r="G45">
        <v>-20.569186953440461</v>
      </c>
      <c r="H45">
        <v>-18.031876386754732</v>
      </c>
      <c r="I45">
        <v>2.4750627388047901</v>
      </c>
      <c r="J45">
        <v>1.46001747767935</v>
      </c>
      <c r="K45">
        <v>0.49587630756545997</v>
      </c>
      <c r="L45">
        <v>0</v>
      </c>
      <c r="M45">
        <v>1.2382554563563432E-6</v>
      </c>
      <c r="N45">
        <v>0</v>
      </c>
      <c r="O45" s="1">
        <v>7.0481494131804702E-13</v>
      </c>
      <c r="P45">
        <v>0</v>
      </c>
      <c r="Q45">
        <v>100</v>
      </c>
      <c r="AJ45">
        <v>1</v>
      </c>
    </row>
    <row r="46" spans="1:36" x14ac:dyDescent="0.2">
      <c r="A46">
        <v>50</v>
      </c>
      <c r="B46">
        <v>751</v>
      </c>
      <c r="C46">
        <v>225</v>
      </c>
      <c r="D46">
        <v>0.35185324415369101</v>
      </c>
      <c r="E46">
        <v>1.4560784835237099</v>
      </c>
      <c r="F46">
        <v>2.5422717692855801</v>
      </c>
      <c r="G46">
        <v>-23.754961459678956</v>
      </c>
      <c r="H46">
        <v>-20.828861535584441</v>
      </c>
      <c r="I46">
        <v>2.8571009364785498</v>
      </c>
      <c r="J46">
        <v>1.68613303565048</v>
      </c>
      <c r="K46">
        <v>0.57274698209503005</v>
      </c>
      <c r="L46">
        <v>0</v>
      </c>
      <c r="M46">
        <v>1.2382554563563434E-6</v>
      </c>
      <c r="N46">
        <v>0</v>
      </c>
      <c r="O46" s="1">
        <v>8.1407525307529998E-13</v>
      </c>
      <c r="P46">
        <v>0</v>
      </c>
      <c r="Q46">
        <v>100</v>
      </c>
      <c r="AJ46">
        <v>1</v>
      </c>
    </row>
    <row r="47" spans="1:36" x14ac:dyDescent="0.2">
      <c r="A47">
        <v>51</v>
      </c>
      <c r="B47">
        <v>750</v>
      </c>
      <c r="C47">
        <v>225</v>
      </c>
      <c r="D47">
        <v>0.35115134633240402</v>
      </c>
      <c r="E47">
        <v>1.8640054334740399</v>
      </c>
      <c r="F47">
        <v>2.5422717692855801</v>
      </c>
      <c r="G47">
        <v>-30.406364503686273</v>
      </c>
      <c r="H47">
        <v>-26.666319346173498</v>
      </c>
      <c r="I47">
        <v>3.6554221350855398</v>
      </c>
      <c r="J47">
        <v>2.1582335041666201</v>
      </c>
      <c r="K47">
        <v>0.73320463059614505</v>
      </c>
      <c r="L47">
        <v>0</v>
      </c>
      <c r="M47">
        <v>1.2382554563563432E-6</v>
      </c>
      <c r="N47">
        <v>0</v>
      </c>
      <c r="O47" s="1">
        <v>1.0421421043987301E-12</v>
      </c>
      <c r="P47">
        <v>0</v>
      </c>
      <c r="Q47">
        <v>100</v>
      </c>
      <c r="AJ47">
        <v>1</v>
      </c>
    </row>
    <row r="48" spans="1:36" x14ac:dyDescent="0.2">
      <c r="A48">
        <v>52</v>
      </c>
      <c r="B48">
        <v>749</v>
      </c>
      <c r="C48">
        <v>225</v>
      </c>
      <c r="D48">
        <v>0.350448075135744</v>
      </c>
      <c r="E48">
        <v>2.5238594824611602</v>
      </c>
      <c r="F48">
        <v>2.5422717692855801</v>
      </c>
      <c r="G48">
        <v>-41.165206330777913</v>
      </c>
      <c r="H48">
        <v>-36.109063022555731</v>
      </c>
      <c r="I48">
        <v>4.9465766357405201</v>
      </c>
      <c r="J48">
        <v>2.92186739270308</v>
      </c>
      <c r="K48">
        <v>0.99275754581124298</v>
      </c>
      <c r="L48">
        <v>0</v>
      </c>
      <c r="M48">
        <v>1.2382554563563434E-6</v>
      </c>
      <c r="N48">
        <v>0</v>
      </c>
      <c r="O48" s="1">
        <v>1.4110582431922901E-12</v>
      </c>
      <c r="P48">
        <v>0</v>
      </c>
      <c r="Q48">
        <v>100</v>
      </c>
      <c r="AJ48">
        <v>1</v>
      </c>
    </row>
    <row r="49" spans="1:36" x14ac:dyDescent="0.2">
      <c r="A49">
        <v>53</v>
      </c>
      <c r="B49">
        <v>748</v>
      </c>
      <c r="C49">
        <v>225</v>
      </c>
      <c r="D49">
        <v>0.34974342652891699</v>
      </c>
      <c r="E49">
        <v>6.3480420894760199</v>
      </c>
      <c r="F49">
        <v>2.5422717692855801</v>
      </c>
      <c r="G49">
        <v>-103.52678991222346</v>
      </c>
      <c r="H49">
        <v>-90.829303458626953</v>
      </c>
      <c r="I49">
        <v>12.434496845318</v>
      </c>
      <c r="J49">
        <v>7.3481679196489802</v>
      </c>
      <c r="K49">
        <v>2.4969958625862798</v>
      </c>
      <c r="L49">
        <v>0</v>
      </c>
      <c r="M49">
        <v>1.2382554563563434E-6</v>
      </c>
      <c r="N49">
        <v>0</v>
      </c>
      <c r="O49" s="1">
        <v>3.5491108679916801E-12</v>
      </c>
      <c r="P49">
        <v>0</v>
      </c>
      <c r="Q49">
        <v>100</v>
      </c>
      <c r="AJ49">
        <v>1</v>
      </c>
    </row>
    <row r="50" spans="1:36" x14ac:dyDescent="0.2">
      <c r="A50">
        <v>54</v>
      </c>
      <c r="B50">
        <v>747</v>
      </c>
      <c r="C50">
        <v>225</v>
      </c>
      <c r="D50">
        <v>0.34903739646130499</v>
      </c>
      <c r="E50">
        <v>12.354495950348401</v>
      </c>
      <c r="F50">
        <v>2.5422717692855801</v>
      </c>
      <c r="G50">
        <v>-201.45860900422795</v>
      </c>
      <c r="H50">
        <v>-176.78538090571192</v>
      </c>
      <c r="I50">
        <v>24.1858825648346</v>
      </c>
      <c r="J50">
        <v>14.2990808019106</v>
      </c>
      <c r="K50">
        <v>4.8596283448564002</v>
      </c>
      <c r="L50">
        <v>0</v>
      </c>
      <c r="M50">
        <v>1.2382554563563434E-6</v>
      </c>
      <c r="N50">
        <v>0</v>
      </c>
      <c r="O50" s="1">
        <v>6.9072440333426002E-12</v>
      </c>
      <c r="P50">
        <v>0</v>
      </c>
      <c r="Q50">
        <v>100</v>
      </c>
      <c r="AJ50">
        <v>1</v>
      </c>
    </row>
    <row r="51" spans="1:36" x14ac:dyDescent="0.2">
      <c r="A51">
        <v>55</v>
      </c>
      <c r="B51">
        <v>746</v>
      </c>
      <c r="C51">
        <v>225</v>
      </c>
      <c r="D51">
        <v>0.34832998086640898</v>
      </c>
      <c r="E51">
        <v>31.575661274327601</v>
      </c>
      <c r="F51">
        <v>2.5422717692855801</v>
      </c>
      <c r="G51">
        <v>-514.82677726362567</v>
      </c>
      <c r="H51">
        <v>-451.86519966805906</v>
      </c>
      <c r="I51">
        <v>61.778518957529897</v>
      </c>
      <c r="J51">
        <v>36.540898948161399</v>
      </c>
      <c r="K51">
        <v>12.420254064025899</v>
      </c>
      <c r="L51">
        <v>0</v>
      </c>
      <c r="M51">
        <v>1.2382554563563434E-6</v>
      </c>
      <c r="N51">
        <v>0</v>
      </c>
      <c r="O51" s="1">
        <v>1.7653556957116799E-11</v>
      </c>
      <c r="P51">
        <v>0</v>
      </c>
      <c r="Q51">
        <v>100</v>
      </c>
      <c r="AJ51">
        <v>1</v>
      </c>
    </row>
    <row r="52" spans="1:36" x14ac:dyDescent="0.2">
      <c r="A52">
        <v>56</v>
      </c>
      <c r="B52">
        <v>745</v>
      </c>
      <c r="C52">
        <v>225</v>
      </c>
      <c r="D52">
        <v>0.347621175661739</v>
      </c>
      <c r="E52">
        <v>33.714480021879602</v>
      </c>
      <c r="F52">
        <v>2.5422717692855801</v>
      </c>
      <c r="G52">
        <v>-549.63329888601174</v>
      </c>
      <c r="H52">
        <v>-482.51189394913092</v>
      </c>
      <c r="I52">
        <v>65.924868572293605</v>
      </c>
      <c r="J52">
        <v>39.010973813001797</v>
      </c>
      <c r="K52">
        <v>13.2615562306125</v>
      </c>
      <c r="L52">
        <v>0</v>
      </c>
      <c r="M52">
        <v>1.2382554563563432E-6</v>
      </c>
      <c r="N52">
        <v>0</v>
      </c>
      <c r="O52" s="1">
        <v>1.8849343745327602E-11</v>
      </c>
      <c r="P52">
        <v>0</v>
      </c>
      <c r="Q52">
        <v>100</v>
      </c>
      <c r="AJ52">
        <v>1</v>
      </c>
    </row>
    <row r="53" spans="1:36" x14ac:dyDescent="0.2">
      <c r="A53">
        <v>58</v>
      </c>
      <c r="B53">
        <v>759</v>
      </c>
      <c r="C53">
        <v>200</v>
      </c>
      <c r="D53">
        <v>0.38406287845759102</v>
      </c>
      <c r="E53">
        <v>2.0076295454812699E-2</v>
      </c>
      <c r="F53">
        <v>2.5414849045122199</v>
      </c>
      <c r="G53">
        <v>-0.32804486568627039</v>
      </c>
      <c r="H53">
        <v>-0.28719807668327896</v>
      </c>
      <c r="I53">
        <v>3.9574469798955E-2</v>
      </c>
      <c r="J53">
        <v>2.3271930376998699E-2</v>
      </c>
      <c r="K53">
        <v>7.8994352550230407E-3</v>
      </c>
      <c r="L53">
        <v>0</v>
      </c>
      <c r="M53">
        <v>1.2382274289707087E-6</v>
      </c>
      <c r="N53">
        <v>0</v>
      </c>
      <c r="O53" s="1">
        <v>1.1224405475479301E-14</v>
      </c>
      <c r="P53">
        <v>0</v>
      </c>
      <c r="Q53">
        <v>100</v>
      </c>
      <c r="AJ53">
        <v>1</v>
      </c>
    </row>
    <row r="54" spans="1:36" x14ac:dyDescent="0.2">
      <c r="A54">
        <v>59</v>
      </c>
      <c r="B54">
        <v>758</v>
      </c>
      <c r="C54">
        <v>200</v>
      </c>
      <c r="D54">
        <v>0.383397662803666</v>
      </c>
      <c r="E54">
        <v>0.21457951970775399</v>
      </c>
      <c r="F54">
        <v>2.5414849045122199</v>
      </c>
      <c r="G54">
        <v>-3.5057872319620098</v>
      </c>
      <c r="H54">
        <v>-3.0698800413277643</v>
      </c>
      <c r="I54">
        <v>0.42273887468772198</v>
      </c>
      <c r="J54">
        <v>0.24870374223764799</v>
      </c>
      <c r="K54">
        <v>8.4430766960993595E-2</v>
      </c>
      <c r="L54">
        <v>0</v>
      </c>
      <c r="M54">
        <v>1.2382274289707085E-6</v>
      </c>
      <c r="N54">
        <v>0</v>
      </c>
      <c r="O54" s="1">
        <v>1.19968723380989E-13</v>
      </c>
      <c r="P54">
        <v>0</v>
      </c>
      <c r="Q54">
        <v>100</v>
      </c>
      <c r="AJ54">
        <v>1</v>
      </c>
    </row>
    <row r="55" spans="1:36" x14ac:dyDescent="0.2">
      <c r="A55">
        <v>60</v>
      </c>
      <c r="B55">
        <v>757</v>
      </c>
      <c r="C55">
        <v>200</v>
      </c>
      <c r="D55">
        <v>0.38273115565694399</v>
      </c>
      <c r="E55">
        <v>0.40818713421974501</v>
      </c>
      <c r="F55">
        <v>2.5414849045122199</v>
      </c>
      <c r="G55">
        <v>-6.6681328116355258</v>
      </c>
      <c r="H55">
        <v>-5.8401987730617373</v>
      </c>
      <c r="I55">
        <v>0.80370241088558703</v>
      </c>
      <c r="J55">
        <v>0.473040645055679</v>
      </c>
      <c r="K55">
        <v>0.16060970242043801</v>
      </c>
      <c r="L55">
        <v>0</v>
      </c>
      <c r="M55">
        <v>1.2382274289707087E-6</v>
      </c>
      <c r="N55">
        <v>0</v>
      </c>
      <c r="O55" s="1">
        <v>2.2821231709149799E-13</v>
      </c>
      <c r="P55">
        <v>0</v>
      </c>
      <c r="Q55">
        <v>100</v>
      </c>
      <c r="AJ55">
        <v>1</v>
      </c>
    </row>
    <row r="56" spans="1:36" x14ac:dyDescent="0.2">
      <c r="A56">
        <v>61</v>
      </c>
      <c r="B56">
        <v>756</v>
      </c>
      <c r="C56">
        <v>200</v>
      </c>
      <c r="D56">
        <v>0.38206335325268598</v>
      </c>
      <c r="E56">
        <v>0.78197627431178396</v>
      </c>
      <c r="F56">
        <v>2.5414849045122199</v>
      </c>
      <c r="G56">
        <v>-12.772801783668944</v>
      </c>
      <c r="H56">
        <v>-11.189149235838872</v>
      </c>
      <c r="I56">
        <v>1.5387966261770101</v>
      </c>
      <c r="J56">
        <v>0.90610325739382702</v>
      </c>
      <c r="K56">
        <v>0.30768479990711001</v>
      </c>
      <c r="L56">
        <v>0</v>
      </c>
      <c r="M56">
        <v>1.2382274289707085E-6</v>
      </c>
      <c r="N56">
        <v>0</v>
      </c>
      <c r="O56" s="1">
        <v>4.3719314625726999E-13</v>
      </c>
      <c r="P56">
        <v>0</v>
      </c>
      <c r="Q56">
        <v>100</v>
      </c>
      <c r="AJ56">
        <v>1</v>
      </c>
    </row>
    <row r="57" spans="1:36" x14ac:dyDescent="0.2">
      <c r="A57">
        <v>62</v>
      </c>
      <c r="B57">
        <v>755</v>
      </c>
      <c r="C57">
        <v>200</v>
      </c>
      <c r="D57">
        <v>0.38139425181150599</v>
      </c>
      <c r="E57">
        <v>1.4451060235031099</v>
      </c>
      <c r="F57">
        <v>2.5414849045122199</v>
      </c>
      <c r="G57">
        <v>-23.601521315852544</v>
      </c>
      <c r="H57">
        <v>-20.679420619221755</v>
      </c>
      <c r="I57">
        <v>2.8420957026025202</v>
      </c>
      <c r="J57">
        <v>1.6742822337743399</v>
      </c>
      <c r="K57">
        <v>0.56860696710707603</v>
      </c>
      <c r="L57">
        <v>0</v>
      </c>
      <c r="M57">
        <v>1.2382274289707085E-6</v>
      </c>
      <c r="N57">
        <v>0</v>
      </c>
      <c r="O57" s="1">
        <v>8.0794068803007503E-13</v>
      </c>
      <c r="P57">
        <v>0</v>
      </c>
      <c r="Q57">
        <v>100</v>
      </c>
      <c r="AJ57">
        <v>1</v>
      </c>
    </row>
    <row r="58" spans="1:36" x14ac:dyDescent="0.2">
      <c r="A58">
        <v>63</v>
      </c>
      <c r="B58">
        <v>754</v>
      </c>
      <c r="C58">
        <v>200</v>
      </c>
      <c r="D58">
        <v>0.38072384753930699</v>
      </c>
      <c r="E58">
        <v>2.1040226588905901</v>
      </c>
      <c r="F58">
        <v>2.5414849045122199</v>
      </c>
      <c r="G58">
        <v>-34.358833680829427</v>
      </c>
      <c r="H58">
        <v>-30.110933974052372</v>
      </c>
      <c r="I58">
        <v>4.1356176865862304</v>
      </c>
      <c r="J58">
        <v>2.4373847276217502</v>
      </c>
      <c r="K58">
        <v>0.82787139721155001</v>
      </c>
      <c r="L58">
        <v>0</v>
      </c>
      <c r="M58">
        <v>1.2382274289707085E-6</v>
      </c>
      <c r="N58">
        <v>0</v>
      </c>
      <c r="O58" s="1">
        <v>1.17633273061454E-12</v>
      </c>
      <c r="P58">
        <v>0</v>
      </c>
      <c r="Q58">
        <v>100</v>
      </c>
      <c r="AJ58">
        <v>1</v>
      </c>
    </row>
    <row r="59" spans="1:36" x14ac:dyDescent="0.2">
      <c r="A59">
        <v>64</v>
      </c>
      <c r="B59">
        <v>753</v>
      </c>
      <c r="C59">
        <v>200</v>
      </c>
      <c r="D59">
        <v>0.380052136627202</v>
      </c>
      <c r="E59">
        <v>2.76075926055004</v>
      </c>
      <c r="F59">
        <v>2.5414849045122199</v>
      </c>
      <c r="G59">
        <v>-45.077962300909846</v>
      </c>
      <c r="H59">
        <v>-39.512772386145031</v>
      </c>
      <c r="I59">
        <v>5.4233688201187</v>
      </c>
      <c r="J59">
        <v>3.19776686903265</v>
      </c>
      <c r="K59">
        <v>1.08627804778557</v>
      </c>
      <c r="L59">
        <v>0</v>
      </c>
      <c r="M59">
        <v>1.2382274289707085E-6</v>
      </c>
      <c r="N59">
        <v>0</v>
      </c>
      <c r="O59" s="1">
        <v>1.54350594363113E-12</v>
      </c>
      <c r="P59">
        <v>0</v>
      </c>
      <c r="Q59">
        <v>100</v>
      </c>
      <c r="AJ59">
        <v>1</v>
      </c>
    </row>
    <row r="60" spans="1:36" x14ac:dyDescent="0.2">
      <c r="A60">
        <v>65</v>
      </c>
      <c r="B60">
        <v>752</v>
      </c>
      <c r="C60">
        <v>200</v>
      </c>
      <c r="D60">
        <v>0.37937911525142798</v>
      </c>
      <c r="E60">
        <v>8.8443604359226793</v>
      </c>
      <c r="F60">
        <v>2.5414849045122199</v>
      </c>
      <c r="G60">
        <v>-144.39426123042793</v>
      </c>
      <c r="H60">
        <v>-126.59324780499776</v>
      </c>
      <c r="I60">
        <v>17.364301249017299</v>
      </c>
      <c r="J60">
        <v>10.243046737270699</v>
      </c>
      <c r="K60">
        <v>3.47999723320022</v>
      </c>
      <c r="L60">
        <v>0</v>
      </c>
      <c r="M60">
        <v>1.2382274289707085E-6</v>
      </c>
      <c r="N60">
        <v>0</v>
      </c>
      <c r="O60" s="1">
        <v>4.9447712067957904E-12</v>
      </c>
      <c r="P60">
        <v>0</v>
      </c>
      <c r="Q60">
        <v>100</v>
      </c>
      <c r="AJ60">
        <v>1</v>
      </c>
    </row>
    <row r="61" spans="1:36" x14ac:dyDescent="0.2">
      <c r="A61">
        <v>66</v>
      </c>
      <c r="B61">
        <v>751</v>
      </c>
      <c r="C61">
        <v>200</v>
      </c>
      <c r="D61">
        <v>0.378704779573308</v>
      </c>
      <c r="E61">
        <v>26.351421285545999</v>
      </c>
      <c r="F61">
        <v>2.5414849045122199</v>
      </c>
      <c r="G61">
        <v>-430.16525549022469</v>
      </c>
      <c r="H61">
        <v>-377.21007986204012</v>
      </c>
      <c r="I61">
        <v>51.706464510261704</v>
      </c>
      <c r="J61">
        <v>30.514840009432</v>
      </c>
      <c r="K61">
        <v>10.3685137923742</v>
      </c>
      <c r="L61">
        <v>0</v>
      </c>
      <c r="M61">
        <v>1.2382274289707083E-6</v>
      </c>
      <c r="N61">
        <v>0</v>
      </c>
      <c r="O61" s="1">
        <v>1.4732749775967199E-11</v>
      </c>
      <c r="P61">
        <v>0</v>
      </c>
      <c r="Q61">
        <v>100</v>
      </c>
      <c r="AJ61">
        <v>1</v>
      </c>
    </row>
    <row r="62" spans="1:36" x14ac:dyDescent="0.2">
      <c r="A62">
        <v>67</v>
      </c>
      <c r="B62">
        <v>750</v>
      </c>
      <c r="C62">
        <v>200</v>
      </c>
      <c r="D62">
        <v>0.37802912573913899</v>
      </c>
      <c r="E62">
        <v>32.279563611821999</v>
      </c>
      <c r="F62">
        <v>2.5414849045122199</v>
      </c>
      <c r="G62">
        <v>-526.87397756123721</v>
      </c>
      <c r="H62">
        <v>-462.10644877350427</v>
      </c>
      <c r="I62">
        <v>63.302085508217601</v>
      </c>
      <c r="J62">
        <v>37.3748029033748</v>
      </c>
      <c r="K62">
        <v>12.7010644660969</v>
      </c>
      <c r="L62">
        <v>0</v>
      </c>
      <c r="M62">
        <v>1.2382274289707083E-6</v>
      </c>
      <c r="N62">
        <v>0</v>
      </c>
      <c r="O62" s="1">
        <v>1.8047099942622201E-11</v>
      </c>
      <c r="P62">
        <v>0</v>
      </c>
      <c r="Q62">
        <v>100</v>
      </c>
      <c r="AJ62">
        <v>1</v>
      </c>
    </row>
    <row r="63" spans="1:36" x14ac:dyDescent="0.2">
      <c r="A63">
        <v>68</v>
      </c>
      <c r="B63">
        <v>749</v>
      </c>
      <c r="C63">
        <v>200</v>
      </c>
      <c r="D63">
        <v>0.37735214988015597</v>
      </c>
      <c r="E63">
        <v>33.8916487471976</v>
      </c>
      <c r="F63">
        <v>2.5414849045122199</v>
      </c>
      <c r="G63">
        <v>-553.12033345302495</v>
      </c>
      <c r="H63">
        <v>-485.22390965899672</v>
      </c>
      <c r="I63">
        <v>66.425107659372998</v>
      </c>
      <c r="J63">
        <v>39.236298235912997</v>
      </c>
      <c r="K63">
        <v>13.3353728314598</v>
      </c>
      <c r="L63">
        <v>0</v>
      </c>
      <c r="M63">
        <v>1.2382274289707085E-6</v>
      </c>
      <c r="N63">
        <v>0</v>
      </c>
      <c r="O63" s="1">
        <v>1.89483965618703E-11</v>
      </c>
      <c r="P63">
        <v>0</v>
      </c>
      <c r="Q63">
        <v>100</v>
      </c>
      <c r="AJ63">
        <v>1</v>
      </c>
    </row>
    <row r="64" spans="1:36" x14ac:dyDescent="0.2">
      <c r="A64">
        <v>72</v>
      </c>
      <c r="B64">
        <v>762</v>
      </c>
      <c r="C64">
        <v>175</v>
      </c>
      <c r="D64">
        <v>0.41261701202724399</v>
      </c>
      <c r="E64">
        <v>0.271439063773317</v>
      </c>
      <c r="F64">
        <v>2.5406983011149902</v>
      </c>
      <c r="G64">
        <v>-4.439566990195619</v>
      </c>
      <c r="H64">
        <v>-3.8847523738530256</v>
      </c>
      <c r="I64">
        <v>0.53597509186358805</v>
      </c>
      <c r="J64">
        <v>0.31476379107651598</v>
      </c>
      <c r="K64">
        <v>0.106836401494106</v>
      </c>
      <c r="L64">
        <v>0</v>
      </c>
      <c r="M64">
        <v>1.238199309002582E-6</v>
      </c>
      <c r="N64">
        <v>0</v>
      </c>
      <c r="O64" s="1">
        <v>1.5175818270525701E-13</v>
      </c>
      <c r="P64">
        <v>0</v>
      </c>
      <c r="Q64">
        <v>100</v>
      </c>
      <c r="AJ64">
        <v>1</v>
      </c>
    </row>
    <row r="65" spans="1:36" x14ac:dyDescent="0.2">
      <c r="A65">
        <v>73</v>
      </c>
      <c r="B65">
        <v>761</v>
      </c>
      <c r="C65">
        <v>175</v>
      </c>
      <c r="D65">
        <v>0.411981337330175</v>
      </c>
      <c r="E65">
        <v>0.93097791570627098</v>
      </c>
      <c r="F65">
        <v>2.5406983011149902</v>
      </c>
      <c r="G65">
        <v>-15.224927194825264</v>
      </c>
      <c r="H65">
        <v>-13.324949023757387</v>
      </c>
      <c r="I65">
        <v>1.8372365431203099</v>
      </c>
      <c r="J65">
        <v>1.07943722975963</v>
      </c>
      <c r="K65">
        <v>0.36642600000862202</v>
      </c>
      <c r="L65">
        <v>0</v>
      </c>
      <c r="M65">
        <v>1.238199309002582E-6</v>
      </c>
      <c r="N65">
        <v>0</v>
      </c>
      <c r="O65" s="1">
        <v>5.2049809877144299E-13</v>
      </c>
      <c r="P65">
        <v>0</v>
      </c>
      <c r="Q65">
        <v>100</v>
      </c>
      <c r="AJ65">
        <v>1</v>
      </c>
    </row>
    <row r="66" spans="1:36" x14ac:dyDescent="0.2">
      <c r="A66">
        <v>74</v>
      </c>
      <c r="B66">
        <v>760</v>
      </c>
      <c r="C66">
        <v>175</v>
      </c>
      <c r="D66">
        <v>0.41134443207665999</v>
      </c>
      <c r="E66">
        <v>1.58629690794417</v>
      </c>
      <c r="F66">
        <v>2.5406983011149902</v>
      </c>
      <c r="G66">
        <v>-25.938683346718726</v>
      </c>
      <c r="H66">
        <v>-22.706271844645766</v>
      </c>
      <c r="I66">
        <v>3.12869525438993</v>
      </c>
      <c r="J66">
        <v>1.83902639384533</v>
      </c>
      <c r="K66">
        <v>0.62435469305742597</v>
      </c>
      <c r="L66">
        <v>0</v>
      </c>
      <c r="M66">
        <v>1.2381993090025822E-6</v>
      </c>
      <c r="N66">
        <v>0</v>
      </c>
      <c r="O66" s="1">
        <v>8.8687874410596205E-13</v>
      </c>
      <c r="P66">
        <v>0</v>
      </c>
      <c r="Q66">
        <v>100</v>
      </c>
      <c r="AJ66">
        <v>1</v>
      </c>
    </row>
    <row r="67" spans="1:36" x14ac:dyDescent="0.2">
      <c r="A67">
        <v>75</v>
      </c>
      <c r="B67">
        <v>759</v>
      </c>
      <c r="C67">
        <v>175</v>
      </c>
      <c r="D67">
        <v>0.41070629269001901</v>
      </c>
      <c r="E67">
        <v>2.23929764292502</v>
      </c>
      <c r="F67">
        <v>2.5406983011149902</v>
      </c>
      <c r="G67">
        <v>-36.61195334976766</v>
      </c>
      <c r="H67">
        <v>-32.055927635694616</v>
      </c>
      <c r="I67">
        <v>4.4141120128596096</v>
      </c>
      <c r="J67">
        <v>2.5957367960051601</v>
      </c>
      <c r="K67">
        <v>0.88137093725071503</v>
      </c>
      <c r="L67">
        <v>0</v>
      </c>
      <c r="M67">
        <v>1.238199309002582E-6</v>
      </c>
      <c r="N67">
        <v>0</v>
      </c>
      <c r="O67" s="1">
        <v>1.2519632808278E-12</v>
      </c>
      <c r="P67">
        <v>0</v>
      </c>
      <c r="Q67">
        <v>100</v>
      </c>
      <c r="AJ67">
        <v>1</v>
      </c>
    </row>
    <row r="68" spans="1:36" x14ac:dyDescent="0.2">
      <c r="A68">
        <v>76</v>
      </c>
      <c r="B68">
        <v>758</v>
      </c>
      <c r="C68">
        <v>175</v>
      </c>
      <c r="D68">
        <v>0.41006691557969399</v>
      </c>
      <c r="E68">
        <v>3.0908660312825802</v>
      </c>
      <c r="F68">
        <v>2.5406983011149902</v>
      </c>
      <c r="G68">
        <v>-50.528791366340499</v>
      </c>
      <c r="H68">
        <v>-44.249856964034997</v>
      </c>
      <c r="I68">
        <v>6.0892541359700196</v>
      </c>
      <c r="J68">
        <v>3.5824012924539299</v>
      </c>
      <c r="K68">
        <v>1.21654193649286</v>
      </c>
      <c r="L68">
        <v>0</v>
      </c>
      <c r="M68">
        <v>1.2381993090025817E-6</v>
      </c>
      <c r="N68">
        <v>0</v>
      </c>
      <c r="O68" s="1">
        <v>1.72806450690007E-12</v>
      </c>
      <c r="P68">
        <v>0</v>
      </c>
      <c r="Q68">
        <v>100</v>
      </c>
      <c r="AJ68">
        <v>1</v>
      </c>
    </row>
    <row r="69" spans="1:36" x14ac:dyDescent="0.2">
      <c r="A69">
        <v>77</v>
      </c>
      <c r="B69">
        <v>757</v>
      </c>
      <c r="C69">
        <v>175</v>
      </c>
      <c r="D69">
        <v>0.40942629714119499</v>
      </c>
      <c r="E69">
        <v>9.4426213766870806</v>
      </c>
      <c r="F69">
        <v>2.5406983011149902</v>
      </c>
      <c r="G69">
        <v>-154.34727954936062</v>
      </c>
      <c r="H69">
        <v>-135.19462382916586</v>
      </c>
      <c r="I69">
        <v>18.592103790899099</v>
      </c>
      <c r="J69">
        <v>10.9428821552223</v>
      </c>
      <c r="K69">
        <v>3.7165457120757401</v>
      </c>
      <c r="L69">
        <v>0</v>
      </c>
      <c r="M69">
        <v>1.2381993090025817E-6</v>
      </c>
      <c r="N69">
        <v>0</v>
      </c>
      <c r="O69" s="1">
        <v>5.2792514097991597E-12</v>
      </c>
      <c r="P69">
        <v>0</v>
      </c>
      <c r="Q69">
        <v>100</v>
      </c>
      <c r="AJ69">
        <v>1</v>
      </c>
    </row>
    <row r="70" spans="1:36" x14ac:dyDescent="0.2">
      <c r="A70">
        <v>78</v>
      </c>
      <c r="B70">
        <v>756</v>
      </c>
      <c r="C70">
        <v>175</v>
      </c>
      <c r="D70">
        <v>0.40878443375601398</v>
      </c>
      <c r="E70">
        <v>26.100273200378599</v>
      </c>
      <c r="F70">
        <v>2.5406983011149902</v>
      </c>
      <c r="G70">
        <v>-426.57868858276504</v>
      </c>
      <c r="H70">
        <v>-373.72060898282018</v>
      </c>
      <c r="I70">
        <v>51.360909099688897</v>
      </c>
      <c r="J70">
        <v>30.243299371896899</v>
      </c>
      <c r="K70">
        <v>10.2728738744479</v>
      </c>
      <c r="L70">
        <v>0</v>
      </c>
      <c r="M70">
        <v>1.238199309002582E-6</v>
      </c>
      <c r="N70">
        <v>0</v>
      </c>
      <c r="O70" s="1">
        <v>1.4592336025399902E-11</v>
      </c>
      <c r="P70">
        <v>0</v>
      </c>
      <c r="Q70">
        <v>100</v>
      </c>
      <c r="AJ70">
        <v>1</v>
      </c>
    </row>
    <row r="71" spans="1:36" x14ac:dyDescent="0.2">
      <c r="A71">
        <v>79</v>
      </c>
      <c r="B71">
        <v>755</v>
      </c>
      <c r="C71">
        <v>175</v>
      </c>
      <c r="D71">
        <v>0.40814132179156798</v>
      </c>
      <c r="E71">
        <v>31.953518377935399</v>
      </c>
      <c r="F71">
        <v>2.5406983011149902</v>
      </c>
      <c r="G71">
        <v>-522.18033001089759</v>
      </c>
      <c r="H71">
        <v>-457.56818613122118</v>
      </c>
      <c r="I71">
        <v>62.843110324054201</v>
      </c>
      <c r="J71">
        <v>37.020957117783503</v>
      </c>
      <c r="K71">
        <v>12.5766677467814</v>
      </c>
      <c r="L71">
        <v>0</v>
      </c>
      <c r="M71">
        <v>1.238199309002582E-6</v>
      </c>
      <c r="N71">
        <v>0</v>
      </c>
      <c r="O71" s="1">
        <v>1.7864812133761899E-11</v>
      </c>
      <c r="P71">
        <v>0</v>
      </c>
      <c r="Q71">
        <v>100</v>
      </c>
      <c r="AJ71">
        <v>1</v>
      </c>
    </row>
    <row r="72" spans="1:36" x14ac:dyDescent="0.2">
      <c r="A72">
        <v>80</v>
      </c>
      <c r="B72">
        <v>754</v>
      </c>
      <c r="C72">
        <v>175</v>
      </c>
      <c r="D72">
        <v>0.40749695760112897</v>
      </c>
      <c r="E72">
        <v>33.700303891471798</v>
      </c>
      <c r="F72">
        <v>2.5406983011149902</v>
      </c>
      <c r="G72">
        <v>-550.65981700003772</v>
      </c>
      <c r="H72">
        <v>-482.62085819226365</v>
      </c>
      <c r="I72">
        <v>66.2405284600828</v>
      </c>
      <c r="J72">
        <v>39.039791550817398</v>
      </c>
      <c r="K72">
        <v>13.2641895642163</v>
      </c>
      <c r="L72">
        <v>0</v>
      </c>
      <c r="M72">
        <v>1.238199309002582E-6</v>
      </c>
      <c r="N72">
        <v>0</v>
      </c>
      <c r="O72" s="1">
        <v>1.88414180482722E-11</v>
      </c>
      <c r="P72">
        <v>0</v>
      </c>
      <c r="Q72">
        <v>100</v>
      </c>
      <c r="AJ72">
        <v>1</v>
      </c>
    </row>
    <row r="73" spans="1:36" x14ac:dyDescent="0.2">
      <c r="A73">
        <v>89</v>
      </c>
      <c r="B73">
        <v>768</v>
      </c>
      <c r="C73">
        <v>150</v>
      </c>
      <c r="D73">
        <v>0.442818517984921</v>
      </c>
      <c r="E73">
        <v>0.64438461418579196</v>
      </c>
      <c r="F73">
        <v>2.53991195906073</v>
      </c>
      <c r="G73">
        <v>-10.553329162345419</v>
      </c>
      <c r="H73">
        <v>-9.2240908733960829</v>
      </c>
      <c r="I73">
        <v>1.2767020015841399</v>
      </c>
      <c r="J73">
        <v>0.74779304443801797</v>
      </c>
      <c r="K73">
        <v>0.253703523811938</v>
      </c>
      <c r="L73">
        <v>0</v>
      </c>
      <c r="M73">
        <v>1.2381710965453893E-6</v>
      </c>
      <c r="N73">
        <v>0</v>
      </c>
      <c r="O73" s="1">
        <v>3.6026737144116698E-13</v>
      </c>
      <c r="P73">
        <v>0</v>
      </c>
      <c r="Q73">
        <v>100</v>
      </c>
      <c r="AJ73">
        <v>1</v>
      </c>
    </row>
    <row r="74" spans="1:36" x14ac:dyDescent="0.2">
      <c r="A74">
        <v>90</v>
      </c>
      <c r="B74">
        <v>767</v>
      </c>
      <c r="C74">
        <v>150</v>
      </c>
      <c r="D74">
        <v>0.44221554583473799</v>
      </c>
      <c r="E74">
        <v>1.2916740547949599</v>
      </c>
      <c r="F74">
        <v>2.53991195906073</v>
      </c>
      <c r="G74">
        <v>-21.151673320253408</v>
      </c>
      <c r="H74">
        <v>-18.491261962409279</v>
      </c>
      <c r="I74">
        <v>2.5577189423103599</v>
      </c>
      <c r="J74">
        <v>1.4987718511118699</v>
      </c>
      <c r="K74">
        <v>0.50855071971574495</v>
      </c>
      <c r="L74">
        <v>0</v>
      </c>
      <c r="M74">
        <v>1.2381710965453891E-6</v>
      </c>
      <c r="N74">
        <v>0</v>
      </c>
      <c r="O74" s="1">
        <v>7.2215879497328495E-13</v>
      </c>
      <c r="P74">
        <v>0</v>
      </c>
      <c r="Q74">
        <v>100</v>
      </c>
      <c r="AJ74">
        <v>1</v>
      </c>
    </row>
    <row r="75" spans="1:36" x14ac:dyDescent="0.2">
      <c r="A75">
        <v>91</v>
      </c>
      <c r="B75">
        <v>766</v>
      </c>
      <c r="C75">
        <v>150</v>
      </c>
      <c r="D75">
        <v>0.44161141317423203</v>
      </c>
      <c r="E75">
        <v>1.9371845227709199</v>
      </c>
      <c r="F75">
        <v>2.53991195906073</v>
      </c>
      <c r="G75">
        <v>-31.718327589779655</v>
      </c>
      <c r="H75">
        <v>-27.734465645575078</v>
      </c>
      <c r="I75">
        <v>3.8337698544046299</v>
      </c>
      <c r="J75">
        <v>2.2475004796202702</v>
      </c>
      <c r="K75">
        <v>0.76269750841572403</v>
      </c>
      <c r="L75">
        <v>0</v>
      </c>
      <c r="M75">
        <v>1.2381710965453893E-6</v>
      </c>
      <c r="N75">
        <v>0</v>
      </c>
      <c r="O75" s="1">
        <v>1.08305561717519E-12</v>
      </c>
      <c r="P75">
        <v>0</v>
      </c>
      <c r="Q75">
        <v>100</v>
      </c>
      <c r="AJ75">
        <v>1</v>
      </c>
    </row>
    <row r="76" spans="1:36" x14ac:dyDescent="0.2">
      <c r="A76">
        <v>92</v>
      </c>
      <c r="B76">
        <v>765</v>
      </c>
      <c r="C76">
        <v>150</v>
      </c>
      <c r="D76">
        <v>0.44100611664981298</v>
      </c>
      <c r="E76">
        <v>2.5834632809539402</v>
      </c>
      <c r="F76">
        <v>2.53991195906073</v>
      </c>
      <c r="G76">
        <v>-42.295007052396272</v>
      </c>
      <c r="H76">
        <v>-36.990167299319737</v>
      </c>
      <c r="I76">
        <v>5.1098971758190403</v>
      </c>
      <c r="J76">
        <v>2.99693403798452</v>
      </c>
      <c r="K76">
        <v>1.01714678405991</v>
      </c>
      <c r="L76">
        <v>0</v>
      </c>
      <c r="M76">
        <v>1.2381710965453891E-6</v>
      </c>
      <c r="N76">
        <v>0</v>
      </c>
      <c r="O76" s="1">
        <v>1.44438198081448E-12</v>
      </c>
      <c r="P76">
        <v>0</v>
      </c>
      <c r="Q76">
        <v>100</v>
      </c>
      <c r="AJ76">
        <v>1</v>
      </c>
    </row>
    <row r="77" spans="1:36" x14ac:dyDescent="0.2">
      <c r="A77">
        <v>93</v>
      </c>
      <c r="B77">
        <v>764</v>
      </c>
      <c r="C77">
        <v>150</v>
      </c>
      <c r="D77">
        <v>0.44039965289495597</v>
      </c>
      <c r="E77">
        <v>5.6537673195025597</v>
      </c>
      <c r="F77">
        <v>2.53991195906073</v>
      </c>
      <c r="G77">
        <v>-92.54911746063668</v>
      </c>
      <c r="H77">
        <v>-80.957505173711652</v>
      </c>
      <c r="I77">
        <v>11.1764087035867</v>
      </c>
      <c r="J77">
        <v>6.5578093712909498</v>
      </c>
      <c r="K77">
        <v>2.2259698015648302</v>
      </c>
      <c r="L77">
        <v>0</v>
      </c>
      <c r="M77">
        <v>1.2381710965453889E-6</v>
      </c>
      <c r="N77">
        <v>0</v>
      </c>
      <c r="O77" s="1">
        <v>3.16095053497022E-12</v>
      </c>
      <c r="P77">
        <v>0</v>
      </c>
      <c r="Q77">
        <v>100</v>
      </c>
      <c r="AJ77">
        <v>1</v>
      </c>
    </row>
    <row r="78" spans="1:36" x14ac:dyDescent="0.2">
      <c r="A78">
        <v>94</v>
      </c>
      <c r="B78">
        <v>763</v>
      </c>
      <c r="C78">
        <v>150</v>
      </c>
      <c r="D78">
        <v>0.43979201853014099</v>
      </c>
      <c r="E78">
        <v>10.787092352356799</v>
      </c>
      <c r="F78">
        <v>2.53991195906073</v>
      </c>
      <c r="G78">
        <v>-176.55755780633308</v>
      </c>
      <c r="H78">
        <v>-154.47519695390801</v>
      </c>
      <c r="I78">
        <v>21.311934423032401</v>
      </c>
      <c r="J78">
        <v>12.5103971389708</v>
      </c>
      <c r="K78">
        <v>4.2470339626834797</v>
      </c>
      <c r="L78">
        <v>0</v>
      </c>
      <c r="M78">
        <v>1.2381710965453891E-6</v>
      </c>
      <c r="N78">
        <v>0</v>
      </c>
      <c r="O78" s="1">
        <v>6.0309283023263302E-12</v>
      </c>
      <c r="P78">
        <v>0</v>
      </c>
      <c r="Q78">
        <v>100</v>
      </c>
      <c r="AJ78">
        <v>1</v>
      </c>
    </row>
    <row r="79" spans="1:36" x14ac:dyDescent="0.2">
      <c r="A79">
        <v>95</v>
      </c>
      <c r="B79">
        <v>762</v>
      </c>
      <c r="C79">
        <v>150</v>
      </c>
      <c r="D79">
        <v>0.439183210162781</v>
      </c>
      <c r="E79">
        <v>26.8451225375955</v>
      </c>
      <c r="F79">
        <v>2.53991195906073</v>
      </c>
      <c r="G79">
        <v>-439.33408188829259</v>
      </c>
      <c r="H79">
        <v>-384.46332690438857</v>
      </c>
      <c r="I79">
        <v>53.007539954503201</v>
      </c>
      <c r="J79">
        <v>31.1299060068371</v>
      </c>
      <c r="K79">
        <v>10.569312232193599</v>
      </c>
      <c r="L79">
        <v>0</v>
      </c>
      <c r="M79">
        <v>1.2381710965453893E-6</v>
      </c>
      <c r="N79">
        <v>0</v>
      </c>
      <c r="O79" s="1">
        <v>1.5008771965879101E-11</v>
      </c>
      <c r="P79">
        <v>0</v>
      </c>
      <c r="Q79">
        <v>100</v>
      </c>
      <c r="AJ79">
        <v>1</v>
      </c>
    </row>
    <row r="80" spans="1:36" x14ac:dyDescent="0.2">
      <c r="A80">
        <v>96</v>
      </c>
      <c r="B80">
        <v>761</v>
      </c>
      <c r="C80">
        <v>150</v>
      </c>
      <c r="D80">
        <v>0.43857322438717999</v>
      </c>
      <c r="E80">
        <v>31.840389810111599</v>
      </c>
      <c r="F80">
        <v>2.53991195906073</v>
      </c>
      <c r="G80">
        <v>-521.02131784898449</v>
      </c>
      <c r="H80">
        <v>-456.04013561373273</v>
      </c>
      <c r="I80">
        <v>62.835354866558603</v>
      </c>
      <c r="J80">
        <v>36.917849060919799</v>
      </c>
      <c r="K80">
        <v>12.536021060307201</v>
      </c>
      <c r="L80">
        <v>0</v>
      </c>
      <c r="M80">
        <v>1.2381710965453893E-6</v>
      </c>
      <c r="N80">
        <v>0</v>
      </c>
      <c r="O80" s="1">
        <v>1.7801563367625101E-11</v>
      </c>
      <c r="P80">
        <v>0</v>
      </c>
      <c r="Q80">
        <v>100</v>
      </c>
      <c r="AJ80">
        <v>1</v>
      </c>
    </row>
    <row r="81" spans="1:36" x14ac:dyDescent="0.2">
      <c r="A81">
        <v>97</v>
      </c>
      <c r="B81">
        <v>760</v>
      </c>
      <c r="C81">
        <v>150</v>
      </c>
      <c r="D81">
        <v>0.43796205778444602</v>
      </c>
      <c r="E81">
        <v>33.572572230991597</v>
      </c>
      <c r="F81">
        <v>2.53991195906073</v>
      </c>
      <c r="G81">
        <v>-549.29970979013194</v>
      </c>
      <c r="H81">
        <v>-480.88857686150897</v>
      </c>
      <c r="I81">
        <v>66.216070201444893</v>
      </c>
      <c r="J81">
        <v>38.921368460642</v>
      </c>
      <c r="K81">
        <v>13.2180062821574</v>
      </c>
      <c r="L81">
        <v>0</v>
      </c>
      <c r="M81">
        <v>1.2381710965453891E-6</v>
      </c>
      <c r="N81">
        <v>0</v>
      </c>
      <c r="O81" s="1">
        <v>1.8770004875831401E-11</v>
      </c>
      <c r="P81">
        <v>0</v>
      </c>
      <c r="Q81">
        <v>100</v>
      </c>
      <c r="AJ81">
        <v>1</v>
      </c>
    </row>
    <row r="82" spans="1:36" x14ac:dyDescent="0.2">
      <c r="A82">
        <v>109</v>
      </c>
      <c r="B82">
        <v>777</v>
      </c>
      <c r="C82">
        <v>125</v>
      </c>
      <c r="D82">
        <v>0.47438032662001101</v>
      </c>
      <c r="E82">
        <v>0.43636553510270898</v>
      </c>
      <c r="F82">
        <v>2.5391258783161499</v>
      </c>
      <c r="G82">
        <v>-7.1586189071245743</v>
      </c>
      <c r="H82">
        <v>-6.2461222003185615</v>
      </c>
      <c r="I82">
        <v>0.86892035119364996</v>
      </c>
      <c r="J82">
        <v>0.50694902080753801</v>
      </c>
      <c r="K82">
        <v>0.17185659790608299</v>
      </c>
      <c r="L82">
        <v>0</v>
      </c>
      <c r="M82">
        <v>1.2381427916924879E-6</v>
      </c>
      <c r="N82">
        <v>0</v>
      </c>
      <c r="O82" s="1">
        <v>2.4396650829041099E-13</v>
      </c>
      <c r="P82">
        <v>0</v>
      </c>
      <c r="Q82">
        <v>100</v>
      </c>
      <c r="AJ82">
        <v>1</v>
      </c>
    </row>
    <row r="83" spans="1:36" x14ac:dyDescent="0.2">
      <c r="A83">
        <v>110</v>
      </c>
      <c r="B83">
        <v>776</v>
      </c>
      <c r="C83">
        <v>125</v>
      </c>
      <c r="D83">
        <v>0.47381261020826598</v>
      </c>
      <c r="E83">
        <v>1.07227167039936</v>
      </c>
      <c r="F83">
        <v>2.5391258783161499</v>
      </c>
      <c r="G83">
        <v>-17.588586118969619</v>
      </c>
      <c r="H83">
        <v>-15.349707757862173</v>
      </c>
      <c r="I83">
        <v>2.1339926236548101</v>
      </c>
      <c r="J83">
        <v>1.24556412195586</v>
      </c>
      <c r="K83">
        <v>0.42229953211711202</v>
      </c>
      <c r="L83">
        <v>0</v>
      </c>
      <c r="M83">
        <v>1.2381427916924881E-6</v>
      </c>
      <c r="N83">
        <v>0</v>
      </c>
      <c r="O83" s="1">
        <v>5.9949366831751601E-13</v>
      </c>
      <c r="P83">
        <v>0</v>
      </c>
      <c r="Q83">
        <v>100</v>
      </c>
      <c r="AJ83">
        <v>1</v>
      </c>
    </row>
    <row r="84" spans="1:36" x14ac:dyDescent="0.2">
      <c r="A84">
        <v>111</v>
      </c>
      <c r="B84">
        <v>775</v>
      </c>
      <c r="C84">
        <v>125</v>
      </c>
      <c r="D84">
        <v>0.473243810523307</v>
      </c>
      <c r="E84">
        <v>1.7071070152673899</v>
      </c>
      <c r="F84">
        <v>2.5391258783161499</v>
      </c>
      <c r="G84">
        <v>-27.998461249095978</v>
      </c>
      <c r="H84">
        <v>-24.439440769957251</v>
      </c>
      <c r="I84">
        <v>3.3955259067296901</v>
      </c>
      <c r="J84">
        <v>1.9827561164959699</v>
      </c>
      <c r="K84">
        <v>0.67232075016283899</v>
      </c>
      <c r="L84">
        <v>0</v>
      </c>
      <c r="M84">
        <v>1.2381427916924884E-6</v>
      </c>
      <c r="N84">
        <v>0</v>
      </c>
      <c r="O84" s="1">
        <v>9.5442216282003905E-13</v>
      </c>
      <c r="P84">
        <v>0</v>
      </c>
      <c r="Q84">
        <v>100</v>
      </c>
      <c r="AJ84">
        <v>1</v>
      </c>
    </row>
    <row r="85" spans="1:36" x14ac:dyDescent="0.2">
      <c r="A85">
        <v>112</v>
      </c>
      <c r="B85">
        <v>774</v>
      </c>
      <c r="C85">
        <v>125</v>
      </c>
      <c r="D85">
        <v>0.47267392446163797</v>
      </c>
      <c r="E85">
        <v>2.3434438179127799</v>
      </c>
      <c r="F85">
        <v>2.5391258783161499</v>
      </c>
      <c r="G85">
        <v>-38.430435427578054</v>
      </c>
      <c r="H85">
        <v>-33.552145277619928</v>
      </c>
      <c r="I85">
        <v>4.6586354867575102</v>
      </c>
      <c r="J85">
        <v>2.7215121147419601</v>
      </c>
      <c r="K85">
        <v>0.92293329681900904</v>
      </c>
      <c r="L85">
        <v>0</v>
      </c>
      <c r="M85">
        <v>1.2381427916924881E-6</v>
      </c>
      <c r="N85">
        <v>0</v>
      </c>
      <c r="O85" s="1">
        <v>1.3101901035707599E-12</v>
      </c>
      <c r="P85">
        <v>0</v>
      </c>
      <c r="Q85">
        <v>100</v>
      </c>
      <c r="AJ85">
        <v>1</v>
      </c>
    </row>
    <row r="86" spans="1:36" x14ac:dyDescent="0.2">
      <c r="A86">
        <v>113</v>
      </c>
      <c r="B86">
        <v>773</v>
      </c>
      <c r="C86">
        <v>125</v>
      </c>
      <c r="D86">
        <v>0.472102948907902</v>
      </c>
      <c r="E86">
        <v>2.9848977582480498</v>
      </c>
      <c r="F86">
        <v>2.5391258783161499</v>
      </c>
      <c r="G86">
        <v>-48.943788628019334</v>
      </c>
      <c r="H86">
        <v>-42.73959776566906</v>
      </c>
      <c r="I86">
        <v>5.9304983629023296</v>
      </c>
      <c r="J86">
        <v>3.46602939097499</v>
      </c>
      <c r="K86">
        <v>1.17556115816815</v>
      </c>
      <c r="L86">
        <v>0</v>
      </c>
      <c r="M86">
        <v>1.2381427916924886E-6</v>
      </c>
      <c r="N86">
        <v>0</v>
      </c>
      <c r="O86" s="1">
        <v>1.66881897194802E-12</v>
      </c>
      <c r="P86">
        <v>0</v>
      </c>
      <c r="Q86">
        <v>100</v>
      </c>
      <c r="AJ86">
        <v>1</v>
      </c>
    </row>
    <row r="87" spans="1:36" x14ac:dyDescent="0.2">
      <c r="A87">
        <v>114</v>
      </c>
      <c r="B87">
        <v>772</v>
      </c>
      <c r="C87">
        <v>125</v>
      </c>
      <c r="D87">
        <v>0.47153088073482102</v>
      </c>
      <c r="E87">
        <v>7.0973878010270699</v>
      </c>
      <c r="F87">
        <v>2.5391258783161499</v>
      </c>
      <c r="G87">
        <v>-116.36276924346855</v>
      </c>
      <c r="H87">
        <v>-101.63299470378196</v>
      </c>
      <c r="I87">
        <v>14.093455044430501</v>
      </c>
      <c r="J87">
        <v>8.2403992331626199</v>
      </c>
      <c r="K87">
        <v>2.7952091157189001</v>
      </c>
      <c r="L87">
        <v>0</v>
      </c>
      <c r="M87">
        <v>1.2381427916924881E-6</v>
      </c>
      <c r="N87">
        <v>0</v>
      </c>
      <c r="O87" s="1">
        <v>3.9680606750759402E-12</v>
      </c>
      <c r="P87">
        <v>0</v>
      </c>
      <c r="Q87">
        <v>100</v>
      </c>
      <c r="AJ87">
        <v>1</v>
      </c>
    </row>
    <row r="88" spans="1:36" x14ac:dyDescent="0.2">
      <c r="A88">
        <v>115</v>
      </c>
      <c r="B88">
        <v>771</v>
      </c>
      <c r="C88">
        <v>125</v>
      </c>
      <c r="D88">
        <v>0.47095771680314102</v>
      </c>
      <c r="E88">
        <v>15.599593170087999</v>
      </c>
      <c r="F88">
        <v>2.5391258783161499</v>
      </c>
      <c r="G88">
        <v>-255.72677167636346</v>
      </c>
      <c r="H88">
        <v>-223.4007713112706</v>
      </c>
      <c r="I88">
        <v>30.9591537280015</v>
      </c>
      <c r="J88">
        <v>18.1096395297924</v>
      </c>
      <c r="K88">
        <v>6.1436864171669496</v>
      </c>
      <c r="L88">
        <v>0</v>
      </c>
      <c r="M88">
        <v>1.2381427916924881E-6</v>
      </c>
      <c r="N88">
        <v>0</v>
      </c>
      <c r="O88" s="1">
        <v>8.7215372670564905E-12</v>
      </c>
      <c r="P88">
        <v>0</v>
      </c>
      <c r="Q88">
        <v>100</v>
      </c>
      <c r="AJ88">
        <v>1</v>
      </c>
    </row>
    <row r="89" spans="1:36" x14ac:dyDescent="0.2">
      <c r="A89">
        <v>116</v>
      </c>
      <c r="B89">
        <v>770</v>
      </c>
      <c r="C89">
        <v>125</v>
      </c>
      <c r="D89">
        <v>0.47038345396155901</v>
      </c>
      <c r="E89">
        <v>25.481337580365899</v>
      </c>
      <c r="F89">
        <v>2.5391258783161499</v>
      </c>
      <c r="G89">
        <v>-417.66932424257232</v>
      </c>
      <c r="H89">
        <v>-364.94617756724529</v>
      </c>
      <c r="I89">
        <v>50.542248646241603</v>
      </c>
      <c r="J89">
        <v>29.577771596357199</v>
      </c>
      <c r="K89">
        <v>10.035476302287099</v>
      </c>
      <c r="L89">
        <v>0</v>
      </c>
      <c r="M89">
        <v>1.2381427916924884E-6</v>
      </c>
      <c r="N89">
        <v>0</v>
      </c>
      <c r="O89" s="1">
        <v>1.4246296868032599E-11</v>
      </c>
      <c r="P89">
        <v>0</v>
      </c>
      <c r="Q89">
        <v>100</v>
      </c>
      <c r="AJ89">
        <v>1</v>
      </c>
    </row>
    <row r="90" spans="1:36" x14ac:dyDescent="0.2">
      <c r="A90">
        <v>117</v>
      </c>
      <c r="B90">
        <v>769</v>
      </c>
      <c r="C90">
        <v>125</v>
      </c>
      <c r="D90">
        <v>0.46980808904668597</v>
      </c>
      <c r="E90">
        <v>30.960423854733801</v>
      </c>
      <c r="F90">
        <v>2.5391258783161499</v>
      </c>
      <c r="G90">
        <v>-507.41664947938159</v>
      </c>
      <c r="H90">
        <v>-443.45411578384636</v>
      </c>
      <c r="I90">
        <v>61.375554090615701</v>
      </c>
      <c r="J90">
        <v>35.9332668300842</v>
      </c>
      <c r="K90">
        <v>12.193339494954699</v>
      </c>
      <c r="L90">
        <v>0</v>
      </c>
      <c r="M90">
        <v>1.2381427916924879E-6</v>
      </c>
      <c r="N90">
        <v>0</v>
      </c>
      <c r="O90" s="1">
        <v>1.7309585417310101E-11</v>
      </c>
      <c r="P90">
        <v>0</v>
      </c>
      <c r="Q90">
        <v>100</v>
      </c>
      <c r="AJ90">
        <v>1</v>
      </c>
    </row>
    <row r="91" spans="1:36" x14ac:dyDescent="0.2">
      <c r="A91">
        <v>118</v>
      </c>
      <c r="B91">
        <v>768</v>
      </c>
      <c r="C91">
        <v>125</v>
      </c>
      <c r="D91">
        <v>0.46923161888296799</v>
      </c>
      <c r="E91">
        <v>33.091817396036497</v>
      </c>
      <c r="F91">
        <v>2.5391258783161499</v>
      </c>
      <c r="G91">
        <v>-542.2829070134236</v>
      </c>
      <c r="H91">
        <v>-474.02101843728065</v>
      </c>
      <c r="I91">
        <v>65.563932743738107</v>
      </c>
      <c r="J91">
        <v>38.402268353096098</v>
      </c>
      <c r="K91">
        <v>13.0327596905048</v>
      </c>
      <c r="L91">
        <v>0</v>
      </c>
      <c r="M91">
        <v>1.2381427916924881E-6</v>
      </c>
      <c r="N91">
        <v>0</v>
      </c>
      <c r="O91" s="1">
        <v>1.85012208656549E-11</v>
      </c>
      <c r="P91">
        <v>0</v>
      </c>
      <c r="Q91">
        <v>100</v>
      </c>
      <c r="AJ9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116DA-E58C-4F53-88D7-463E9EDA6A6D}">
  <sheetPr codeName="Sheet13"/>
  <dimension ref="A1:AJ11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759</v>
      </c>
      <c r="C2">
        <v>275</v>
      </c>
      <c r="D2">
        <v>0.30413263576031102</v>
      </c>
      <c r="E2">
        <v>4.4332397005176203</v>
      </c>
      <c r="F2">
        <v>0.55260059012820195</v>
      </c>
      <c r="G2">
        <v>-96.142778120456285</v>
      </c>
      <c r="H2">
        <v>-56.400710207949523</v>
      </c>
      <c r="I2">
        <v>38.506617143337202</v>
      </c>
      <c r="J2">
        <v>17.101175203461899</v>
      </c>
      <c r="K2">
        <v>8.0225026532981296</v>
      </c>
      <c r="L2">
        <v>1.1980811684997579E-3</v>
      </c>
      <c r="M2">
        <v>1.9496228951073604E-4</v>
      </c>
      <c r="N2" s="1">
        <v>6.1404651078242499E-6</v>
      </c>
      <c r="O2" s="1">
        <v>1.2736509166348601E-6</v>
      </c>
      <c r="P2" s="1">
        <v>-4.6983771811031702E-6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275</v>
      </c>
      <c r="D3">
        <v>0.303389904475587</v>
      </c>
      <c r="E3">
        <v>4.4345491282628</v>
      </c>
      <c r="F3">
        <v>0.55326323210226602</v>
      </c>
      <c r="G3">
        <v>-96.132665716585947</v>
      </c>
      <c r="H3">
        <v>-56.434478930738791</v>
      </c>
      <c r="I3">
        <v>38.501405719023197</v>
      </c>
      <c r="J3">
        <v>17.113526644254801</v>
      </c>
      <c r="K3">
        <v>8.0152608576799693</v>
      </c>
      <c r="L3">
        <v>1.1987485172768261E-3</v>
      </c>
      <c r="M3">
        <v>1.9460985494651055E-4</v>
      </c>
      <c r="N3" s="1">
        <v>6.1901830379284699E-6</v>
      </c>
      <c r="O3" s="1">
        <v>1.26964471224364E-6</v>
      </c>
      <c r="P3" s="1">
        <v>-4.69764527645485E-6</v>
      </c>
      <c r="AE3">
        <v>100</v>
      </c>
      <c r="AJ3">
        <v>1</v>
      </c>
    </row>
    <row r="4" spans="1:36" x14ac:dyDescent="0.2">
      <c r="A4">
        <v>3</v>
      </c>
      <c r="B4">
        <v>757</v>
      </c>
      <c r="C4">
        <v>275</v>
      </c>
      <c r="D4">
        <v>0.30264573120419402</v>
      </c>
      <c r="E4">
        <v>4.4463671023043503</v>
      </c>
      <c r="F4">
        <v>0.553927036865275</v>
      </c>
      <c r="G4">
        <v>-96.350261429393015</v>
      </c>
      <c r="H4">
        <v>-56.602038341395541</v>
      </c>
      <c r="I4">
        <v>38.587358707267498</v>
      </c>
      <c r="J4">
        <v>17.166442508873299</v>
      </c>
      <c r="K4">
        <v>8.0269905716585903</v>
      </c>
      <c r="L4">
        <v>1.1994105535029587E-3</v>
      </c>
      <c r="M4">
        <v>1.9425669200678959E-4</v>
      </c>
      <c r="N4" s="1">
        <v>6.2547711980095704E-6</v>
      </c>
      <c r="O4" s="1">
        <v>1.2686321375821399E-6</v>
      </c>
      <c r="P4" s="1">
        <v>-4.70798597235454E-6</v>
      </c>
      <c r="AE4">
        <v>100</v>
      </c>
      <c r="AJ4">
        <v>1</v>
      </c>
    </row>
    <row r="5" spans="1:36" x14ac:dyDescent="0.2">
      <c r="A5">
        <v>4</v>
      </c>
      <c r="B5">
        <v>756</v>
      </c>
      <c r="C5">
        <v>275</v>
      </c>
      <c r="D5">
        <v>0.30190011174270298</v>
      </c>
      <c r="E5">
        <v>4.45914417975305</v>
      </c>
      <c r="F5">
        <v>0.55459200373927897</v>
      </c>
      <c r="G5">
        <v>-96.588443590933693</v>
      </c>
      <c r="H5">
        <v>-56.781909351985192</v>
      </c>
      <c r="I5">
        <v>38.681519734801498</v>
      </c>
      <c r="J5">
        <v>17.223090347243101</v>
      </c>
      <c r="K5">
        <v>8.0404047474318592</v>
      </c>
      <c r="L5">
        <v>1.2000672419984482E-3</v>
      </c>
      <c r="M5">
        <v>1.9390280436198254E-4</v>
      </c>
      <c r="N5" s="1">
        <v>6.3210322079959902E-6</v>
      </c>
      <c r="O5" s="1">
        <v>1.26786689511996E-6</v>
      </c>
      <c r="P5" s="1">
        <v>-4.7192766902758598E-6</v>
      </c>
      <c r="AE5">
        <v>100</v>
      </c>
      <c r="AJ5">
        <v>1</v>
      </c>
    </row>
    <row r="6" spans="1:36" x14ac:dyDescent="0.2">
      <c r="A6">
        <v>5</v>
      </c>
      <c r="B6">
        <v>755</v>
      </c>
      <c r="C6">
        <v>275</v>
      </c>
      <c r="D6">
        <v>0.30115304187132302</v>
      </c>
      <c r="E6">
        <v>4.4718507380690804</v>
      </c>
      <c r="F6">
        <v>0.55525813201767704</v>
      </c>
      <c r="G6">
        <v>-96.824893928100167</v>
      </c>
      <c r="H6">
        <v>-56.960988126158625</v>
      </c>
      <c r="I6">
        <v>38.7749500262967</v>
      </c>
      <c r="J6">
        <v>17.279496044273898</v>
      </c>
      <c r="K6">
        <v>8.0536429458843504</v>
      </c>
      <c r="L6">
        <v>1.2007185476741171E-3</v>
      </c>
      <c r="M6">
        <v>1.9354819573302133E-4</v>
      </c>
      <c r="N6" s="1">
        <v>6.3875249289357097E-6</v>
      </c>
      <c r="O6" s="1">
        <v>1.2670544673017E-6</v>
      </c>
      <c r="P6" s="1">
        <v>-4.7304261896858397E-6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275</v>
      </c>
      <c r="D7">
        <v>0.30040451735384299</v>
      </c>
      <c r="E7">
        <v>4.4844873692603002</v>
      </c>
      <c r="F7">
        <v>0.55592542096507103</v>
      </c>
      <c r="G7">
        <v>-97.059627255334718</v>
      </c>
      <c r="H7">
        <v>-57.13928144049131</v>
      </c>
      <c r="I7">
        <v>38.867655273227001</v>
      </c>
      <c r="J7">
        <v>17.3356612247225</v>
      </c>
      <c r="K7">
        <v>8.0667067922084907</v>
      </c>
      <c r="L7">
        <v>1.2013644355344699E-3</v>
      </c>
      <c r="M7">
        <v>1.9319286989129215E-4</v>
      </c>
      <c r="N7" s="1">
        <v>6.45424628063446E-6</v>
      </c>
      <c r="O7" s="1">
        <v>1.2661952941386399E-6</v>
      </c>
      <c r="P7" s="1">
        <v>-4.7414345714859599E-6</v>
      </c>
      <c r="AE7">
        <v>100</v>
      </c>
      <c r="AJ7">
        <v>1</v>
      </c>
    </row>
    <row r="8" spans="1:36" x14ac:dyDescent="0.2">
      <c r="A8">
        <v>7</v>
      </c>
      <c r="B8">
        <v>753</v>
      </c>
      <c r="C8">
        <v>275</v>
      </c>
      <c r="D8">
        <v>0.29965453393753799</v>
      </c>
      <c r="E8">
        <v>4.4970546591681897</v>
      </c>
      <c r="F8">
        <v>0.55659386981720904</v>
      </c>
      <c r="G8">
        <v>-97.292658231862447</v>
      </c>
      <c r="H8">
        <v>-57.316796001077961</v>
      </c>
      <c r="I8">
        <v>38.959641106671697</v>
      </c>
      <c r="J8">
        <v>17.3915874916792</v>
      </c>
      <c r="K8">
        <v>8.0795978954009406</v>
      </c>
      <c r="L8">
        <v>1.2020048706808957E-3</v>
      </c>
      <c r="M8">
        <v>1.9283683065854625E-4</v>
      </c>
      <c r="N8" s="1">
        <v>6.5211931576169796E-6</v>
      </c>
      <c r="O8" s="1">
        <v>1.26528981330139E-6</v>
      </c>
      <c r="P8" s="1">
        <v>-4.7523019356846501E-6</v>
      </c>
      <c r="AE8">
        <v>100</v>
      </c>
      <c r="AJ8">
        <v>1</v>
      </c>
    </row>
    <row r="9" spans="1:36" x14ac:dyDescent="0.2">
      <c r="A9">
        <v>8</v>
      </c>
      <c r="B9">
        <v>752</v>
      </c>
      <c r="C9">
        <v>275</v>
      </c>
      <c r="D9">
        <v>0.29890308735307097</v>
      </c>
      <c r="E9">
        <v>4.5095531875237302</v>
      </c>
      <c r="F9">
        <v>0.55726347778082896</v>
      </c>
      <c r="G9">
        <v>-97.524001363185121</v>
      </c>
      <c r="H9">
        <v>-57.493538444133137</v>
      </c>
      <c r="I9">
        <v>39.050913097892099</v>
      </c>
      <c r="J9">
        <v>17.447276426765001</v>
      </c>
      <c r="K9">
        <v>8.0923178484295502</v>
      </c>
      <c r="L9">
        <v>1.2026398183147555E-3</v>
      </c>
      <c r="M9">
        <v>1.924800819068232E-4</v>
      </c>
      <c r="N9" s="1">
        <v>6.5883624293307302E-6</v>
      </c>
      <c r="O9" s="1">
        <v>1.2643384601542001E-6</v>
      </c>
      <c r="P9" s="1">
        <v>-4.7630283815262797E-6</v>
      </c>
      <c r="AE9">
        <v>100</v>
      </c>
      <c r="AJ9">
        <v>1</v>
      </c>
    </row>
    <row r="10" spans="1:36" x14ac:dyDescent="0.2">
      <c r="A10">
        <v>9</v>
      </c>
      <c r="B10">
        <v>751</v>
      </c>
      <c r="C10">
        <v>275</v>
      </c>
      <c r="D10">
        <v>0.29815017331445698</v>
      </c>
      <c r="E10">
        <v>4.5219835280028002</v>
      </c>
      <c r="F10">
        <v>0.55793424403356595</v>
      </c>
      <c r="G10">
        <v>-97.753671002562299</v>
      </c>
      <c r="H10">
        <v>-57.669515336587267</v>
      </c>
      <c r="I10">
        <v>39.141476758903799</v>
      </c>
      <c r="J10">
        <v>17.5027295903203</v>
      </c>
      <c r="K10">
        <v>8.1048682283978106</v>
      </c>
      <c r="L10">
        <v>1.2032692437403826E-3</v>
      </c>
      <c r="M10">
        <v>1.9212262755833814E-4</v>
      </c>
      <c r="N10" s="1">
        <v>6.6557509403520999E-6</v>
      </c>
      <c r="O10" s="1">
        <v>1.26334166778835E-6</v>
      </c>
      <c r="P10" s="1">
        <v>-4.7736140076186398E-6</v>
      </c>
      <c r="AE10">
        <v>100</v>
      </c>
      <c r="AJ10">
        <v>1</v>
      </c>
    </row>
    <row r="11" spans="1:36" x14ac:dyDescent="0.2">
      <c r="A11">
        <v>10</v>
      </c>
      <c r="B11">
        <v>750</v>
      </c>
      <c r="C11">
        <v>275</v>
      </c>
      <c r="D11">
        <v>0.29739578751893703</v>
      </c>
      <c r="E11">
        <v>4.5343462484631596</v>
      </c>
      <c r="F11">
        <v>0.55860616772383997</v>
      </c>
      <c r="G11">
        <v>-97.981681356412267</v>
      </c>
      <c r="H11">
        <v>-57.844733179001274</v>
      </c>
      <c r="I11">
        <v>39.231337544617197</v>
      </c>
      <c r="J11">
        <v>17.557948522301999</v>
      </c>
      <c r="K11">
        <v>8.1172505970339</v>
      </c>
      <c r="L11">
        <v>1.2038931123682388E-3</v>
      </c>
      <c r="M11">
        <v>1.9176447158538012E-4</v>
      </c>
      <c r="N11" s="1">
        <v>6.7233555108631804E-6</v>
      </c>
      <c r="O11" s="1">
        <v>1.26229986710551E-6</v>
      </c>
      <c r="P11" s="1">
        <v>-4.7840589122509696E-6</v>
      </c>
      <c r="AE11">
        <v>100</v>
      </c>
      <c r="AJ11">
        <v>1</v>
      </c>
    </row>
    <row r="12" spans="1:36" x14ac:dyDescent="0.2">
      <c r="A12">
        <v>11</v>
      </c>
      <c r="B12">
        <v>749</v>
      </c>
      <c r="C12">
        <v>275</v>
      </c>
      <c r="D12">
        <v>0.29663992564692099</v>
      </c>
      <c r="E12">
        <v>4.5466419107959997</v>
      </c>
      <c r="F12">
        <v>0.55927924797073003</v>
      </c>
      <c r="G12">
        <v>-98.208046481376414</v>
      </c>
      <c r="H12">
        <v>-58.019198403566634</v>
      </c>
      <c r="I12">
        <v>39.320500851642997</v>
      </c>
      <c r="J12">
        <v>17.612934741687599</v>
      </c>
      <c r="K12">
        <v>8.1294665004876894</v>
      </c>
      <c r="L12">
        <v>1.2045113897179512E-3</v>
      </c>
      <c r="M12">
        <v>1.9140561801019588E-4</v>
      </c>
      <c r="N12" s="1">
        <v>6.7911729365860803E-6</v>
      </c>
      <c r="O12" s="1">
        <v>1.26121348679295E-6</v>
      </c>
      <c r="P12" s="1">
        <v>-4.7943631933069698E-6</v>
      </c>
      <c r="AE12">
        <v>100</v>
      </c>
      <c r="AJ12">
        <v>1</v>
      </c>
    </row>
    <row r="13" spans="1:36" x14ac:dyDescent="0.2">
      <c r="A13">
        <v>12</v>
      </c>
      <c r="B13">
        <v>748</v>
      </c>
      <c r="C13">
        <v>275</v>
      </c>
      <c r="D13">
        <v>0.29588258336189799</v>
      </c>
      <c r="E13">
        <v>4.5588710712992304</v>
      </c>
      <c r="F13">
        <v>0.55995348386390498</v>
      </c>
      <c r="G13">
        <v>-98.432780292654925</v>
      </c>
      <c r="H13">
        <v>-58.192917378763646</v>
      </c>
      <c r="I13">
        <v>39.408972021608001</v>
      </c>
      <c r="J13">
        <v>17.6676897479046</v>
      </c>
      <c r="K13">
        <v>8.14151747006051</v>
      </c>
      <c r="L13">
        <v>1.2051240414215601E-3</v>
      </c>
      <c r="M13">
        <v>1.910460709048828E-4</v>
      </c>
      <c r="N13" s="1">
        <v>6.8591999894821999E-6</v>
      </c>
      <c r="O13" s="1">
        <v>1.26008295344337E-6</v>
      </c>
      <c r="P13" s="1">
        <v>-4.8045269487260896E-6</v>
      </c>
      <c r="AE13">
        <v>100</v>
      </c>
      <c r="AJ13">
        <v>1</v>
      </c>
    </row>
    <row r="14" spans="1:36" x14ac:dyDescent="0.2">
      <c r="A14">
        <v>13</v>
      </c>
      <c r="B14">
        <v>747</v>
      </c>
      <c r="C14">
        <v>275</v>
      </c>
      <c r="D14">
        <v>0.29512375631034898</v>
      </c>
      <c r="E14">
        <v>4.5710342804361002</v>
      </c>
      <c r="F14">
        <v>0.56062887446346499</v>
      </c>
      <c r="G14">
        <v>-98.655896559056956</v>
      </c>
      <c r="H14">
        <v>-58.365896406177839</v>
      </c>
      <c r="I14">
        <v>39.496756339153997</v>
      </c>
      <c r="J14">
        <v>17.722215019870401</v>
      </c>
      <c r="K14">
        <v>8.1534050218349599</v>
      </c>
      <c r="L14">
        <v>1.2057310332263735E-3</v>
      </c>
      <c r="M14">
        <v>1.9068583439123632E-4</v>
      </c>
      <c r="N14" s="1">
        <v>6.9274334175519999E-6</v>
      </c>
      <c r="O14" s="1">
        <v>1.2589086915029E-6</v>
      </c>
      <c r="P14" s="1">
        <v>-4.81455027631584E-6</v>
      </c>
      <c r="AE14">
        <v>100</v>
      </c>
      <c r="AJ14">
        <v>1</v>
      </c>
    </row>
    <row r="15" spans="1:36" x14ac:dyDescent="0.2">
      <c r="A15">
        <v>14</v>
      </c>
      <c r="B15">
        <v>746</v>
      </c>
      <c r="C15">
        <v>275</v>
      </c>
      <c r="D15">
        <v>0.29436344012167098</v>
      </c>
      <c r="E15">
        <v>4.5831320831884703</v>
      </c>
      <c r="F15">
        <v>0.56130541879990004</v>
      </c>
      <c r="G15">
        <v>-98.877408910891432</v>
      </c>
      <c r="H15">
        <v>-58.538141724906637</v>
      </c>
      <c r="I15">
        <v>39.583859035077602</v>
      </c>
      <c r="J15">
        <v>17.776512017348601</v>
      </c>
      <c r="K15">
        <v>8.1651306573655393</v>
      </c>
      <c r="L15">
        <v>1.2063323309982942E-3</v>
      </c>
      <c r="M15">
        <v>1.9032491264064461E-4</v>
      </c>
      <c r="N15" s="1">
        <v>6.9958699455403002E-6</v>
      </c>
      <c r="O15" s="1">
        <v>1.2576911233839801E-6</v>
      </c>
      <c r="P15" s="1">
        <v>-4.8244332741928204E-6</v>
      </c>
      <c r="AE15">
        <v>100</v>
      </c>
      <c r="AJ15">
        <v>1</v>
      </c>
    </row>
    <row r="16" spans="1:36" x14ac:dyDescent="0.2">
      <c r="A16">
        <v>15</v>
      </c>
      <c r="B16">
        <v>745</v>
      </c>
      <c r="C16">
        <v>275</v>
      </c>
      <c r="D16">
        <v>0.29360163040809401</v>
      </c>
      <c r="E16">
        <v>4.5951650189084097</v>
      </c>
      <c r="F16">
        <v>0.56198311587393401</v>
      </c>
      <c r="G16">
        <v>-99.097330837022525</v>
      </c>
      <c r="H16">
        <v>-58.709659509565803</v>
      </c>
      <c r="I16">
        <v>39.670285285130802</v>
      </c>
      <c r="J16">
        <v>17.830582180352799</v>
      </c>
      <c r="K16">
        <v>8.1766958634736202</v>
      </c>
      <c r="L16">
        <v>1.2069279007246574E-3</v>
      </c>
      <c r="M16">
        <v>1.8996330987391323E-4</v>
      </c>
      <c r="N16" s="1">
        <v>7.06450627488037E-6</v>
      </c>
      <c r="O16" s="1">
        <v>1.25643066943822E-6</v>
      </c>
      <c r="P16" s="1">
        <v>-4.8341760406917004E-6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275</v>
      </c>
      <c r="D17">
        <v>0.29283832276459099</v>
      </c>
      <c r="E17">
        <v>4.6071336216190097</v>
      </c>
      <c r="F17">
        <v>0.56266196465644502</v>
      </c>
      <c r="G17">
        <v>-99.315675691613691</v>
      </c>
      <c r="H17">
        <v>-58.880455874030872</v>
      </c>
      <c r="I17">
        <v>39.756040212703603</v>
      </c>
      <c r="J17">
        <v>17.884426930298002</v>
      </c>
      <c r="K17">
        <v>8.1881021128415501</v>
      </c>
      <c r="L17">
        <v>1.207517708517558E-3</v>
      </c>
      <c r="M17">
        <v>1.8960103036114447E-4</v>
      </c>
      <c r="N17" s="1">
        <v>7.1333390843404698E-6</v>
      </c>
      <c r="O17" s="1">
        <v>1.25512774805287E-6</v>
      </c>
      <c r="P17" s="1">
        <v>-4.84377867474939E-6</v>
      </c>
      <c r="AE17">
        <v>100</v>
      </c>
      <c r="AJ17">
        <v>1</v>
      </c>
    </row>
    <row r="18" spans="1:36" x14ac:dyDescent="0.2">
      <c r="A18">
        <v>17</v>
      </c>
      <c r="B18">
        <v>743</v>
      </c>
      <c r="C18">
        <v>275</v>
      </c>
      <c r="D18">
        <v>0.29207351276878402</v>
      </c>
      <c r="E18">
        <v>4.6190384198844798</v>
      </c>
      <c r="F18">
        <v>0.563341964088373</v>
      </c>
      <c r="G18">
        <v>-99.532456691575973</v>
      </c>
      <c r="H18">
        <v>-59.050536869681167</v>
      </c>
      <c r="I18">
        <v>39.841128887782403</v>
      </c>
      <c r="J18">
        <v>17.9380476694792</v>
      </c>
      <c r="K18">
        <v>8.1993508638385002</v>
      </c>
      <c r="L18">
        <v>1.2081017206166229E-3</v>
      </c>
      <c r="M18">
        <v>1.8923807842155033E-4</v>
      </c>
      <c r="N18" s="1">
        <v>7.20236503001719E-6</v>
      </c>
      <c r="O18" s="1">
        <v>1.2537827756277701E-6</v>
      </c>
      <c r="P18" s="1">
        <v>-4.8532412758326396E-6</v>
      </c>
      <c r="AE18">
        <v>100</v>
      </c>
      <c r="AJ18">
        <v>1</v>
      </c>
    </row>
    <row r="19" spans="1:36" x14ac:dyDescent="0.2">
      <c r="A19">
        <v>18</v>
      </c>
      <c r="B19">
        <v>742</v>
      </c>
      <c r="C19">
        <v>275</v>
      </c>
      <c r="D19">
        <v>0.291307195980888</v>
      </c>
      <c r="E19">
        <v>4.6308799370153197</v>
      </c>
      <c r="F19">
        <v>0.56402311308061603</v>
      </c>
      <c r="G19">
        <v>-99.74768692124043</v>
      </c>
      <c r="H19">
        <v>-59.219908487925181</v>
      </c>
      <c r="I19">
        <v>39.925556328802401</v>
      </c>
      <c r="J19">
        <v>17.9914457818534</v>
      </c>
      <c r="K19">
        <v>8.2104435609422097</v>
      </c>
      <c r="L19">
        <v>1.2086799033924221E-3</v>
      </c>
      <c r="M19">
        <v>1.8887445842331589E-4</v>
      </c>
      <c r="N19" s="1">
        <v>7.2715807458487998E-6</v>
      </c>
      <c r="O19" s="1">
        <v>1.25239616664421E-6</v>
      </c>
      <c r="P19" s="1">
        <v>-4.8625639442206499E-6</v>
      </c>
      <c r="AE19">
        <v>100</v>
      </c>
      <c r="AJ19">
        <v>1</v>
      </c>
    </row>
    <row r="20" spans="1:36" x14ac:dyDescent="0.2">
      <c r="A20">
        <v>19</v>
      </c>
      <c r="B20">
        <v>741</v>
      </c>
      <c r="C20">
        <v>275</v>
      </c>
      <c r="D20">
        <v>0.29053936794360102</v>
      </c>
      <c r="E20">
        <v>4.6967741752071301</v>
      </c>
      <c r="F20">
        <v>0.56470541051391998</v>
      </c>
      <c r="G20">
        <v>-101.12654326079885</v>
      </c>
      <c r="H20">
        <v>-60.080818281153235</v>
      </c>
      <c r="I20">
        <v>40.475681863869902</v>
      </c>
      <c r="J20">
        <v>18.254953298029299</v>
      </c>
      <c r="K20">
        <v>8.3172112180273707</v>
      </c>
      <c r="L20">
        <v>1.2092522233491975E-3</v>
      </c>
      <c r="M20">
        <v>1.8851017478340308E-4</v>
      </c>
      <c r="N20" s="1">
        <v>7.4265503746469798E-6</v>
      </c>
      <c r="O20" s="1">
        <v>1.265549796912E-6</v>
      </c>
      <c r="P20" s="1">
        <v>-4.9285325482766996E-6</v>
      </c>
      <c r="AE20">
        <v>100</v>
      </c>
      <c r="AJ20">
        <v>1</v>
      </c>
    </row>
    <row r="21" spans="1:36" x14ac:dyDescent="0.2">
      <c r="A21">
        <v>20</v>
      </c>
      <c r="B21">
        <v>740</v>
      </c>
      <c r="C21">
        <v>275</v>
      </c>
      <c r="D21">
        <v>0.28977002418201098</v>
      </c>
      <c r="E21">
        <v>5.7670396445612999</v>
      </c>
      <c r="F21">
        <v>0.56538885523881099</v>
      </c>
      <c r="G21">
        <v>-124.12080918134812</v>
      </c>
      <c r="H21">
        <v>-73.794001288707832</v>
      </c>
      <c r="I21">
        <v>49.676857471116499</v>
      </c>
      <c r="J21">
        <v>22.423946175986099</v>
      </c>
      <c r="K21">
        <v>10.200129682650701</v>
      </c>
      <c r="L21">
        <v>1.2098186471282174E-3</v>
      </c>
      <c r="M21">
        <v>1.881452319673947E-4</v>
      </c>
      <c r="N21" s="1">
        <v>9.1821215868428205E-6</v>
      </c>
      <c r="O21" s="1">
        <v>1.54820226807253E-6</v>
      </c>
      <c r="P21" s="1">
        <v>-6.0475805248262802E-6</v>
      </c>
      <c r="AE21">
        <v>100</v>
      </c>
      <c r="AJ21">
        <v>1</v>
      </c>
    </row>
    <row r="22" spans="1:36" x14ac:dyDescent="0.2">
      <c r="A22">
        <v>21</v>
      </c>
      <c r="B22">
        <v>739</v>
      </c>
      <c r="C22">
        <v>275</v>
      </c>
      <c r="D22">
        <v>0.28899916020352701</v>
      </c>
      <c r="E22">
        <v>9.4480764802909203</v>
      </c>
      <c r="F22">
        <v>0.56607344607547905</v>
      </c>
      <c r="G22">
        <v>-203.26436508948333</v>
      </c>
      <c r="H22">
        <v>-120.93263050905706</v>
      </c>
      <c r="I22">
        <v>81.348753989000201</v>
      </c>
      <c r="J22">
        <v>36.751926904098703</v>
      </c>
      <c r="K22">
        <v>16.690548807391199</v>
      </c>
      <c r="L22">
        <v>1.2103791415105356E-3</v>
      </c>
      <c r="M22">
        <v>1.8777963448927701E-4</v>
      </c>
      <c r="N22" s="1">
        <v>1.51466566800034E-5</v>
      </c>
      <c r="O22" s="1">
        <v>2.5270114193251202E-6</v>
      </c>
      <c r="P22" s="1">
        <v>-9.9009644938255399E-6</v>
      </c>
      <c r="AE22">
        <v>100</v>
      </c>
      <c r="AJ22">
        <v>1</v>
      </c>
    </row>
    <row r="23" spans="1:36" x14ac:dyDescent="0.2">
      <c r="A23">
        <v>22</v>
      </c>
      <c r="B23">
        <v>738</v>
      </c>
      <c r="C23">
        <v>275</v>
      </c>
      <c r="D23">
        <v>0.28822677149780002</v>
      </c>
      <c r="E23">
        <v>10.4391043487168</v>
      </c>
      <c r="F23">
        <v>0.56675918181370899</v>
      </c>
      <c r="G23">
        <v>-224.49531430571923</v>
      </c>
      <c r="H23">
        <v>-133.65811413322169</v>
      </c>
      <c r="I23">
        <v>89.841441990842398</v>
      </c>
      <c r="J23">
        <v>40.623478292933797</v>
      </c>
      <c r="K23">
        <v>18.418941736965401</v>
      </c>
      <c r="L23">
        <v>1.21093367342011E-3</v>
      </c>
      <c r="M23">
        <v>1.8741338691124582E-4</v>
      </c>
      <c r="N23" s="1">
        <v>1.6850028750700899E-5</v>
      </c>
      <c r="O23" s="1">
        <v>2.7816975585153601E-6</v>
      </c>
      <c r="P23" s="1">
        <v>-1.09319417126354E-5</v>
      </c>
      <c r="AE23">
        <v>100</v>
      </c>
      <c r="AJ23">
        <v>1</v>
      </c>
    </row>
    <row r="24" spans="1:36" x14ac:dyDescent="0.2">
      <c r="A24">
        <v>23</v>
      </c>
      <c r="B24">
        <v>759</v>
      </c>
      <c r="C24">
        <v>250</v>
      </c>
      <c r="D24">
        <v>0.33077604999273502</v>
      </c>
      <c r="E24">
        <v>4.8272914662431399</v>
      </c>
      <c r="F24">
        <v>0.52413384568172094</v>
      </c>
      <c r="G24">
        <v>-104.91260517988826</v>
      </c>
      <c r="H24">
        <v>-61.35008056369778</v>
      </c>
      <c r="I24">
        <v>42.208290547688897</v>
      </c>
      <c r="J24">
        <v>18.800209604062701</v>
      </c>
      <c r="K24">
        <v>9.2100357685630101</v>
      </c>
      <c r="L24">
        <v>1.2932992560888324E-3</v>
      </c>
      <c r="M24">
        <v>2.2978861796121934E-4</v>
      </c>
      <c r="N24" s="1">
        <v>7.1394123473446202E-6</v>
      </c>
      <c r="O24" s="1">
        <v>1.9627233158414102E-6</v>
      </c>
      <c r="P24" s="1">
        <v>-6.5232676532694396E-6</v>
      </c>
      <c r="AE24">
        <v>100</v>
      </c>
      <c r="AJ24">
        <v>1</v>
      </c>
    </row>
    <row r="25" spans="1:36" x14ac:dyDescent="0.2">
      <c r="A25">
        <v>24</v>
      </c>
      <c r="B25">
        <v>758</v>
      </c>
      <c r="C25">
        <v>250</v>
      </c>
      <c r="D25">
        <v>0.330059157251614</v>
      </c>
      <c r="E25">
        <v>4.8286300057228004</v>
      </c>
      <c r="F25">
        <v>0.52481238107299999</v>
      </c>
      <c r="G25">
        <v>-104.89948507777089</v>
      </c>
      <c r="H25">
        <v>-61.38590216003746</v>
      </c>
      <c r="I25">
        <v>42.201761292085997</v>
      </c>
      <c r="J25">
        <v>18.814753012467101</v>
      </c>
      <c r="K25">
        <v>9.2006785279159704</v>
      </c>
      <c r="L25">
        <v>1.2941935850456405E-3</v>
      </c>
      <c r="M25">
        <v>2.2937696661968069E-4</v>
      </c>
      <c r="N25" s="1">
        <v>7.2108779237169104E-6</v>
      </c>
      <c r="O25" s="1">
        <v>1.9566607893170798E-6</v>
      </c>
      <c r="P25" s="1">
        <v>-6.5239019653826198E-6</v>
      </c>
      <c r="AE25">
        <v>100</v>
      </c>
      <c r="AJ25">
        <v>1</v>
      </c>
    </row>
    <row r="26" spans="1:36" x14ac:dyDescent="0.2">
      <c r="A26">
        <v>25</v>
      </c>
      <c r="B26">
        <v>757</v>
      </c>
      <c r="C26">
        <v>250</v>
      </c>
      <c r="D26">
        <v>0.32934087268844398</v>
      </c>
      <c r="E26">
        <v>4.8406625677210702</v>
      </c>
      <c r="F26">
        <v>0.52549226320365605</v>
      </c>
      <c r="G26">
        <v>-105.11858847857242</v>
      </c>
      <c r="H26">
        <v>-61.557737256252302</v>
      </c>
      <c r="I26">
        <v>42.288619469681201</v>
      </c>
      <c r="J26">
        <v>18.870978965019901</v>
      </c>
      <c r="K26">
        <v>9.2116723816446697</v>
      </c>
      <c r="L26">
        <v>1.2950816462789503E-3</v>
      </c>
      <c r="M26">
        <v>2.2896420068120721E-4</v>
      </c>
      <c r="N26" s="1">
        <v>7.2986514099689298E-6</v>
      </c>
      <c r="O26" s="1">
        <v>1.9549059941081899E-6</v>
      </c>
      <c r="P26" s="1">
        <v>-6.5388989640895901E-6</v>
      </c>
      <c r="AE26">
        <v>100</v>
      </c>
      <c r="AJ26">
        <v>1</v>
      </c>
    </row>
    <row r="27" spans="1:36" x14ac:dyDescent="0.2">
      <c r="A27">
        <v>26</v>
      </c>
      <c r="B27">
        <v>756</v>
      </c>
      <c r="C27">
        <v>250</v>
      </c>
      <c r="D27">
        <v>0.32862119224602798</v>
      </c>
      <c r="E27">
        <v>4.8526460514064498</v>
      </c>
      <c r="F27">
        <v>0.52617349171939898</v>
      </c>
      <c r="G27">
        <v>-105.33643461879647</v>
      </c>
      <c r="H27">
        <v>-61.729051192853063</v>
      </c>
      <c r="I27">
        <v>42.3749311645538</v>
      </c>
      <c r="J27">
        <v>18.927047043661599</v>
      </c>
      <c r="K27">
        <v>9.2225209513106492</v>
      </c>
      <c r="L27">
        <v>1.2959633878440581E-3</v>
      </c>
      <c r="M27">
        <v>2.2855032405439386E-4</v>
      </c>
      <c r="N27" s="1">
        <v>7.3868396216512097E-6</v>
      </c>
      <c r="O27" s="1">
        <v>1.9530911645539199E-6</v>
      </c>
      <c r="P27" s="1">
        <v>-6.5537401049750199E-6</v>
      </c>
      <c r="AE27">
        <v>100</v>
      </c>
      <c r="AJ27">
        <v>1</v>
      </c>
    </row>
    <row r="28" spans="1:36" x14ac:dyDescent="0.2">
      <c r="A28">
        <v>27</v>
      </c>
      <c r="B28">
        <v>755</v>
      </c>
      <c r="C28">
        <v>250</v>
      </c>
      <c r="D28">
        <v>0.32790011185138401</v>
      </c>
      <c r="E28">
        <v>4.8645677759305501</v>
      </c>
      <c r="F28">
        <v>0.52685606622883996</v>
      </c>
      <c r="G28">
        <v>-105.55274979488355</v>
      </c>
      <c r="H28">
        <v>-61.899682093229337</v>
      </c>
      <c r="I28">
        <v>42.460586009876202</v>
      </c>
      <c r="J28">
        <v>18.982907068052601</v>
      </c>
      <c r="K28">
        <v>9.2332006552575692</v>
      </c>
      <c r="L28">
        <v>1.2968387578846604E-3</v>
      </c>
      <c r="M28">
        <v>2.2813534073467379E-4</v>
      </c>
      <c r="N28" s="1">
        <v>7.4754185182241504E-6</v>
      </c>
      <c r="O28" s="1">
        <v>1.9512114778356002E-6</v>
      </c>
      <c r="P28" s="1">
        <v>-6.5684072100404096E-6</v>
      </c>
      <c r="AE28">
        <v>100</v>
      </c>
      <c r="AJ28">
        <v>1</v>
      </c>
    </row>
    <row r="29" spans="1:36" x14ac:dyDescent="0.2">
      <c r="A29">
        <v>28</v>
      </c>
      <c r="B29">
        <v>754</v>
      </c>
      <c r="C29">
        <v>250</v>
      </c>
      <c r="D29">
        <v>0.32717762741566497</v>
      </c>
      <c r="E29">
        <v>4.8764282763949103</v>
      </c>
      <c r="F29">
        <v>0.52753998630330401</v>
      </c>
      <c r="G29">
        <v>-105.7675473931475</v>
      </c>
      <c r="H29">
        <v>-62.069636101039336</v>
      </c>
      <c r="I29">
        <v>42.545589138699199</v>
      </c>
      <c r="J29">
        <v>19.0385603551244</v>
      </c>
      <c r="K29">
        <v>9.2437130890609893</v>
      </c>
      <c r="L29">
        <v>1.2977077046387243E-3</v>
      </c>
      <c r="M29">
        <v>2.2771925480444128E-4</v>
      </c>
      <c r="N29" s="1">
        <v>7.5643837466136399E-6</v>
      </c>
      <c r="O29" s="1">
        <v>1.9492674669389801E-6</v>
      </c>
      <c r="P29" s="1">
        <v>-6.5828999638593997E-6</v>
      </c>
      <c r="AE29">
        <v>100</v>
      </c>
      <c r="AJ29">
        <v>1</v>
      </c>
    </row>
    <row r="30" spans="1:36" x14ac:dyDescent="0.2">
      <c r="A30">
        <v>29</v>
      </c>
      <c r="B30">
        <v>753</v>
      </c>
      <c r="C30">
        <v>250</v>
      </c>
      <c r="D30">
        <v>0.32645373483409301</v>
      </c>
      <c r="E30">
        <v>4.8882280827639804</v>
      </c>
      <c r="F30">
        <v>0.528225251476656</v>
      </c>
      <c r="G30">
        <v>-105.980840668754</v>
      </c>
      <c r="H30">
        <v>-62.238919301730341</v>
      </c>
      <c r="I30">
        <v>42.629945633001199</v>
      </c>
      <c r="J30">
        <v>19.094008203113798</v>
      </c>
      <c r="K30">
        <v>9.2540598335632502</v>
      </c>
      <c r="L30">
        <v>1.2985701764441145E-3</v>
      </c>
      <c r="M30">
        <v>2.2730207043318768E-4</v>
      </c>
      <c r="N30" s="1">
        <v>7.6537308975817099E-6</v>
      </c>
      <c r="O30" s="1">
        <v>1.9472596632252501E-6</v>
      </c>
      <c r="P30" s="1">
        <v>-6.5972180509015998E-6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250</v>
      </c>
      <c r="D31">
        <v>0.32572842998585799</v>
      </c>
      <c r="E31">
        <v>4.8999677199756597</v>
      </c>
      <c r="F31">
        <v>0.52891186124509804</v>
      </c>
      <c r="G31">
        <v>-106.19264274835599</v>
      </c>
      <c r="H31">
        <v>-62.407537723852833</v>
      </c>
      <c r="I31">
        <v>42.713660524728098</v>
      </c>
      <c r="J31">
        <v>19.149251891993501</v>
      </c>
      <c r="K31">
        <v>9.2642424551432203</v>
      </c>
      <c r="L31">
        <v>1.2994261217443425E-3</v>
      </c>
      <c r="M31">
        <v>2.2688379187760325E-4</v>
      </c>
      <c r="N31" s="1">
        <v>7.7434555061006392E-6</v>
      </c>
      <c r="O31" s="1">
        <v>1.9451885965027799E-6</v>
      </c>
      <c r="P31" s="1">
        <v>-6.6113611558491901E-6</v>
      </c>
      <c r="AE31">
        <v>100</v>
      </c>
      <c r="AJ31">
        <v>1</v>
      </c>
    </row>
    <row r="32" spans="1:36" x14ac:dyDescent="0.2">
      <c r="A32">
        <v>31</v>
      </c>
      <c r="B32">
        <v>751</v>
      </c>
      <c r="C32">
        <v>250</v>
      </c>
      <c r="D32">
        <v>0.32500170873407402</v>
      </c>
      <c r="E32">
        <v>4.91164770780731</v>
      </c>
      <c r="F32">
        <v>0.52959981506698395</v>
      </c>
      <c r="G32">
        <v>-106.40296662742732</v>
      </c>
      <c r="H32">
        <v>-62.575497337261666</v>
      </c>
      <c r="I32">
        <v>42.796738794701703</v>
      </c>
      <c r="J32">
        <v>19.204292682940199</v>
      </c>
      <c r="K32">
        <v>9.2742625055223709</v>
      </c>
      <c r="L32">
        <v>1.300275489094248E-3</v>
      </c>
      <c r="M32">
        <v>2.264644234816708E-4</v>
      </c>
      <c r="N32" s="1">
        <v>7.8335530513664297E-6</v>
      </c>
      <c r="O32" s="1">
        <v>1.9430547950009399E-6</v>
      </c>
      <c r="P32" s="1">
        <v>-6.6253289635852896E-6</v>
      </c>
      <c r="AE32">
        <v>100</v>
      </c>
      <c r="AJ32">
        <v>1</v>
      </c>
    </row>
    <row r="33" spans="1:36" x14ac:dyDescent="0.2">
      <c r="A33">
        <v>32</v>
      </c>
      <c r="B33">
        <v>750</v>
      </c>
      <c r="C33">
        <v>250</v>
      </c>
      <c r="D33">
        <v>0.324273566925672</v>
      </c>
      <c r="E33">
        <v>4.9232685612469798</v>
      </c>
      <c r="F33">
        <v>0.53028911236263798</v>
      </c>
      <c r="G33">
        <v>-106.61182517854324</v>
      </c>
      <c r="H33">
        <v>-62.742804057755365</v>
      </c>
      <c r="I33">
        <v>42.879185375929097</v>
      </c>
      <c r="J33">
        <v>19.259131819783398</v>
      </c>
      <c r="K33">
        <v>9.28412152252562</v>
      </c>
      <c r="L33">
        <v>1.3011182271658579E-3</v>
      </c>
      <c r="M33">
        <v>2.260439696767572E-4</v>
      </c>
      <c r="N33" s="1">
        <v>7.9240189576269508E-6</v>
      </c>
      <c r="O33" s="1">
        <v>1.9408587855440198E-6</v>
      </c>
      <c r="P33" s="1">
        <v>-6.6391211598651602E-6</v>
      </c>
      <c r="AE33">
        <v>100</v>
      </c>
      <c r="AJ33">
        <v>1</v>
      </c>
    </row>
    <row r="34" spans="1:36" x14ac:dyDescent="0.2">
      <c r="A34">
        <v>33</v>
      </c>
      <c r="B34">
        <v>749</v>
      </c>
      <c r="C34">
        <v>250</v>
      </c>
      <c r="D34">
        <v>0.32354400039133302</v>
      </c>
      <c r="E34">
        <v>4.9348307903469104</v>
      </c>
      <c r="F34">
        <v>0.53097975251415996</v>
      </c>
      <c r="G34">
        <v>-106.81923114843525</v>
      </c>
      <c r="H34">
        <v>-62.909463745120476</v>
      </c>
      <c r="I34">
        <v>42.961005152400602</v>
      </c>
      <c r="J34">
        <v>19.313770528427298</v>
      </c>
      <c r="K34">
        <v>9.2938210298617996</v>
      </c>
      <c r="L34">
        <v>1.3019542847538938E-3</v>
      </c>
      <c r="M34">
        <v>2.2562243498164988E-4</v>
      </c>
      <c r="N34" s="1">
        <v>8.0148485942244999E-6</v>
      </c>
      <c r="O34" s="1">
        <v>1.9386010935175799E-6</v>
      </c>
      <c r="P34" s="1">
        <v>-6.6527374312879198E-6</v>
      </c>
      <c r="AE34">
        <v>100</v>
      </c>
      <c r="AJ34">
        <v>1</v>
      </c>
    </row>
    <row r="35" spans="1:36" x14ac:dyDescent="0.2">
      <c r="A35">
        <v>34</v>
      </c>
      <c r="B35">
        <v>748</v>
      </c>
      <c r="C35">
        <v>250</v>
      </c>
      <c r="D35">
        <v>0.32281300494540499</v>
      </c>
      <c r="E35">
        <v>4.9463349003337402</v>
      </c>
      <c r="F35">
        <v>0.53167173486526598</v>
      </c>
      <c r="G35">
        <v>-107.02519716060606</v>
      </c>
      <c r="H35">
        <v>-63.075482204448569</v>
      </c>
      <c r="I35">
        <v>43.042202960120598</v>
      </c>
      <c r="J35">
        <v>19.368210017284799</v>
      </c>
      <c r="K35">
        <v>9.3033625373882494</v>
      </c>
      <c r="L35">
        <v>1.3027836107818856E-3</v>
      </c>
      <c r="M35">
        <v>2.2519982400264786E-4</v>
      </c>
      <c r="N35" s="1">
        <v>8.1060372760441102E-6</v>
      </c>
      <c r="O35" s="1">
        <v>1.9362822429368101E-6</v>
      </c>
      <c r="P35" s="1">
        <v>-6.6661774656160298E-6</v>
      </c>
      <c r="AE35">
        <v>100</v>
      </c>
      <c r="AJ35">
        <v>1</v>
      </c>
    </row>
    <row r="36" spans="1:36" x14ac:dyDescent="0.2">
      <c r="A36">
        <v>35</v>
      </c>
      <c r="B36">
        <v>747</v>
      </c>
      <c r="C36">
        <v>250</v>
      </c>
      <c r="D36">
        <v>0.32208057638582899</v>
      </c>
      <c r="E36">
        <v>4.9577813917036897</v>
      </c>
      <c r="F36">
        <v>0.53236505872108797</v>
      </c>
      <c r="G36">
        <v>-107.22973571761574</v>
      </c>
      <c r="H36">
        <v>-63.240865187262983</v>
      </c>
      <c r="I36">
        <v>43.122783588009298</v>
      </c>
      <c r="J36">
        <v>19.422451477642099</v>
      </c>
      <c r="K36">
        <v>9.3127475413466492</v>
      </c>
      <c r="L36">
        <v>1.303606154307736E-3</v>
      </c>
      <c r="M36">
        <v>2.2477614143356757E-4</v>
      </c>
      <c r="N36" s="1">
        <v>8.1975802639661708E-6</v>
      </c>
      <c r="O36" s="1">
        <v>1.9339027565068502E-6</v>
      </c>
      <c r="P36" s="1">
        <v>-6.6794409520730399E-6</v>
      </c>
      <c r="AE36">
        <v>100</v>
      </c>
      <c r="AJ36">
        <v>1</v>
      </c>
    </row>
    <row r="37" spans="1:36" x14ac:dyDescent="0.2">
      <c r="A37">
        <v>36</v>
      </c>
      <c r="B37">
        <v>746</v>
      </c>
      <c r="C37">
        <v>250</v>
      </c>
      <c r="D37">
        <v>0.32134671049404001</v>
      </c>
      <c r="E37">
        <v>4.9691707603724398</v>
      </c>
      <c r="F37">
        <v>0.53305972334802598</v>
      </c>
      <c r="G37">
        <v>-107.43285920454325</v>
      </c>
      <c r="H37">
        <v>-63.405618393345208</v>
      </c>
      <c r="I37">
        <v>43.202751779275999</v>
      </c>
      <c r="J37">
        <v>19.476496084250002</v>
      </c>
      <c r="K37">
        <v>9.3219775246987506</v>
      </c>
      <c r="L37">
        <v>1.3044218645294641E-3</v>
      </c>
      <c r="M37">
        <v>2.2435139205577131E-4</v>
      </c>
      <c r="N37" s="1">
        <v>8.2894727654472903E-6</v>
      </c>
      <c r="O37" s="1">
        <v>1.9314631557034599E-6</v>
      </c>
      <c r="P37" s="1">
        <v>-6.6925275817162501E-6</v>
      </c>
      <c r="AE37">
        <v>100</v>
      </c>
      <c r="AJ37">
        <v>1</v>
      </c>
    </row>
    <row r="38" spans="1:36" x14ac:dyDescent="0.2">
      <c r="A38">
        <v>37</v>
      </c>
      <c r="B38">
        <v>745</v>
      </c>
      <c r="C38">
        <v>250</v>
      </c>
      <c r="D38">
        <v>0.32061140303491598</v>
      </c>
      <c r="E38">
        <v>4.98050349749749</v>
      </c>
      <c r="F38">
        <v>0.53375572797354498</v>
      </c>
      <c r="G38">
        <v>-107.6345798853631</v>
      </c>
      <c r="H38">
        <v>-63.569747468385806</v>
      </c>
      <c r="I38">
        <v>43.282112229943003</v>
      </c>
      <c r="J38">
        <v>19.530344994626301</v>
      </c>
      <c r="K38">
        <v>9.3310539568473594</v>
      </c>
      <c r="L38">
        <v>1.3052306907911388E-3</v>
      </c>
      <c r="M38">
        <v>2.2392558073817517E-4</v>
      </c>
      <c r="N38" s="1">
        <v>8.3817099345527207E-6</v>
      </c>
      <c r="O38" s="1">
        <v>1.9289639607250901E-6</v>
      </c>
      <c r="P38" s="1">
        <v>-6.70543704736775E-6</v>
      </c>
      <c r="AE38">
        <v>100</v>
      </c>
      <c r="AJ38">
        <v>1</v>
      </c>
    </row>
    <row r="39" spans="1:36" x14ac:dyDescent="0.2">
      <c r="A39">
        <v>38</v>
      </c>
      <c r="B39">
        <v>744</v>
      </c>
      <c r="C39">
        <v>250</v>
      </c>
      <c r="D39">
        <v>0.31987464975667701</v>
      </c>
      <c r="E39">
        <v>5.7490567610136898</v>
      </c>
      <c r="F39">
        <v>0.53445307178602697</v>
      </c>
      <c r="G39">
        <v>-124.19397624483911</v>
      </c>
      <c r="H39">
        <v>-73.40189496750034</v>
      </c>
      <c r="I39">
        <v>49.938918783512698</v>
      </c>
      <c r="J39">
        <v>22.554984764394298</v>
      </c>
      <c r="K39">
        <v>10.756897217938199</v>
      </c>
      <c r="L39">
        <v>1.3060325825887276E-3</v>
      </c>
      <c r="M39">
        <v>2.2349871243725614E-4</v>
      </c>
      <c r="N39" s="1">
        <v>9.7598763095963195E-6</v>
      </c>
      <c r="O39" s="1">
        <v>2.2186505537077499E-6</v>
      </c>
      <c r="P39" s="1">
        <v>-7.7373470927178204E-6</v>
      </c>
      <c r="AE39">
        <v>100</v>
      </c>
      <c r="AJ39">
        <v>1</v>
      </c>
    </row>
    <row r="40" spans="1:36" x14ac:dyDescent="0.2">
      <c r="A40">
        <v>39</v>
      </c>
      <c r="B40">
        <v>743</v>
      </c>
      <c r="C40">
        <v>250</v>
      </c>
      <c r="D40">
        <v>0.31913644639078897</v>
      </c>
      <c r="E40">
        <v>6.8306108970670998</v>
      </c>
      <c r="F40">
        <v>0.53515175393459302</v>
      </c>
      <c r="G40">
        <v>-147.49892463856278</v>
      </c>
      <c r="H40">
        <v>-87.237594940756438</v>
      </c>
      <c r="I40">
        <v>59.307423700053299</v>
      </c>
      <c r="J40">
        <v>26.811077917761899</v>
      </c>
      <c r="K40">
        <v>12.7638765020322</v>
      </c>
      <c r="L40">
        <v>1.30682748957556E-3</v>
      </c>
      <c r="M40">
        <v>2.2307079219698704E-4</v>
      </c>
      <c r="N40" s="1">
        <v>1.16968195867448E-5</v>
      </c>
      <c r="O40" s="1">
        <v>2.6265541667084901E-6</v>
      </c>
      <c r="P40" s="1">
        <v>-9.1894747839168593E-6</v>
      </c>
      <c r="AE40">
        <v>100</v>
      </c>
      <c r="AJ40">
        <v>1</v>
      </c>
    </row>
    <row r="41" spans="1:36" x14ac:dyDescent="0.2">
      <c r="A41">
        <v>40</v>
      </c>
      <c r="B41">
        <v>742</v>
      </c>
      <c r="C41">
        <v>250</v>
      </c>
      <c r="D41">
        <v>0.318396788651924</v>
      </c>
      <c r="E41">
        <v>10.296495547056599</v>
      </c>
      <c r="F41">
        <v>0.53585177352894597</v>
      </c>
      <c r="G41">
        <v>-222.25120430546752</v>
      </c>
      <c r="H41">
        <v>-131.54279284313995</v>
      </c>
      <c r="I41">
        <v>89.360492291145903</v>
      </c>
      <c r="J41">
        <v>40.434535145965803</v>
      </c>
      <c r="K41">
        <v>19.2151935585605</v>
      </c>
      <c r="L41">
        <v>1.3076153615686316E-3</v>
      </c>
      <c r="M41">
        <v>2.2264182514884903E-4</v>
      </c>
      <c r="N41" s="1">
        <v>1.7784048312149201E-5</v>
      </c>
      <c r="O41" s="1">
        <v>3.9449708460607999E-6</v>
      </c>
      <c r="P41" s="1">
        <v>-1.38468256967455E-5</v>
      </c>
      <c r="AE41">
        <v>100</v>
      </c>
      <c r="AJ41">
        <v>1</v>
      </c>
    </row>
    <row r="42" spans="1:36" x14ac:dyDescent="0.2">
      <c r="A42">
        <v>41</v>
      </c>
      <c r="B42">
        <v>741</v>
      </c>
      <c r="C42">
        <v>250</v>
      </c>
      <c r="D42">
        <v>0.31765567223783697</v>
      </c>
      <c r="E42">
        <v>10.639963159636499</v>
      </c>
      <c r="F42">
        <v>0.53655312963919899</v>
      </c>
      <c r="G42">
        <v>-229.57267692200148</v>
      </c>
      <c r="H42">
        <v>-135.97255379856281</v>
      </c>
      <c r="I42">
        <v>92.300164634153901</v>
      </c>
      <c r="J42">
        <v>41.803335003487099</v>
      </c>
      <c r="K42">
        <v>19.830213583492299</v>
      </c>
      <c r="L42">
        <v>1.3083961485540509E-3</v>
      </c>
      <c r="M42">
        <v>2.2221181651174395E-4</v>
      </c>
      <c r="N42" s="1">
        <v>1.8534757841067101E-5</v>
      </c>
      <c r="O42" s="1">
        <v>4.06176741056285E-6</v>
      </c>
      <c r="P42" s="1">
        <v>-1.4302913462978801E-5</v>
      </c>
      <c r="AE42">
        <v>100</v>
      </c>
      <c r="AJ42">
        <v>1</v>
      </c>
    </row>
    <row r="43" spans="1:36" x14ac:dyDescent="0.2">
      <c r="A43">
        <v>42</v>
      </c>
      <c r="B43">
        <v>759</v>
      </c>
      <c r="C43">
        <v>225</v>
      </c>
      <c r="D43">
        <v>0.35741946422516302</v>
      </c>
      <c r="E43">
        <v>5.2149764089183597</v>
      </c>
      <c r="F43">
        <v>0.49213085957542302</v>
      </c>
      <c r="G43">
        <v>-113.59474420495164</v>
      </c>
      <c r="H43">
        <v>-66.176806991566252</v>
      </c>
      <c r="I43">
        <v>45.943827489340499</v>
      </c>
      <c r="J43">
        <v>20.5102312350079</v>
      </c>
      <c r="K43">
        <v>10.596727084778699</v>
      </c>
      <c r="L43">
        <v>1.4041719922708539E-3</v>
      </c>
      <c r="M43">
        <v>2.7663959775880412E-4</v>
      </c>
      <c r="N43" s="1">
        <v>7.6636680948732398E-6</v>
      </c>
      <c r="O43" s="1">
        <v>3.12402027822979E-6</v>
      </c>
      <c r="P43" s="1">
        <v>-9.1646603112623695E-6</v>
      </c>
      <c r="AE43">
        <v>100</v>
      </c>
      <c r="AJ43">
        <v>1</v>
      </c>
    </row>
    <row r="44" spans="1:36" x14ac:dyDescent="0.2">
      <c r="A44">
        <v>43</v>
      </c>
      <c r="B44">
        <v>758</v>
      </c>
      <c r="C44">
        <v>225</v>
      </c>
      <c r="D44">
        <v>0.356728410027642</v>
      </c>
      <c r="E44">
        <v>5.2195933063167699</v>
      </c>
      <c r="F44">
        <v>0.49282268840091997</v>
      </c>
      <c r="G44">
        <v>-113.64933679549465</v>
      </c>
      <c r="H44">
        <v>-66.255928782651978</v>
      </c>
      <c r="I44">
        <v>45.964597764294503</v>
      </c>
      <c r="J44">
        <v>20.540537077714301</v>
      </c>
      <c r="K44">
        <v>10.591219578897499</v>
      </c>
      <c r="L44">
        <v>1.4054169480793056E-3</v>
      </c>
      <c r="M44">
        <v>2.7616232173905721E-4</v>
      </c>
      <c r="N44" s="1">
        <v>7.7716959633887504E-6</v>
      </c>
      <c r="O44" s="1">
        <v>3.11679067072153E-6</v>
      </c>
      <c r="P44" s="1">
        <v>-9.1748217055430998E-6</v>
      </c>
      <c r="AE44">
        <v>100</v>
      </c>
      <c r="AJ44">
        <v>1</v>
      </c>
    </row>
    <row r="45" spans="1:36" x14ac:dyDescent="0.2">
      <c r="A45">
        <v>44</v>
      </c>
      <c r="B45">
        <v>757</v>
      </c>
      <c r="C45">
        <v>225</v>
      </c>
      <c r="D45">
        <v>0.35603601417269398</v>
      </c>
      <c r="E45">
        <v>5.23070965886886</v>
      </c>
      <c r="F45">
        <v>0.49351610243928701</v>
      </c>
      <c r="G45">
        <v>-113.84532730560963</v>
      </c>
      <c r="H45">
        <v>-66.417626743566075</v>
      </c>
      <c r="I45">
        <v>46.042512153873403</v>
      </c>
      <c r="J45">
        <v>20.596445073504601</v>
      </c>
      <c r="K45">
        <v>10.5988632042909</v>
      </c>
      <c r="L45">
        <v>1.4066547857104822E-3</v>
      </c>
      <c r="M45">
        <v>2.7568331144484353E-4</v>
      </c>
      <c r="N45" s="1">
        <v>7.8900685124373995E-6</v>
      </c>
      <c r="O45" s="1">
        <v>3.1133921147452502E-6</v>
      </c>
      <c r="P45" s="1">
        <v>-9.1962926684250204E-6</v>
      </c>
      <c r="AE45">
        <v>100</v>
      </c>
      <c r="AJ45">
        <v>1</v>
      </c>
    </row>
    <row r="46" spans="1:36" x14ac:dyDescent="0.2">
      <c r="A46">
        <v>45</v>
      </c>
      <c r="B46">
        <v>756</v>
      </c>
      <c r="C46">
        <v>225</v>
      </c>
      <c r="D46">
        <v>0.35534227274935698</v>
      </c>
      <c r="E46">
        <v>5.2417720467374602</v>
      </c>
      <c r="F46">
        <v>0.49421110210605401</v>
      </c>
      <c r="G46">
        <v>-114.03996805404135</v>
      </c>
      <c r="H46">
        <v>-66.578738967817898</v>
      </c>
      <c r="I46">
        <v>46.119835543963703</v>
      </c>
      <c r="J46">
        <v>20.652180038793698</v>
      </c>
      <c r="K46">
        <v>10.6063421570254</v>
      </c>
      <c r="L46">
        <v>1.4078854248212131E-3</v>
      </c>
      <c r="M46">
        <v>2.7520256945572118E-4</v>
      </c>
      <c r="N46" s="1">
        <v>8.0091492024641898E-6</v>
      </c>
      <c r="O46" s="1">
        <v>3.10989910696273E-6</v>
      </c>
      <c r="P46" s="1">
        <v>-9.2175543661383301E-6</v>
      </c>
      <c r="AE46">
        <v>100</v>
      </c>
      <c r="AJ46">
        <v>1</v>
      </c>
    </row>
    <row r="47" spans="1:36" x14ac:dyDescent="0.2">
      <c r="A47">
        <v>46</v>
      </c>
      <c r="B47">
        <v>755</v>
      </c>
      <c r="C47">
        <v>225</v>
      </c>
      <c r="D47">
        <v>0.354647181831445</v>
      </c>
      <c r="E47">
        <v>5.2527809480367802</v>
      </c>
      <c r="F47">
        <v>0.49490768776852501</v>
      </c>
      <c r="G47">
        <v>-114.23327102139056</v>
      </c>
      <c r="H47">
        <v>-66.739270957187202</v>
      </c>
      <c r="I47">
        <v>46.196572511812001</v>
      </c>
      <c r="J47">
        <v>20.707742929384398</v>
      </c>
      <c r="K47">
        <v>10.6136580171564</v>
      </c>
      <c r="L47">
        <v>1.4091087850398633E-3</v>
      </c>
      <c r="M47">
        <v>2.7472009849557622E-4</v>
      </c>
      <c r="N47" s="1">
        <v>8.1289326551400999E-6</v>
      </c>
      <c r="O47" s="1">
        <v>3.1063122447353899E-6</v>
      </c>
      <c r="P47" s="1">
        <v>-9.2386056129255397E-6</v>
      </c>
      <c r="AE47">
        <v>100</v>
      </c>
      <c r="AJ47">
        <v>1</v>
      </c>
    </row>
    <row r="48" spans="1:36" x14ac:dyDescent="0.2">
      <c r="A48">
        <v>47</v>
      </c>
      <c r="B48">
        <v>754</v>
      </c>
      <c r="C48">
        <v>225</v>
      </c>
      <c r="D48">
        <v>0.35395073747748601</v>
      </c>
      <c r="E48">
        <v>5.2637368363722796</v>
      </c>
      <c r="F48">
        <v>0.49560585974538901</v>
      </c>
      <c r="G48">
        <v>-114.42524807250214</v>
      </c>
      <c r="H48">
        <v>-66.89922816235665</v>
      </c>
      <c r="I48">
        <v>46.272727589537702</v>
      </c>
      <c r="J48">
        <v>20.763134682660699</v>
      </c>
      <c r="K48">
        <v>10.6208123509202</v>
      </c>
      <c r="L48">
        <v>1.4103247859760769E-3</v>
      </c>
      <c r="M48">
        <v>2.7423590143348011E-4</v>
      </c>
      <c r="N48" s="1">
        <v>8.2494133663482497E-6</v>
      </c>
      <c r="O48" s="1">
        <v>3.10263212517726E-6</v>
      </c>
      <c r="P48" s="1">
        <v>-9.2594452181871606E-6</v>
      </c>
      <c r="AE48">
        <v>100</v>
      </c>
      <c r="AJ48">
        <v>1</v>
      </c>
    </row>
    <row r="49" spans="1:36" x14ac:dyDescent="0.2">
      <c r="A49">
        <v>48</v>
      </c>
      <c r="B49">
        <v>753</v>
      </c>
      <c r="C49">
        <v>225</v>
      </c>
      <c r="D49">
        <v>0.35325293573064698</v>
      </c>
      <c r="E49">
        <v>5.2746401812898398</v>
      </c>
      <c r="F49">
        <v>0.49630561830638598</v>
      </c>
      <c r="G49">
        <v>-114.61591096643808</v>
      </c>
      <c r="H49">
        <v>-67.058615988539898</v>
      </c>
      <c r="I49">
        <v>46.348305268147797</v>
      </c>
      <c r="J49">
        <v>20.818356219369502</v>
      </c>
      <c r="K49">
        <v>10.6278067116976</v>
      </c>
      <c r="L49">
        <v>1.4115333472314695E-3</v>
      </c>
      <c r="M49">
        <v>2.7374998128468046E-4</v>
      </c>
      <c r="N49" s="1">
        <v>8.3705857066539293E-6</v>
      </c>
      <c r="O49" s="1">
        <v>3.0988593454914399E-6</v>
      </c>
      <c r="P49" s="1">
        <v>-9.2800719876359596E-6</v>
      </c>
      <c r="AE49">
        <v>100</v>
      </c>
      <c r="AJ49">
        <v>1</v>
      </c>
    </row>
    <row r="50" spans="1:36" x14ac:dyDescent="0.2">
      <c r="A50">
        <v>49</v>
      </c>
      <c r="B50">
        <v>752</v>
      </c>
      <c r="C50">
        <v>225</v>
      </c>
      <c r="D50">
        <v>0.35255377261864101</v>
      </c>
      <c r="E50">
        <v>5.2854914480175896</v>
      </c>
      <c r="F50">
        <v>0.49700696367191499</v>
      </c>
      <c r="G50">
        <v>-114.8052713510646</v>
      </c>
      <c r="H50">
        <v>-67.217439792124395</v>
      </c>
      <c r="I50">
        <v>46.423309995330499</v>
      </c>
      <c r="J50">
        <v>20.873408442623699</v>
      </c>
      <c r="K50">
        <v>10.6346426395479</v>
      </c>
      <c r="L50">
        <v>1.4127343884097433E-3</v>
      </c>
      <c r="M50">
        <v>2.7326234121145604E-4</v>
      </c>
      <c r="N50" s="1">
        <v>8.4924439207535699E-6</v>
      </c>
      <c r="O50" s="1">
        <v>3.0949945028851301E-6</v>
      </c>
      <c r="P50" s="1">
        <v>-9.3004847232097303E-6</v>
      </c>
      <c r="AE50">
        <v>100</v>
      </c>
      <c r="AJ50">
        <v>1</v>
      </c>
    </row>
    <row r="51" spans="1:36" x14ac:dyDescent="0.2">
      <c r="A51">
        <v>50</v>
      </c>
      <c r="B51">
        <v>751</v>
      </c>
      <c r="C51">
        <v>225</v>
      </c>
      <c r="D51">
        <v>0.35185324415369101</v>
      </c>
      <c r="E51">
        <v>5.2962910977658098</v>
      </c>
      <c r="F51">
        <v>0.497709896012688</v>
      </c>
      <c r="G51">
        <v>-114.9933407697675</v>
      </c>
      <c r="H51">
        <v>-67.375704884405394</v>
      </c>
      <c r="I51">
        <v>46.497746178155303</v>
      </c>
      <c r="J51">
        <v>20.928292239098401</v>
      </c>
      <c r="K51">
        <v>10.641321661867799</v>
      </c>
      <c r="L51">
        <v>1.413927829127015E-3</v>
      </c>
      <c r="M51">
        <v>2.7277298452397315E-4</v>
      </c>
      <c r="N51" s="1">
        <v>8.6149821278040195E-6</v>
      </c>
      <c r="O51" s="1">
        <v>3.0910381948122E-6</v>
      </c>
      <c r="P51" s="1">
        <v>-9.3206822239669796E-6</v>
      </c>
      <c r="AE51">
        <v>100</v>
      </c>
      <c r="AJ51">
        <v>1</v>
      </c>
    </row>
    <row r="52" spans="1:36" x14ac:dyDescent="0.2">
      <c r="A52">
        <v>51</v>
      </c>
      <c r="B52">
        <v>750</v>
      </c>
      <c r="C52">
        <v>225</v>
      </c>
      <c r="D52">
        <v>0.35115134633240402</v>
      </c>
      <c r="E52">
        <v>5.3506108754043398</v>
      </c>
      <c r="F52">
        <v>0.49841441544936699</v>
      </c>
      <c r="G52">
        <v>-116.12577022675725</v>
      </c>
      <c r="H52">
        <v>-68.087872150487613</v>
      </c>
      <c r="I52">
        <v>46.953975491743797</v>
      </c>
      <c r="J52">
        <v>21.155280926558401</v>
      </c>
      <c r="K52">
        <v>10.7352650917615</v>
      </c>
      <c r="L52">
        <v>1.4151135890225653E-3</v>
      </c>
      <c r="M52">
        <v>2.7228191468116423E-4</v>
      </c>
      <c r="N52" s="1">
        <v>8.8099357079163602E-6</v>
      </c>
      <c r="O52" s="1">
        <v>3.1123355018754202E-6</v>
      </c>
      <c r="P52" s="1">
        <v>-9.4173509991572106E-6</v>
      </c>
      <c r="AE52">
        <v>100</v>
      </c>
      <c r="AJ52">
        <v>1</v>
      </c>
    </row>
    <row r="53" spans="1:36" x14ac:dyDescent="0.2">
      <c r="A53">
        <v>52</v>
      </c>
      <c r="B53">
        <v>749</v>
      </c>
      <c r="C53">
        <v>225</v>
      </c>
      <c r="D53">
        <v>0.350448075135744</v>
      </c>
      <c r="E53">
        <v>5.4573324585832399</v>
      </c>
      <c r="F53">
        <v>0.49912052205220397</v>
      </c>
      <c r="G53">
        <v>-118.39409796045481</v>
      </c>
      <c r="H53">
        <v>-69.467514724298297</v>
      </c>
      <c r="I53">
        <v>47.869399067561403</v>
      </c>
      <c r="J53">
        <v>21.589811643662799</v>
      </c>
      <c r="K53">
        <v>10.933897160037899</v>
      </c>
      <c r="L53">
        <v>1.4162915877691446E-3</v>
      </c>
      <c r="M53">
        <v>2.7178913529151436E-4</v>
      </c>
      <c r="N53" s="1">
        <v>9.0947112900085699E-6</v>
      </c>
      <c r="O53" s="1">
        <v>3.1637810780838701E-6</v>
      </c>
      <c r="P53" s="1">
        <v>-9.6061457946338298E-6</v>
      </c>
      <c r="AE53">
        <v>100</v>
      </c>
      <c r="AJ53">
        <v>1</v>
      </c>
    </row>
    <row r="54" spans="1:36" x14ac:dyDescent="0.2">
      <c r="A54">
        <v>53</v>
      </c>
      <c r="B54">
        <v>748</v>
      </c>
      <c r="C54">
        <v>225</v>
      </c>
      <c r="D54">
        <v>0.34974342652891699</v>
      </c>
      <c r="E54">
        <v>6.0887581158897701</v>
      </c>
      <c r="F54">
        <v>0.49982821584070197</v>
      </c>
      <c r="G54">
        <v>-132.03916555266497</v>
      </c>
      <c r="H54">
        <v>-77.529157451699305</v>
      </c>
      <c r="I54">
        <v>53.384412145377297</v>
      </c>
      <c r="J54">
        <v>24.101812016017298</v>
      </c>
      <c r="K54">
        <v>12.1817014784741</v>
      </c>
      <c r="L54">
        <v>1.4174617450838844E-3</v>
      </c>
      <c r="M54">
        <v>2.7129465011387977E-4</v>
      </c>
      <c r="N54" s="1">
        <v>1.0269027528454799E-5</v>
      </c>
      <c r="O54" s="1">
        <v>3.51795378724519E-6</v>
      </c>
      <c r="P54" s="1">
        <v>-1.07185155197393E-5</v>
      </c>
      <c r="AE54">
        <v>100</v>
      </c>
      <c r="AJ54">
        <v>1</v>
      </c>
    </row>
    <row r="55" spans="1:36" x14ac:dyDescent="0.2">
      <c r="A55">
        <v>54</v>
      </c>
      <c r="B55">
        <v>747</v>
      </c>
      <c r="C55">
        <v>225</v>
      </c>
      <c r="D55">
        <v>0.34903739646130499</v>
      </c>
      <c r="E55">
        <v>7.0788018432944897</v>
      </c>
      <c r="F55">
        <v>0.50053749678325199</v>
      </c>
      <c r="G55">
        <v>-153.44693558617811</v>
      </c>
      <c r="H55">
        <v>-90.163575841439581</v>
      </c>
      <c r="I55">
        <v>62.0373579079954</v>
      </c>
      <c r="J55">
        <v>28.037079261557299</v>
      </c>
      <c r="K55">
        <v>14.1424006968249</v>
      </c>
      <c r="L55">
        <v>1.4186239807389416E-3</v>
      </c>
      <c r="M55">
        <v>2.7079846305825764E-4</v>
      </c>
      <c r="N55" s="1">
        <v>1.20810878135335E-5</v>
      </c>
      <c r="O55" s="1">
        <v>4.0761386180943501E-6</v>
      </c>
      <c r="P55" s="1">
        <v>-1.2462253045119199E-5</v>
      </c>
      <c r="AE55">
        <v>100</v>
      </c>
      <c r="AJ55">
        <v>1</v>
      </c>
    </row>
    <row r="56" spans="1:36" x14ac:dyDescent="0.2">
      <c r="A56">
        <v>55</v>
      </c>
      <c r="B56">
        <v>746</v>
      </c>
      <c r="C56">
        <v>225</v>
      </c>
      <c r="D56">
        <v>0.34832998086640898</v>
      </c>
      <c r="E56">
        <v>10.2687783185815</v>
      </c>
      <c r="F56">
        <v>0.50124836479679802</v>
      </c>
      <c r="G56">
        <v>-222.50596829456882</v>
      </c>
      <c r="H56">
        <v>-130.83538474467881</v>
      </c>
      <c r="I56">
        <v>89.953843865396806</v>
      </c>
      <c r="J56">
        <v>40.695213661409902</v>
      </c>
      <c r="K56">
        <v>20.486407616999301</v>
      </c>
      <c r="L56">
        <v>1.4197782145724304E-3</v>
      </c>
      <c r="M56">
        <v>2.7030057818655599E-4</v>
      </c>
      <c r="N56" s="1">
        <v>1.7732296060706399E-5</v>
      </c>
      <c r="O56" s="1">
        <v>5.8928867655353198E-6</v>
      </c>
      <c r="P56" s="1">
        <v>-1.80792395614881E-5</v>
      </c>
      <c r="AE56">
        <v>100</v>
      </c>
      <c r="AJ56">
        <v>1</v>
      </c>
    </row>
    <row r="57" spans="1:36" x14ac:dyDescent="0.2">
      <c r="A57">
        <v>56</v>
      </c>
      <c r="B57">
        <v>745</v>
      </c>
      <c r="C57">
        <v>225</v>
      </c>
      <c r="D57">
        <v>0.347621175661739</v>
      </c>
      <c r="E57">
        <v>10.6200774112428</v>
      </c>
      <c r="F57">
        <v>0.50196081974649398</v>
      </c>
      <c r="G57">
        <v>-230.02497763880672</v>
      </c>
      <c r="H57">
        <v>-135.35341617953765</v>
      </c>
      <c r="I57">
        <v>92.989872729667695</v>
      </c>
      <c r="J57">
        <v>42.1117478880617</v>
      </c>
      <c r="K57">
        <v>21.157183974251801</v>
      </c>
      <c r="L57">
        <v>1.4209243664991033E-3</v>
      </c>
      <c r="M57">
        <v>2.6980099971325196E-4</v>
      </c>
      <c r="N57" s="1">
        <v>1.8553618061005299E-5</v>
      </c>
      <c r="O57" s="1">
        <v>6.0736454781520396E-6</v>
      </c>
      <c r="P57" s="1">
        <v>-1.8698521283345201E-5</v>
      </c>
      <c r="AE57">
        <v>100</v>
      </c>
      <c r="AJ57">
        <v>1</v>
      </c>
    </row>
    <row r="58" spans="1:36" x14ac:dyDescent="0.2">
      <c r="A58">
        <v>57</v>
      </c>
      <c r="B58">
        <v>760</v>
      </c>
      <c r="C58">
        <v>200</v>
      </c>
      <c r="D58">
        <v>0.38472680636887402</v>
      </c>
      <c r="E58">
        <v>5.6014800055213199</v>
      </c>
      <c r="F58">
        <v>0.45505687206717499</v>
      </c>
      <c r="G58">
        <v>-122.35888220198427</v>
      </c>
      <c r="H58">
        <v>-70.907292741344605</v>
      </c>
      <c r="I58">
        <v>49.803799033508298</v>
      </c>
      <c r="J58">
        <v>22.212248268869601</v>
      </c>
      <c r="K58">
        <v>12.309406470614499</v>
      </c>
      <c r="L58">
        <v>1.5294024524042345E-3</v>
      </c>
      <c r="M58">
        <v>3.418239052123918E-4</v>
      </c>
      <c r="N58" s="1">
        <v>6.6384570150326003E-6</v>
      </c>
      <c r="O58" s="1">
        <v>5.1918471678867703E-6</v>
      </c>
      <c r="P58" s="1">
        <v>-1.30189622107057E-5</v>
      </c>
      <c r="AE58">
        <v>100</v>
      </c>
      <c r="AJ58">
        <v>1</v>
      </c>
    </row>
    <row r="59" spans="1:36" x14ac:dyDescent="0.2">
      <c r="A59">
        <v>58</v>
      </c>
      <c r="B59">
        <v>759</v>
      </c>
      <c r="C59">
        <v>200</v>
      </c>
      <c r="D59">
        <v>0.38406287845759102</v>
      </c>
      <c r="E59">
        <v>5.6034707352251001</v>
      </c>
      <c r="F59">
        <v>0.45575377923867499</v>
      </c>
      <c r="G59">
        <v>-122.35255701667359</v>
      </c>
      <c r="H59">
        <v>-70.954720926092634</v>
      </c>
      <c r="I59">
        <v>49.799973589718697</v>
      </c>
      <c r="J59">
        <v>22.2362418406567</v>
      </c>
      <c r="K59">
        <v>12.294951771075899</v>
      </c>
      <c r="L59">
        <v>1.5311987457172483E-3</v>
      </c>
      <c r="M59">
        <v>3.4128771137268034E-4</v>
      </c>
      <c r="N59" s="1">
        <v>6.7840579259542899E-6</v>
      </c>
      <c r="O59" s="1">
        <v>5.1787187729351997E-6</v>
      </c>
      <c r="P59" s="1">
        <v>-1.30340077781263E-5</v>
      </c>
      <c r="AE59">
        <v>100</v>
      </c>
      <c r="AJ59">
        <v>1</v>
      </c>
    </row>
    <row r="60" spans="1:36" x14ac:dyDescent="0.2">
      <c r="A60">
        <v>59</v>
      </c>
      <c r="B60">
        <v>758</v>
      </c>
      <c r="C60">
        <v>200</v>
      </c>
      <c r="D60">
        <v>0.383397662803666</v>
      </c>
      <c r="E60">
        <v>5.6135757236803503</v>
      </c>
      <c r="F60">
        <v>0.45645257202433998</v>
      </c>
      <c r="G60">
        <v>-122.52332185172789</v>
      </c>
      <c r="H60">
        <v>-71.104961140544503</v>
      </c>
      <c r="I60">
        <v>49.868179356956297</v>
      </c>
      <c r="J60">
        <v>22.292467287315102</v>
      </c>
      <c r="K60">
        <v>12.298267263090301</v>
      </c>
      <c r="L60">
        <v>1.5329879985900396E-3</v>
      </c>
      <c r="M60">
        <v>3.407488416533214E-4</v>
      </c>
      <c r="N60" s="1">
        <v>6.94066034059969E-6</v>
      </c>
      <c r="O60" s="1">
        <v>5.1730115950210302E-6</v>
      </c>
      <c r="P60" s="1">
        <v>-1.30678026478335E-5</v>
      </c>
      <c r="AE60">
        <v>100</v>
      </c>
      <c r="AJ60">
        <v>1</v>
      </c>
    </row>
    <row r="61" spans="1:36" x14ac:dyDescent="0.2">
      <c r="A61">
        <v>60</v>
      </c>
      <c r="B61">
        <v>757</v>
      </c>
      <c r="C61">
        <v>200</v>
      </c>
      <c r="D61">
        <v>0.38273115565694399</v>
      </c>
      <c r="E61">
        <v>5.6236342967165696</v>
      </c>
      <c r="F61">
        <v>0.45715325257592998</v>
      </c>
      <c r="G61">
        <v>-122.69291610816904</v>
      </c>
      <c r="H61">
        <v>-71.254709626185956</v>
      </c>
      <c r="I61">
        <v>49.935858535998001</v>
      </c>
      <c r="J61">
        <v>22.348562960070101</v>
      </c>
      <c r="K61">
        <v>12.301420289648901</v>
      </c>
      <c r="L61">
        <v>1.5347700870519453E-3</v>
      </c>
      <c r="M61">
        <v>3.4020729273536902E-4</v>
      </c>
      <c r="N61" s="1">
        <v>7.0985888952284898E-6</v>
      </c>
      <c r="O61" s="1">
        <v>5.1671618587197499E-6</v>
      </c>
      <c r="P61" s="1">
        <v>-1.31013761018363E-5</v>
      </c>
      <c r="AE61">
        <v>100</v>
      </c>
      <c r="AJ61">
        <v>1</v>
      </c>
    </row>
    <row r="62" spans="1:36" x14ac:dyDescent="0.2">
      <c r="A62">
        <v>61</v>
      </c>
      <c r="B62">
        <v>756</v>
      </c>
      <c r="C62">
        <v>200</v>
      </c>
      <c r="D62">
        <v>0.38206335325268598</v>
      </c>
      <c r="E62">
        <v>5.6670587597080599</v>
      </c>
      <c r="F62">
        <v>0.45785582298683303</v>
      </c>
      <c r="G62">
        <v>-123.59001321491152</v>
      </c>
      <c r="H62">
        <v>-71.827452039114732</v>
      </c>
      <c r="I62">
        <v>50.299571699768101</v>
      </c>
      <c r="J62">
        <v>22.5374056072651</v>
      </c>
      <c r="K62">
        <v>12.3773871057025</v>
      </c>
      <c r="L62">
        <v>1.5365448866216137E-3</v>
      </c>
      <c r="M62">
        <v>3.3966306150425685E-4</v>
      </c>
      <c r="N62" s="1">
        <v>7.3008845120859802E-6</v>
      </c>
      <c r="O62" s="1">
        <v>5.1917798035231696E-6</v>
      </c>
      <c r="P62" s="1">
        <v>-1.3212624507246101E-5</v>
      </c>
      <c r="AE62">
        <v>100</v>
      </c>
      <c r="AJ62">
        <v>1</v>
      </c>
    </row>
    <row r="63" spans="1:36" x14ac:dyDescent="0.2">
      <c r="A63">
        <v>62</v>
      </c>
      <c r="B63">
        <v>755</v>
      </c>
      <c r="C63">
        <v>200</v>
      </c>
      <c r="D63">
        <v>0.38139425181150599</v>
      </c>
      <c r="E63">
        <v>5.7646802420532399</v>
      </c>
      <c r="F63">
        <v>0.45856028529133602</v>
      </c>
      <c r="G63">
        <v>-125.66783576826379</v>
      </c>
      <c r="H63">
        <v>-73.087694868905757</v>
      </c>
      <c r="I63">
        <v>51.143743425944102</v>
      </c>
      <c r="J63">
        <v>22.9421852347289</v>
      </c>
      <c r="K63">
        <v>12.571259280316299</v>
      </c>
      <c r="L63">
        <v>1.5383122723209872E-3</v>
      </c>
      <c r="M63">
        <v>3.3911614505275191E-4</v>
      </c>
      <c r="N63" s="1">
        <v>7.5775485834721002E-6</v>
      </c>
      <c r="O63" s="1">
        <v>5.2656221909810897E-6</v>
      </c>
      <c r="P63" s="1">
        <v>-1.34503235175622E-5</v>
      </c>
      <c r="AE63">
        <v>100</v>
      </c>
      <c r="AJ63">
        <v>1</v>
      </c>
    </row>
    <row r="64" spans="1:36" x14ac:dyDescent="0.2">
      <c r="A64">
        <v>63</v>
      </c>
      <c r="B64">
        <v>754</v>
      </c>
      <c r="C64">
        <v>200</v>
      </c>
      <c r="D64">
        <v>0.38072384753930699</v>
      </c>
      <c r="E64">
        <v>5.8625901093891404</v>
      </c>
      <c r="F64">
        <v>0.45926664146385499</v>
      </c>
      <c r="G64">
        <v>-127.75023258231744</v>
      </c>
      <c r="H64">
        <v>-74.352388715281478</v>
      </c>
      <c r="I64">
        <v>51.989679015821203</v>
      </c>
      <c r="J64">
        <v>23.348668121275001</v>
      </c>
      <c r="K64">
        <v>12.7651119852791</v>
      </c>
      <c r="L64">
        <v>1.5400721186903533E-3</v>
      </c>
      <c r="M64">
        <v>3.3856654068413548E-4</v>
      </c>
      <c r="N64" s="1">
        <v>7.8605946567036403E-6</v>
      </c>
      <c r="O64" s="1">
        <v>5.3391514551259396E-6</v>
      </c>
      <c r="P64" s="1">
        <v>-1.36888728767114E-5</v>
      </c>
      <c r="AE64">
        <v>100</v>
      </c>
      <c r="AJ64">
        <v>1</v>
      </c>
    </row>
    <row r="65" spans="1:36" x14ac:dyDescent="0.2">
      <c r="A65">
        <v>64</v>
      </c>
      <c r="B65">
        <v>753</v>
      </c>
      <c r="C65">
        <v>200</v>
      </c>
      <c r="D65">
        <v>0.380052136627202</v>
      </c>
      <c r="E65">
        <v>5.9610964773335997</v>
      </c>
      <c r="F65">
        <v>0.45997489341823899</v>
      </c>
      <c r="G65">
        <v>-129.84390849772484</v>
      </c>
      <c r="H65">
        <v>-75.625446768019103</v>
      </c>
      <c r="I65">
        <v>52.840104307521599</v>
      </c>
      <c r="J65">
        <v>23.758083707116501</v>
      </c>
      <c r="K65">
        <v>12.959612715021301</v>
      </c>
      <c r="L65">
        <v>1.541824299803552E-3</v>
      </c>
      <c r="M65">
        <v>3.3801424591524664E-4</v>
      </c>
      <c r="N65" s="1">
        <v>8.1505048781700802E-6</v>
      </c>
      <c r="O65" s="1">
        <v>5.4126426419998297E-6</v>
      </c>
      <c r="P65" s="1">
        <v>-1.39289829435918E-5</v>
      </c>
      <c r="AE65">
        <v>100</v>
      </c>
      <c r="AJ65">
        <v>1</v>
      </c>
    </row>
    <row r="66" spans="1:36" x14ac:dyDescent="0.2">
      <c r="A66">
        <v>65</v>
      </c>
      <c r="B66">
        <v>752</v>
      </c>
      <c r="C66">
        <v>200</v>
      </c>
      <c r="D66">
        <v>0.37937911525142798</v>
      </c>
      <c r="E66">
        <v>6.8865233741540504</v>
      </c>
      <c r="F66">
        <v>0.46068504300701602</v>
      </c>
      <c r="G66">
        <v>-149.94041941980763</v>
      </c>
      <c r="H66">
        <v>-87.393330787934019</v>
      </c>
      <c r="I66">
        <v>61.016465418162397</v>
      </c>
      <c r="J66">
        <v>27.4661381814885</v>
      </c>
      <c r="K66">
        <v>14.948441410651901</v>
      </c>
      <c r="L66">
        <v>1.5435686892833393E-3</v>
      </c>
      <c r="M66">
        <v>3.3745925847954796E-4</v>
      </c>
      <c r="N66" s="1">
        <v>9.5991845642013506E-6</v>
      </c>
      <c r="O66" s="1">
        <v>6.2341310156826998E-6</v>
      </c>
      <c r="P66" s="1">
        <v>-1.6102849973133902E-5</v>
      </c>
      <c r="AE66">
        <v>100</v>
      </c>
      <c r="AJ66">
        <v>1</v>
      </c>
    </row>
    <row r="67" spans="1:36" x14ac:dyDescent="0.2">
      <c r="A67">
        <v>66</v>
      </c>
      <c r="B67">
        <v>751</v>
      </c>
      <c r="C67">
        <v>200</v>
      </c>
      <c r="D67">
        <v>0.378704779573308</v>
      </c>
      <c r="E67">
        <v>9.5494079171640198</v>
      </c>
      <c r="F67">
        <v>0.46139709202066598</v>
      </c>
      <c r="G67">
        <v>-207.83486926970772</v>
      </c>
      <c r="H67">
        <v>-121.22473114125813</v>
      </c>
      <c r="I67">
        <v>84.573161046780797</v>
      </c>
      <c r="J67">
        <v>38.114125966687297</v>
      </c>
      <c r="K67">
        <v>20.6967232397214</v>
      </c>
      <c r="L67">
        <v>1.5453051603175102E-3</v>
      </c>
      <c r="M67">
        <v>3.3690157633022602E-4</v>
      </c>
      <c r="N67" s="1">
        <v>1.3566673182202301E-5</v>
      </c>
      <c r="O67" s="1">
        <v>8.6186091127420305E-6</v>
      </c>
      <c r="P67" s="1">
        <v>-2.2345131919779801E-5</v>
      </c>
      <c r="AE67">
        <v>100</v>
      </c>
      <c r="AJ67">
        <v>1</v>
      </c>
    </row>
    <row r="68" spans="1:36" x14ac:dyDescent="0.2">
      <c r="A68">
        <v>67</v>
      </c>
      <c r="B68">
        <v>750</v>
      </c>
      <c r="C68">
        <v>200</v>
      </c>
      <c r="D68">
        <v>0.37802912573913899</v>
      </c>
      <c r="E68">
        <v>10.442631119979</v>
      </c>
      <c r="F68">
        <v>0.46211104218689197</v>
      </c>
      <c r="G68">
        <v>-227.18266101637633</v>
      </c>
      <c r="H68">
        <v>-132.60542595922962</v>
      </c>
      <c r="I68">
        <v>92.443152003053797</v>
      </c>
      <c r="J68">
        <v>41.709118935568597</v>
      </c>
      <c r="K68">
        <v>22.597666289384499</v>
      </c>
      <c r="L68">
        <v>1.5470335856745735E-3</v>
      </c>
      <c r="M68">
        <v>3.3634119764314386E-4</v>
      </c>
      <c r="N68" s="1">
        <v>1.51167745928688E-5</v>
      </c>
      <c r="O68" s="1">
        <v>9.3960994273084507E-6</v>
      </c>
      <c r="P68" s="1">
        <v>-2.44519999779127E-5</v>
      </c>
      <c r="AE68">
        <v>100</v>
      </c>
      <c r="AJ68">
        <v>1</v>
      </c>
    </row>
    <row r="69" spans="1:36" x14ac:dyDescent="0.2">
      <c r="A69">
        <v>68</v>
      </c>
      <c r="B69">
        <v>749</v>
      </c>
      <c r="C69">
        <v>200</v>
      </c>
      <c r="D69">
        <v>0.37735214988015597</v>
      </c>
      <c r="E69">
        <v>10.683738815930001</v>
      </c>
      <c r="F69">
        <v>0.46282689516988901</v>
      </c>
      <c r="G69">
        <v>-232.33347662355669</v>
      </c>
      <c r="H69">
        <v>-135.70981195067623</v>
      </c>
      <c r="I69">
        <v>94.535810364709306</v>
      </c>
      <c r="J69">
        <v>42.702716275697597</v>
      </c>
      <c r="K69">
        <v>23.083660278662698</v>
      </c>
      <c r="L69">
        <v>1.5487538377205387E-3</v>
      </c>
      <c r="M69">
        <v>3.3577812081994103E-4</v>
      </c>
      <c r="N69" s="1">
        <v>1.5754960585075199E-5</v>
      </c>
      <c r="O69" s="1">
        <v>9.5836266839485206E-6</v>
      </c>
      <c r="P69" s="1">
        <v>-2.5033399028001798E-5</v>
      </c>
      <c r="AE69">
        <v>100</v>
      </c>
      <c r="AJ69">
        <v>1</v>
      </c>
    </row>
    <row r="70" spans="1:36" x14ac:dyDescent="0.2">
      <c r="A70">
        <v>69</v>
      </c>
      <c r="B70">
        <v>765</v>
      </c>
      <c r="C70">
        <v>175</v>
      </c>
      <c r="D70">
        <v>0.41451668833983701</v>
      </c>
      <c r="E70">
        <v>5.9928830979851497</v>
      </c>
      <c r="F70">
        <v>0.40990071422263102</v>
      </c>
      <c r="G70">
        <v>-131.5231067030835</v>
      </c>
      <c r="H70">
        <v>-75.517787012278816</v>
      </c>
      <c r="I70">
        <v>53.950536229368097</v>
      </c>
      <c r="J70">
        <v>23.788810550322101</v>
      </c>
      <c r="K70">
        <v>14.6203285089427</v>
      </c>
      <c r="L70">
        <v>1.6546654349248423E-3</v>
      </c>
      <c r="M70">
        <v>4.35945822597033E-4</v>
      </c>
      <c r="N70" s="1">
        <v>1.48223592519327E-6</v>
      </c>
      <c r="O70" s="1">
        <v>9.1317689327355295E-6</v>
      </c>
      <c r="P70" s="1">
        <v>-1.8504421565377398E-5</v>
      </c>
      <c r="AE70">
        <v>100</v>
      </c>
      <c r="AJ70">
        <v>1</v>
      </c>
    </row>
    <row r="71" spans="1:36" x14ac:dyDescent="0.2">
      <c r="A71">
        <v>70</v>
      </c>
      <c r="B71">
        <v>764</v>
      </c>
      <c r="C71">
        <v>175</v>
      </c>
      <c r="D71">
        <v>0.41388468398978101</v>
      </c>
      <c r="E71">
        <v>6.0003226510240104</v>
      </c>
      <c r="F71">
        <v>0.41058006522061502</v>
      </c>
      <c r="G71">
        <v>-131.63237319186922</v>
      </c>
      <c r="H71">
        <v>-75.63536368705519</v>
      </c>
      <c r="I71">
        <v>53.994545878510301</v>
      </c>
      <c r="J71">
        <v>23.839754125252298</v>
      </c>
      <c r="K71">
        <v>14.614257143244</v>
      </c>
      <c r="L71">
        <v>1.6573001620850665E-3</v>
      </c>
      <c r="M71">
        <v>4.3539960093590103E-4</v>
      </c>
      <c r="N71" s="1">
        <v>1.6624108739009501E-6</v>
      </c>
      <c r="O71" s="1">
        <v>9.1214790668422192E-6</v>
      </c>
      <c r="P71" s="1">
        <v>-1.85559406186955E-5</v>
      </c>
      <c r="AE71">
        <v>100</v>
      </c>
      <c r="AJ71">
        <v>1</v>
      </c>
    </row>
    <row r="72" spans="1:36" x14ac:dyDescent="0.2">
      <c r="A72">
        <v>71</v>
      </c>
      <c r="B72">
        <v>763</v>
      </c>
      <c r="C72">
        <v>175</v>
      </c>
      <c r="D72">
        <v>0.41325145973073701</v>
      </c>
      <c r="E72">
        <v>6.0237447774116299</v>
      </c>
      <c r="F72">
        <v>0.41126162494439</v>
      </c>
      <c r="G72">
        <v>-132.09200347371643</v>
      </c>
      <c r="H72">
        <v>-75.954548223285798</v>
      </c>
      <c r="I72">
        <v>54.1822153231603</v>
      </c>
      <c r="J72">
        <v>23.954335666915899</v>
      </c>
      <c r="K72">
        <v>14.646989682604399</v>
      </c>
      <c r="L72">
        <v>1.6599311622991152E-3</v>
      </c>
      <c r="M72">
        <v>4.3484956205187592E-4</v>
      </c>
      <c r="N72" s="1">
        <v>1.84976531828437E-6</v>
      </c>
      <c r="O72" s="1">
        <v>9.1352873138681008E-6</v>
      </c>
      <c r="P72" s="1">
        <v>-1.86569568110074E-5</v>
      </c>
      <c r="AE72">
        <v>100</v>
      </c>
      <c r="AJ72">
        <v>1</v>
      </c>
    </row>
    <row r="73" spans="1:36" x14ac:dyDescent="0.2">
      <c r="A73">
        <v>72</v>
      </c>
      <c r="B73">
        <v>762</v>
      </c>
      <c r="C73">
        <v>175</v>
      </c>
      <c r="D73">
        <v>0.41261701202724399</v>
      </c>
      <c r="E73">
        <v>6.0738075088638901</v>
      </c>
      <c r="F73">
        <v>0.411945399082977</v>
      </c>
      <c r="G73">
        <v>-133.13518585202641</v>
      </c>
      <c r="H73">
        <v>-76.609963044724481</v>
      </c>
      <c r="I73">
        <v>54.609185734369902</v>
      </c>
      <c r="J73">
        <v>24.175147390155701</v>
      </c>
      <c r="K73">
        <v>14.7442052329863</v>
      </c>
      <c r="L73">
        <v>1.6625582699135513E-3</v>
      </c>
      <c r="M73">
        <v>4.3429568703726639E-4</v>
      </c>
      <c r="N73" s="1">
        <v>2.04936109425482E-6</v>
      </c>
      <c r="O73" s="1">
        <v>9.18914325969304E-6</v>
      </c>
      <c r="P73" s="1">
        <v>-1.8840753405169E-5</v>
      </c>
      <c r="AE73">
        <v>100</v>
      </c>
      <c r="AJ73">
        <v>1</v>
      </c>
    </row>
    <row r="74" spans="1:36" x14ac:dyDescent="0.2">
      <c r="A74">
        <v>73</v>
      </c>
      <c r="B74">
        <v>761</v>
      </c>
      <c r="C74">
        <v>175</v>
      </c>
      <c r="D74">
        <v>0.411981337330175</v>
      </c>
      <c r="E74">
        <v>6.16231309501529</v>
      </c>
      <c r="F74">
        <v>0.412631393275806</v>
      </c>
      <c r="G74">
        <v>-135.01979624624869</v>
      </c>
      <c r="H74">
        <v>-77.750837450426445</v>
      </c>
      <c r="I74">
        <v>55.381216699496697</v>
      </c>
      <c r="J74">
        <v>24.549492962936299</v>
      </c>
      <c r="K74">
        <v>14.9341838634569</v>
      </c>
      <c r="L74">
        <v>1.6651813175267128E-3</v>
      </c>
      <c r="M74">
        <v>4.3373795712486944E-4</v>
      </c>
      <c r="N74" s="1">
        <v>2.2680163391159099E-6</v>
      </c>
      <c r="O74" s="1">
        <v>9.3005665123375706E-6</v>
      </c>
      <c r="P74" s="1">
        <v>-1.9144368100034901E-5</v>
      </c>
      <c r="AE74">
        <v>100</v>
      </c>
      <c r="AJ74">
        <v>1</v>
      </c>
    </row>
    <row r="75" spans="1:36" x14ac:dyDescent="0.2">
      <c r="A75">
        <v>74</v>
      </c>
      <c r="B75">
        <v>760</v>
      </c>
      <c r="C75">
        <v>175</v>
      </c>
      <c r="D75">
        <v>0.41134443207665999</v>
      </c>
      <c r="E75">
        <v>6.2509973690815404</v>
      </c>
      <c r="F75">
        <v>0.41331961311145299</v>
      </c>
      <c r="G75">
        <v>-136.90675311411923</v>
      </c>
      <c r="H75">
        <v>-78.894694366060378</v>
      </c>
      <c r="I75">
        <v>56.1541266540276</v>
      </c>
      <c r="J75">
        <v>24.925211291431101</v>
      </c>
      <c r="K75">
        <v>15.1238827551015</v>
      </c>
      <c r="L75">
        <v>1.6678001359930624E-3</v>
      </c>
      <c r="M75">
        <v>4.3317635369420935E-4</v>
      </c>
      <c r="N75" s="1">
        <v>2.4940827937859201E-6</v>
      </c>
      <c r="O75" s="1">
        <v>9.4115212766705698E-6</v>
      </c>
      <c r="P75" s="1">
        <v>-1.94492820721129E-5</v>
      </c>
      <c r="AE75">
        <v>100</v>
      </c>
      <c r="AJ75">
        <v>1</v>
      </c>
    </row>
    <row r="76" spans="1:36" x14ac:dyDescent="0.2">
      <c r="A76">
        <v>75</v>
      </c>
      <c r="B76">
        <v>759</v>
      </c>
      <c r="C76">
        <v>175</v>
      </c>
      <c r="D76">
        <v>0.41070629269001901</v>
      </c>
      <c r="E76">
        <v>6.3401208788966299</v>
      </c>
      <c r="F76">
        <v>0.41401006412639402</v>
      </c>
      <c r="G76">
        <v>-138.80175678016806</v>
      </c>
      <c r="H76">
        <v>-80.044826357127391</v>
      </c>
      <c r="I76">
        <v>56.930251058020197</v>
      </c>
      <c r="J76">
        <v>25.303344333955501</v>
      </c>
      <c r="K76">
        <v>15.313929366125301</v>
      </c>
      <c r="L76">
        <v>1.6704145544284377E-3</v>
      </c>
      <c r="M76">
        <v>4.3261085827785297E-4</v>
      </c>
      <c r="N76" s="1">
        <v>2.72777465824187E-6</v>
      </c>
      <c r="O76" s="1">
        <v>9.5223924138438693E-6</v>
      </c>
      <c r="P76" s="1">
        <v>-1.9756301186812099E-5</v>
      </c>
      <c r="AE76">
        <v>100</v>
      </c>
      <c r="AJ76">
        <v>1</v>
      </c>
    </row>
    <row r="77" spans="1:36" x14ac:dyDescent="0.2">
      <c r="A77">
        <v>76</v>
      </c>
      <c r="B77">
        <v>758</v>
      </c>
      <c r="C77">
        <v>175</v>
      </c>
      <c r="D77">
        <v>0.41006691557969399</v>
      </c>
      <c r="E77">
        <v>6.4577829371236799</v>
      </c>
      <c r="F77">
        <v>0.41470275180371802</v>
      </c>
      <c r="G77">
        <v>-141.31971135793256</v>
      </c>
      <c r="H77">
        <v>-81.556109228751652</v>
      </c>
      <c r="I77">
        <v>57.9617879737485</v>
      </c>
      <c r="J77">
        <v>25.796141955884899</v>
      </c>
      <c r="K77">
        <v>15.572076406621401</v>
      </c>
      <c r="L77">
        <v>1.6730244002158931E-3</v>
      </c>
      <c r="M77">
        <v>4.3204145256789725E-4</v>
      </c>
      <c r="N77" s="1">
        <v>2.9821951355569299E-6</v>
      </c>
      <c r="O77" s="1">
        <v>9.6752698768875507E-6</v>
      </c>
      <c r="P77" s="1">
        <v>-2.0153113605930901E-5</v>
      </c>
      <c r="AE77">
        <v>100</v>
      </c>
      <c r="AJ77">
        <v>1</v>
      </c>
    </row>
    <row r="78" spans="1:36" x14ac:dyDescent="0.2">
      <c r="A78">
        <v>77</v>
      </c>
      <c r="B78">
        <v>757</v>
      </c>
      <c r="C78">
        <v>175</v>
      </c>
      <c r="D78">
        <v>0.40942629714119499</v>
      </c>
      <c r="E78">
        <v>7.3418115368495904</v>
      </c>
      <c r="F78">
        <v>0.41539768157183499</v>
      </c>
      <c r="G78">
        <v>-160.59958110980668</v>
      </c>
      <c r="H78">
        <v>-92.749952291052935</v>
      </c>
      <c r="I78">
        <v>65.867912686651394</v>
      </c>
      <c r="J78">
        <v>29.3538810810897</v>
      </c>
      <c r="K78">
        <v>17.6741755251707</v>
      </c>
      <c r="L78">
        <v>1.6756294990119022E-3</v>
      </c>
      <c r="M78">
        <v>4.3146811842239516E-4</v>
      </c>
      <c r="N78" s="1">
        <v>3.6243983235561901E-6</v>
      </c>
      <c r="O78" s="1">
        <v>1.0972535572584001E-5</v>
      </c>
      <c r="P78" s="1">
        <v>-2.2946118295100702E-5</v>
      </c>
      <c r="AE78">
        <v>100</v>
      </c>
      <c r="AJ78">
        <v>1</v>
      </c>
    </row>
    <row r="79" spans="1:36" x14ac:dyDescent="0.2">
      <c r="A79">
        <v>78</v>
      </c>
      <c r="B79">
        <v>756</v>
      </c>
      <c r="C79">
        <v>175</v>
      </c>
      <c r="D79">
        <v>0.40878443375601398</v>
      </c>
      <c r="E79">
        <v>9.6516361742259793</v>
      </c>
      <c r="F79">
        <v>0.41609485880319902</v>
      </c>
      <c r="G79">
        <v>-211.039621937417</v>
      </c>
      <c r="H79">
        <v>-121.96883980946829</v>
      </c>
      <c r="I79">
        <v>86.553277352034101</v>
      </c>
      <c r="J79">
        <v>38.623734508391898</v>
      </c>
      <c r="K79">
        <v>23.195759260248099</v>
      </c>
      <c r="L79">
        <v>1.678229674753767E-3</v>
      </c>
      <c r="M79">
        <v>4.3089083787200741E-4</v>
      </c>
      <c r="N79" s="1">
        <v>5.0752261477613304E-6</v>
      </c>
      <c r="O79" s="1">
        <v>1.43887070112349E-5</v>
      </c>
      <c r="P79" s="1">
        <v>-3.0210005828970201E-5</v>
      </c>
      <c r="AE79">
        <v>100</v>
      </c>
      <c r="AJ79">
        <v>1</v>
      </c>
    </row>
    <row r="80" spans="1:36" x14ac:dyDescent="0.2">
      <c r="A80">
        <v>79</v>
      </c>
      <c r="B80">
        <v>755</v>
      </c>
      <c r="C80">
        <v>175</v>
      </c>
      <c r="D80">
        <v>0.40814132179156798</v>
      </c>
      <c r="E80">
        <v>10.4534737414657</v>
      </c>
      <c r="F80">
        <v>0.41679428881299901</v>
      </c>
      <c r="G80">
        <v>-228.4786248044642</v>
      </c>
      <c r="H80">
        <v>-132.1436050035627</v>
      </c>
      <c r="I80">
        <v>93.703255284241706</v>
      </c>
      <c r="J80">
        <v>41.8701963307646</v>
      </c>
      <c r="K80">
        <v>25.0806549466799</v>
      </c>
      <c r="L80">
        <v>1.6808247496673272E-3</v>
      </c>
      <c r="M80">
        <v>4.3030959312664798E-4</v>
      </c>
      <c r="N80" s="1">
        <v>5.8364445723059602E-6</v>
      </c>
      <c r="O80" s="1">
        <v>1.5545023728053601E-5</v>
      </c>
      <c r="P80" s="1">
        <v>-3.2768069833740999E-5</v>
      </c>
      <c r="AE80">
        <v>100</v>
      </c>
      <c r="AJ80">
        <v>1</v>
      </c>
    </row>
    <row r="81" spans="1:36" x14ac:dyDescent="0.2">
      <c r="A81">
        <v>80</v>
      </c>
      <c r="B81">
        <v>754</v>
      </c>
      <c r="C81">
        <v>175</v>
      </c>
      <c r="D81">
        <v>0.40749695760112897</v>
      </c>
      <c r="E81">
        <v>10.6907357152842</v>
      </c>
      <c r="F81">
        <v>0.41749597685781797</v>
      </c>
      <c r="G81">
        <v>-233.56858359656241</v>
      </c>
      <c r="H81">
        <v>-135.18570164303878</v>
      </c>
      <c r="I81">
        <v>95.7883462483437</v>
      </c>
      <c r="J81">
        <v>42.859096007803998</v>
      </c>
      <c r="K81">
        <v>25.6067993654584</v>
      </c>
      <c r="L81">
        <v>1.6834145442753245E-3</v>
      </c>
      <c r="M81">
        <v>4.2972436658222473E-4</v>
      </c>
      <c r="N81" s="1">
        <v>6.3195102679678396E-6</v>
      </c>
      <c r="O81" s="1">
        <v>1.58577320462522E-5</v>
      </c>
      <c r="P81" s="1">
        <v>-3.3560975764279398E-5</v>
      </c>
      <c r="AE81">
        <v>100</v>
      </c>
      <c r="AJ81">
        <v>1</v>
      </c>
    </row>
    <row r="82" spans="1:36" x14ac:dyDescent="0.2">
      <c r="A82">
        <v>81</v>
      </c>
      <c r="B82">
        <v>776</v>
      </c>
      <c r="C82">
        <v>150</v>
      </c>
      <c r="D82">
        <v>0.447600915026452</v>
      </c>
      <c r="E82">
        <v>6.40302640777157</v>
      </c>
      <c r="F82">
        <v>0.35500396313718702</v>
      </c>
      <c r="G82">
        <v>-141.58244741066821</v>
      </c>
      <c r="H82">
        <v>-80.082144916366261</v>
      </c>
      <c r="I82">
        <v>58.622662821525303</v>
      </c>
      <c r="J82">
        <v>25.030313958529199</v>
      </c>
      <c r="K82">
        <v>18.036492751201099</v>
      </c>
      <c r="L82">
        <v>1.7449668098908986E-3</v>
      </c>
      <c r="M82">
        <v>5.7201298255247092E-4</v>
      </c>
      <c r="N82" s="1">
        <v>-1.1146754329014299E-5</v>
      </c>
      <c r="O82" s="1">
        <v>1.70961163564693E-5</v>
      </c>
      <c r="P82" s="1">
        <v>-2.5828242390776901E-5</v>
      </c>
      <c r="AE82">
        <v>100</v>
      </c>
      <c r="AJ82">
        <v>1</v>
      </c>
    </row>
    <row r="83" spans="1:36" x14ac:dyDescent="0.2">
      <c r="A83">
        <v>82</v>
      </c>
      <c r="B83">
        <v>775</v>
      </c>
      <c r="C83">
        <v>150</v>
      </c>
      <c r="D83">
        <v>0.44700710776129698</v>
      </c>
      <c r="E83">
        <v>6.40325285261315</v>
      </c>
      <c r="F83">
        <v>0.35562462570499698</v>
      </c>
      <c r="G83">
        <v>-141.52884171531664</v>
      </c>
      <c r="H83">
        <v>-80.110021696865189</v>
      </c>
      <c r="I83">
        <v>58.6008532680803</v>
      </c>
      <c r="J83">
        <v>25.058121580987901</v>
      </c>
      <c r="K83">
        <v>18.0056508739214</v>
      </c>
      <c r="L83">
        <v>1.74863251799447E-3</v>
      </c>
      <c r="M83">
        <v>5.7157698103235167E-4</v>
      </c>
      <c r="N83" s="1">
        <v>-1.09971114590505E-5</v>
      </c>
      <c r="O83" s="1">
        <v>1.7067254135606901E-5</v>
      </c>
      <c r="P83" s="1">
        <v>-2.5885506355680601E-5</v>
      </c>
      <c r="AE83">
        <v>100</v>
      </c>
      <c r="AJ83">
        <v>1</v>
      </c>
    </row>
    <row r="84" spans="1:36" x14ac:dyDescent="0.2">
      <c r="A84">
        <v>83</v>
      </c>
      <c r="B84">
        <v>774</v>
      </c>
      <c r="C84">
        <v>150</v>
      </c>
      <c r="D84">
        <v>0.44641216635630598</v>
      </c>
      <c r="E84">
        <v>6.4205622442259598</v>
      </c>
      <c r="F84">
        <v>0.35624768027248299</v>
      </c>
      <c r="G84">
        <v>-141.85267782919379</v>
      </c>
      <c r="H84">
        <v>-80.351715984850898</v>
      </c>
      <c r="I84">
        <v>58.735268189205598</v>
      </c>
      <c r="J84">
        <v>25.152945568161201</v>
      </c>
      <c r="K84">
        <v>18.022748216395499</v>
      </c>
      <c r="L84">
        <v>1.7523037160198556E-3</v>
      </c>
      <c r="M84">
        <v>5.7113666056184315E-4</v>
      </c>
      <c r="N84" s="1">
        <v>-1.0873689873805599E-5</v>
      </c>
      <c r="O84" s="1">
        <v>1.7083729118209499E-5</v>
      </c>
      <c r="P84" s="1">
        <v>-2.6012202244921E-5</v>
      </c>
      <c r="AE84">
        <v>100</v>
      </c>
      <c r="AJ84">
        <v>1</v>
      </c>
    </row>
    <row r="85" spans="1:36" x14ac:dyDescent="0.2">
      <c r="A85">
        <v>84</v>
      </c>
      <c r="B85">
        <v>773</v>
      </c>
      <c r="C85">
        <v>150</v>
      </c>
      <c r="D85">
        <v>0.44581608755914398</v>
      </c>
      <c r="E85">
        <v>6.44050904675517</v>
      </c>
      <c r="F85">
        <v>0.35687313754174299</v>
      </c>
      <c r="G85">
        <v>-142.2344667812753</v>
      </c>
      <c r="H85">
        <v>-80.626589895704214</v>
      </c>
      <c r="I85">
        <v>58.893621890111497</v>
      </c>
      <c r="J85">
        <v>25.258349994940701</v>
      </c>
      <c r="K85">
        <v>18.047054735246999</v>
      </c>
      <c r="L85">
        <v>1.7559802734019513E-3</v>
      </c>
      <c r="M85">
        <v>5.7069198063049414E-4</v>
      </c>
      <c r="N85" s="1">
        <v>-1.0751101121235299E-5</v>
      </c>
      <c r="O85" s="1">
        <v>1.7106932749652302E-5</v>
      </c>
      <c r="P85" s="1">
        <v>-2.6150129741585699E-5</v>
      </c>
      <c r="AE85">
        <v>100</v>
      </c>
      <c r="AJ85">
        <v>1</v>
      </c>
    </row>
    <row r="86" spans="1:36" x14ac:dyDescent="0.2">
      <c r="A86">
        <v>85</v>
      </c>
      <c r="B86">
        <v>772</v>
      </c>
      <c r="C86">
        <v>150</v>
      </c>
      <c r="D86">
        <v>0.44521886810505501</v>
      </c>
      <c r="E86">
        <v>6.4604744055024499</v>
      </c>
      <c r="F86">
        <v>0.35750100822311298</v>
      </c>
      <c r="G86">
        <v>-142.61632471284051</v>
      </c>
      <c r="H86">
        <v>-80.90187994002396</v>
      </c>
      <c r="I86">
        <v>59.051946469875098</v>
      </c>
      <c r="J86">
        <v>25.364086999308299</v>
      </c>
      <c r="K86">
        <v>18.071206113831401</v>
      </c>
      <c r="L86">
        <v>1.7596620566039769E-3</v>
      </c>
      <c r="M86">
        <v>5.7024290048188772E-4</v>
      </c>
      <c r="N86" s="1">
        <v>-1.0624790270248601E-5</v>
      </c>
      <c r="O86" s="1">
        <v>1.7129881951390999E-5</v>
      </c>
      <c r="P86" s="1">
        <v>-2.6288702151920099E-5</v>
      </c>
      <c r="AE86">
        <v>100</v>
      </c>
      <c r="AJ86">
        <v>1</v>
      </c>
    </row>
    <row r="87" spans="1:36" x14ac:dyDescent="0.2">
      <c r="A87">
        <v>86</v>
      </c>
      <c r="B87">
        <v>771</v>
      </c>
      <c r="C87">
        <v>150</v>
      </c>
      <c r="D87">
        <v>0.44462050471675502</v>
      </c>
      <c r="E87">
        <v>6.4804545090553303</v>
      </c>
      <c r="F87">
        <v>0.35813130303401502</v>
      </c>
      <c r="G87">
        <v>-142.99816728616418</v>
      </c>
      <c r="H87">
        <v>-81.177538937370528</v>
      </c>
      <c r="I87">
        <v>59.210206256581102</v>
      </c>
      <c r="J87">
        <v>25.470142192047899</v>
      </c>
      <c r="K87">
        <v>18.0951914958403</v>
      </c>
      <c r="L87">
        <v>1.7633489290803182E-3</v>
      </c>
      <c r="M87">
        <v>5.6978937911685359E-4</v>
      </c>
      <c r="N87" s="1">
        <v>-1.04946934175664E-5</v>
      </c>
      <c r="O87" s="1">
        <v>1.7152563826462401E-5</v>
      </c>
      <c r="P87" s="1">
        <v>-2.6427903971833501E-5</v>
      </c>
      <c r="AE87">
        <v>100</v>
      </c>
      <c r="AJ87">
        <v>1</v>
      </c>
    </row>
    <row r="88" spans="1:36" x14ac:dyDescent="0.2">
      <c r="A88">
        <v>87</v>
      </c>
      <c r="B88">
        <v>770</v>
      </c>
      <c r="C88">
        <v>150</v>
      </c>
      <c r="D88">
        <v>0.44402099410439499</v>
      </c>
      <c r="E88">
        <v>6.5004455851423701</v>
      </c>
      <c r="F88">
        <v>0.35876403269776902</v>
      </c>
      <c r="G88">
        <v>-143.37991116732999</v>
      </c>
      <c r="H88">
        <v>-81.453520138900402</v>
      </c>
      <c r="I88">
        <v>59.368365990093899</v>
      </c>
      <c r="J88">
        <v>25.576501249583401</v>
      </c>
      <c r="K88">
        <v>18.119000213765801</v>
      </c>
      <c r="L88">
        <v>1.767040751239434E-3</v>
      </c>
      <c r="M88">
        <v>5.6933137529686646E-4</v>
      </c>
      <c r="N88" s="1">
        <v>-1.03607466312187E-5</v>
      </c>
      <c r="O88" s="1">
        <v>1.7174965617168698E-5</v>
      </c>
      <c r="P88" s="1">
        <v>-2.6567719583415899E-5</v>
      </c>
      <c r="AE88">
        <v>100</v>
      </c>
      <c r="AJ88">
        <v>1</v>
      </c>
    </row>
    <row r="89" spans="1:36" x14ac:dyDescent="0.2">
      <c r="A89">
        <v>88</v>
      </c>
      <c r="B89">
        <v>769</v>
      </c>
      <c r="C89">
        <v>150</v>
      </c>
      <c r="D89">
        <v>0.44342033296550898</v>
      </c>
      <c r="E89">
        <v>6.5204439101246203</v>
      </c>
      <c r="F89">
        <v>0.359399207942393</v>
      </c>
      <c r="G89">
        <v>-143.76147423357182</v>
      </c>
      <c r="H89">
        <v>-81.729777346922191</v>
      </c>
      <c r="I89">
        <v>59.526390908272397</v>
      </c>
      <c r="J89">
        <v>25.683149951083699</v>
      </c>
      <c r="K89">
        <v>18.142621814485899</v>
      </c>
      <c r="L89">
        <v>1.7707373804070827E-3</v>
      </c>
      <c r="M89">
        <v>5.6886884754770936E-4</v>
      </c>
      <c r="N89" s="1">
        <v>-1.02228859850145E-5</v>
      </c>
      <c r="O89" s="1">
        <v>1.7197074729656099E-5</v>
      </c>
      <c r="P89" s="1">
        <v>-2.6708133290250201E-5</v>
      </c>
      <c r="AE89">
        <v>100</v>
      </c>
      <c r="AJ89">
        <v>1</v>
      </c>
    </row>
    <row r="90" spans="1:36" x14ac:dyDescent="0.2">
      <c r="A90">
        <v>89</v>
      </c>
      <c r="B90">
        <v>768</v>
      </c>
      <c r="C90">
        <v>150</v>
      </c>
      <c r="D90">
        <v>0.442818517984921</v>
      </c>
      <c r="E90">
        <v>6.5988312641472104</v>
      </c>
      <c r="F90">
        <v>0.36003683949936299</v>
      </c>
      <c r="G90">
        <v>-145.42951378483582</v>
      </c>
      <c r="H90">
        <v>-82.738320992911923</v>
      </c>
      <c r="I90">
        <v>60.217037937269197</v>
      </c>
      <c r="J90">
        <v>26.020297815029799</v>
      </c>
      <c r="K90">
        <v>18.328211283386899</v>
      </c>
      <c r="L90">
        <v>1.774438670789342E-3</v>
      </c>
      <c r="M90">
        <v>5.6840175416322618E-4</v>
      </c>
      <c r="N90" s="1">
        <v>-1.0171039386647099E-5</v>
      </c>
      <c r="O90" s="1">
        <v>1.7372588755681498E-5</v>
      </c>
      <c r="P90" s="1">
        <v>-2.7088806957216999E-5</v>
      </c>
      <c r="AE90">
        <v>100</v>
      </c>
      <c r="AJ90">
        <v>1</v>
      </c>
    </row>
    <row r="91" spans="1:36" x14ac:dyDescent="0.2">
      <c r="A91">
        <v>90</v>
      </c>
      <c r="B91">
        <v>767</v>
      </c>
      <c r="C91">
        <v>150</v>
      </c>
      <c r="D91">
        <v>0.44221554583473799</v>
      </c>
      <c r="E91">
        <v>6.6779683782596297</v>
      </c>
      <c r="F91">
        <v>0.36067693810235402</v>
      </c>
      <c r="G91">
        <v>-147.11266457511854</v>
      </c>
      <c r="H91">
        <v>-83.75691496109738</v>
      </c>
      <c r="I91">
        <v>60.913878919003402</v>
      </c>
      <c r="J91">
        <v>26.361171049193</v>
      </c>
      <c r="K91">
        <v>18.515096677360901</v>
      </c>
      <c r="L91">
        <v>1.7781444734358755E-3</v>
      </c>
      <c r="M91">
        <v>5.679300532093252E-4</v>
      </c>
      <c r="N91" s="1">
        <v>-1.0113141392957401E-5</v>
      </c>
      <c r="O91" s="1">
        <v>1.7549201022558199E-5</v>
      </c>
      <c r="P91" s="1">
        <v>-2.7474190141560799E-5</v>
      </c>
      <c r="AE91">
        <v>100</v>
      </c>
      <c r="AJ91">
        <v>1</v>
      </c>
    </row>
    <row r="92" spans="1:36" x14ac:dyDescent="0.2">
      <c r="A92">
        <v>91</v>
      </c>
      <c r="B92">
        <v>766</v>
      </c>
      <c r="C92">
        <v>150</v>
      </c>
      <c r="D92">
        <v>0.44161141317423203</v>
      </c>
      <c r="E92">
        <v>6.7574975672972704</v>
      </c>
      <c r="F92">
        <v>0.36131951448594002</v>
      </c>
      <c r="G92">
        <v>-148.80303065224115</v>
      </c>
      <c r="H92">
        <v>-84.781081642292222</v>
      </c>
      <c r="I92">
        <v>61.613641981441297</v>
      </c>
      <c r="J92">
        <v>26.704368489985001</v>
      </c>
      <c r="K92">
        <v>18.702276783780501</v>
      </c>
      <c r="L92">
        <v>1.7818546362032696E-3</v>
      </c>
      <c r="M92">
        <v>5.6745370252813722E-4</v>
      </c>
      <c r="N92" s="1">
        <v>-1.0048459575032701E-5</v>
      </c>
      <c r="O92" s="1">
        <v>1.77259563559733E-5</v>
      </c>
      <c r="P92" s="1">
        <v>-2.7862832676397301E-5</v>
      </c>
      <c r="AE92">
        <v>100</v>
      </c>
      <c r="AJ92">
        <v>1</v>
      </c>
    </row>
    <row r="93" spans="1:36" x14ac:dyDescent="0.2">
      <c r="A93">
        <v>92</v>
      </c>
      <c r="B93">
        <v>765</v>
      </c>
      <c r="C93">
        <v>150</v>
      </c>
      <c r="D93">
        <v>0.44100611664981298</v>
      </c>
      <c r="E93">
        <v>6.8377454372500299</v>
      </c>
      <c r="F93">
        <v>0.36196457938427801</v>
      </c>
      <c r="G93">
        <v>-150.50779127669202</v>
      </c>
      <c r="H93">
        <v>-85.814925769469568</v>
      </c>
      <c r="I93">
        <v>62.319297293307599</v>
      </c>
      <c r="J93">
        <v>27.051189933935699</v>
      </c>
      <c r="K93">
        <v>18.890647943733601</v>
      </c>
      <c r="L93">
        <v>1.7855690037185882E-3</v>
      </c>
      <c r="M93">
        <v>5.669726597424163E-4</v>
      </c>
      <c r="N93" s="1">
        <v>-9.9772962662534102E-6</v>
      </c>
      <c r="O93" s="1">
        <v>1.7903697978875399E-5</v>
      </c>
      <c r="P93" s="1">
        <v>-2.8256098947537299E-5</v>
      </c>
      <c r="AE93">
        <v>100</v>
      </c>
      <c r="AJ93">
        <v>1</v>
      </c>
    </row>
    <row r="94" spans="1:36" x14ac:dyDescent="0.2">
      <c r="A94">
        <v>93</v>
      </c>
      <c r="B94">
        <v>764</v>
      </c>
      <c r="C94">
        <v>150</v>
      </c>
      <c r="D94">
        <v>0.44039965289495597</v>
      </c>
      <c r="E94">
        <v>7.2255964526358598</v>
      </c>
      <c r="F94">
        <v>0.36261214352975601</v>
      </c>
      <c r="G94">
        <v>-158.97906303024502</v>
      </c>
      <c r="H94">
        <v>-90.71112656380302</v>
      </c>
      <c r="I94">
        <v>65.826612733389197</v>
      </c>
      <c r="J94">
        <v>28.617067168835799</v>
      </c>
      <c r="K94">
        <v>19.926515373423801</v>
      </c>
      <c r="L94">
        <v>1.7892874173430716E-3</v>
      </c>
      <c r="M94">
        <v>5.6648688226013024E-4</v>
      </c>
      <c r="N94" s="1">
        <v>-1.0338543990954E-5</v>
      </c>
      <c r="O94" s="1">
        <v>1.8884467395426101E-5</v>
      </c>
      <c r="P94" s="1">
        <v>-2.9924981841584401E-5</v>
      </c>
      <c r="AE94">
        <v>100</v>
      </c>
      <c r="AJ94">
        <v>1</v>
      </c>
    </row>
    <row r="95" spans="1:36" x14ac:dyDescent="0.2">
      <c r="A95">
        <v>94</v>
      </c>
      <c r="B95">
        <v>763</v>
      </c>
      <c r="C95">
        <v>150</v>
      </c>
      <c r="D95">
        <v>0.43979201853014099</v>
      </c>
      <c r="E95">
        <v>7.8714786839853703</v>
      </c>
      <c r="F95">
        <v>0.36326221765161398</v>
      </c>
      <c r="G95">
        <v>-173.11820137382753</v>
      </c>
      <c r="H95">
        <v>-98.850812755396177</v>
      </c>
      <c r="I95">
        <v>71.680638094772405</v>
      </c>
      <c r="J95">
        <v>31.2094882732064</v>
      </c>
      <c r="K95">
        <v>21.668861504155899</v>
      </c>
      <c r="L95">
        <v>1.7930097151359571E-3</v>
      </c>
      <c r="M95">
        <v>5.6599632727922838E-4</v>
      </c>
      <c r="N95" s="1">
        <v>-1.1035977721022699E-5</v>
      </c>
      <c r="O95" s="1">
        <v>2.0534479893531201E-5</v>
      </c>
      <c r="P95" s="1">
        <v>-3.2672200221553003E-5</v>
      </c>
      <c r="AE95">
        <v>100</v>
      </c>
      <c r="AJ95">
        <v>1</v>
      </c>
    </row>
    <row r="96" spans="1:36" x14ac:dyDescent="0.2">
      <c r="A96">
        <v>95</v>
      </c>
      <c r="B96">
        <v>762</v>
      </c>
      <c r="C96">
        <v>150</v>
      </c>
      <c r="D96">
        <v>0.439183210162781</v>
      </c>
      <c r="E96">
        <v>9.8817796361753594</v>
      </c>
      <c r="F96">
        <v>0.363914812474528</v>
      </c>
      <c r="G96">
        <v>-217.24097876575837</v>
      </c>
      <c r="H96">
        <v>-124.13557393668111</v>
      </c>
      <c r="I96">
        <v>89.949340472584495</v>
      </c>
      <c r="J96">
        <v>39.223406337927003</v>
      </c>
      <c r="K96">
        <v>27.154101172694102</v>
      </c>
      <c r="L96">
        <v>1.7967357318186277E-3</v>
      </c>
      <c r="M96">
        <v>5.6550095179265546E-4</v>
      </c>
      <c r="N96" s="1">
        <v>-1.3565127305276601E-5</v>
      </c>
      <c r="O96" s="1">
        <v>2.5730839199940898E-5</v>
      </c>
      <c r="P96" s="1">
        <v>-4.1107396045810999E-5</v>
      </c>
      <c r="AE96">
        <v>100</v>
      </c>
      <c r="AJ96">
        <v>1</v>
      </c>
    </row>
    <row r="97" spans="1:36" x14ac:dyDescent="0.2">
      <c r="A97">
        <v>96</v>
      </c>
      <c r="B97">
        <v>761</v>
      </c>
      <c r="C97">
        <v>150</v>
      </c>
      <c r="D97">
        <v>0.43857322438717999</v>
      </c>
      <c r="E97">
        <v>10.4980805866252</v>
      </c>
      <c r="F97">
        <v>0.36456993871718202</v>
      </c>
      <c r="G97">
        <v>-230.69419571566226</v>
      </c>
      <c r="H97">
        <v>-131.91928025484432</v>
      </c>
      <c r="I97">
        <v>95.518950932829497</v>
      </c>
      <c r="J97">
        <v>41.715817752114901</v>
      </c>
      <c r="K97">
        <v>28.795793266896901</v>
      </c>
      <c r="L97">
        <v>1.8004652987390155E-3</v>
      </c>
      <c r="M97">
        <v>5.650007125935926E-4</v>
      </c>
      <c r="N97" s="1">
        <v>-1.40986991110707E-5</v>
      </c>
      <c r="O97" s="1">
        <v>2.7284442282950002E-5</v>
      </c>
      <c r="P97" s="1">
        <v>-4.3768156854467503E-5</v>
      </c>
      <c r="AE97">
        <v>100</v>
      </c>
      <c r="AJ97">
        <v>1</v>
      </c>
    </row>
    <row r="98" spans="1:36" x14ac:dyDescent="0.2">
      <c r="A98">
        <v>97</v>
      </c>
      <c r="B98">
        <v>760</v>
      </c>
      <c r="C98">
        <v>150</v>
      </c>
      <c r="D98">
        <v>0.43796205778444602</v>
      </c>
      <c r="E98">
        <v>10.7099727015342</v>
      </c>
      <c r="F98">
        <v>0.365227607090785</v>
      </c>
      <c r="G98">
        <v>-235.25307592580364</v>
      </c>
      <c r="H98">
        <v>-134.62450603991374</v>
      </c>
      <c r="I98">
        <v>97.405699840233595</v>
      </c>
      <c r="J98">
        <v>42.605024910349599</v>
      </c>
      <c r="K98">
        <v>29.3241050063119</v>
      </c>
      <c r="L98">
        <v>1.8041982438361383E-3</v>
      </c>
      <c r="M98">
        <v>5.6449556628087628E-4</v>
      </c>
      <c r="N98" s="1">
        <v>-1.40592858348129E-5</v>
      </c>
      <c r="O98" s="1">
        <v>2.7782726173507E-5</v>
      </c>
      <c r="P98" s="1">
        <v>-4.4750821474774797E-5</v>
      </c>
      <c r="AE98">
        <v>100</v>
      </c>
      <c r="AJ98">
        <v>1</v>
      </c>
    </row>
    <row r="99" spans="1:36" x14ac:dyDescent="0.2">
      <c r="A99">
        <v>98</v>
      </c>
      <c r="B99">
        <v>788</v>
      </c>
      <c r="C99">
        <v>125</v>
      </c>
      <c r="D99">
        <v>0.48055458700466802</v>
      </c>
      <c r="E99">
        <v>6.8512802711523699</v>
      </c>
      <c r="F99">
        <v>0.29456293014801499</v>
      </c>
      <c r="G99">
        <v>-152.78242387486151</v>
      </c>
      <c r="H99">
        <v>-84.915209734366769</v>
      </c>
      <c r="I99">
        <v>63.959981966529398</v>
      </c>
      <c r="J99">
        <v>25.863890931521301</v>
      </c>
      <c r="K99">
        <v>23.259139456922298</v>
      </c>
      <c r="L99">
        <v>1.7755161207574587E-3</v>
      </c>
      <c r="M99">
        <v>7.6194404098586799E-4</v>
      </c>
      <c r="N99" s="1">
        <v>-3.1233815915649901E-5</v>
      </c>
      <c r="O99" s="1">
        <v>3.4064125086703397E-5</v>
      </c>
      <c r="P99" s="1">
        <v>-3.57093223472669E-5</v>
      </c>
      <c r="AE99">
        <v>100</v>
      </c>
      <c r="AJ99">
        <v>1</v>
      </c>
    </row>
    <row r="100" spans="1:36" x14ac:dyDescent="0.2">
      <c r="A100">
        <v>99</v>
      </c>
      <c r="B100">
        <v>787</v>
      </c>
      <c r="C100">
        <v>125</v>
      </c>
      <c r="D100">
        <v>0.479998585105882</v>
      </c>
      <c r="E100">
        <v>6.8617988880896696</v>
      </c>
      <c r="F100">
        <v>0.29508706006717</v>
      </c>
      <c r="G100">
        <v>-152.95294133932487</v>
      </c>
      <c r="H100">
        <v>-85.071496926816096</v>
      </c>
      <c r="I100">
        <v>64.033741598071202</v>
      </c>
      <c r="J100">
        <v>25.933978784359301</v>
      </c>
      <c r="K100">
        <v>23.253472675242701</v>
      </c>
      <c r="L100">
        <v>1.7800201848946905E-3</v>
      </c>
      <c r="M100">
        <v>7.6175999597960389E-4</v>
      </c>
      <c r="N100" s="1">
        <v>-3.1260572340307901E-5</v>
      </c>
      <c r="O100" s="1">
        <v>3.4075411746798801E-5</v>
      </c>
      <c r="P100" s="1">
        <v>-3.5847745366000899E-5</v>
      </c>
      <c r="AE100">
        <v>100</v>
      </c>
      <c r="AJ100">
        <v>1</v>
      </c>
    </row>
    <row r="101" spans="1:36" x14ac:dyDescent="0.2">
      <c r="A101">
        <v>100</v>
      </c>
      <c r="B101">
        <v>786</v>
      </c>
      <c r="C101">
        <v>125</v>
      </c>
      <c r="D101">
        <v>0.47944153330501299</v>
      </c>
      <c r="E101">
        <v>6.8783921975096902</v>
      </c>
      <c r="F101">
        <v>0.295613456641098</v>
      </c>
      <c r="G101">
        <v>-153.25863821545903</v>
      </c>
      <c r="H101">
        <v>-85.303230138762416</v>
      </c>
      <c r="I101">
        <v>64.164041273751295</v>
      </c>
      <c r="J101">
        <v>26.027308853946199</v>
      </c>
      <c r="K101">
        <v>23.268197177710601</v>
      </c>
      <c r="L101">
        <v>1.7845417502645995E-3</v>
      </c>
      <c r="M101">
        <v>7.6157270578989546E-4</v>
      </c>
      <c r="N101" s="1">
        <v>-3.13127683208102E-5</v>
      </c>
      <c r="O101" s="1">
        <v>3.4116605771223998E-5</v>
      </c>
      <c r="P101" s="1">
        <v>-3.6018847006806503E-5</v>
      </c>
      <c r="AE101">
        <v>100</v>
      </c>
      <c r="AJ101">
        <v>1</v>
      </c>
    </row>
    <row r="102" spans="1:36" x14ac:dyDescent="0.2">
      <c r="A102">
        <v>101</v>
      </c>
      <c r="B102">
        <v>785</v>
      </c>
      <c r="C102">
        <v>125</v>
      </c>
      <c r="D102">
        <v>0.47888342862543298</v>
      </c>
      <c r="E102">
        <v>6.8949955324880401</v>
      </c>
      <c r="F102">
        <v>0.29614213385389898</v>
      </c>
      <c r="G102">
        <v>-153.56427337675603</v>
      </c>
      <c r="H102">
        <v>-85.535243995503293</v>
      </c>
      <c r="I102">
        <v>64.294263687660205</v>
      </c>
      <c r="J102">
        <v>26.120988643497899</v>
      </c>
      <c r="K102">
        <v>23.282723882477502</v>
      </c>
      <c r="L102">
        <v>1.7890808336215281E-3</v>
      </c>
      <c r="M102">
        <v>7.6138212501897771E-4</v>
      </c>
      <c r="N102" s="1">
        <v>-3.1362696331131897E-5</v>
      </c>
      <c r="O102" s="1">
        <v>3.4157551704672302E-5</v>
      </c>
      <c r="P102" s="1">
        <v>-3.6191027264841602E-5</v>
      </c>
      <c r="AE102">
        <v>100</v>
      </c>
      <c r="AJ102">
        <v>1</v>
      </c>
    </row>
    <row r="103" spans="1:36" x14ac:dyDescent="0.2">
      <c r="A103">
        <v>102</v>
      </c>
      <c r="B103">
        <v>784</v>
      </c>
      <c r="C103">
        <v>125</v>
      </c>
      <c r="D103">
        <v>0.47832426807926898</v>
      </c>
      <c r="E103">
        <v>6.9116060328927</v>
      </c>
      <c r="F103">
        <v>0.29667310577810901</v>
      </c>
      <c r="G103">
        <v>-153.86978309946622</v>
      </c>
      <c r="H103">
        <v>-85.767503505967554</v>
      </c>
      <c r="I103">
        <v>64.424381439617704</v>
      </c>
      <c r="J103">
        <v>26.215009197435901</v>
      </c>
      <c r="K103">
        <v>23.297042766195599</v>
      </c>
      <c r="L103">
        <v>1.7936374498817903E-3</v>
      </c>
      <c r="M103">
        <v>7.6118820764652681E-4</v>
      </c>
      <c r="N103" s="1">
        <v>-3.1410282459320201E-5</v>
      </c>
      <c r="O103" s="1">
        <v>3.4198233031281798E-5</v>
      </c>
      <c r="P103" s="1">
        <v>-3.6364280577184898E-5</v>
      </c>
      <c r="AE103">
        <v>100</v>
      </c>
      <c r="AJ103">
        <v>1</v>
      </c>
    </row>
    <row r="104" spans="1:36" x14ac:dyDescent="0.2">
      <c r="A104">
        <v>103</v>
      </c>
      <c r="B104">
        <v>783</v>
      </c>
      <c r="C104">
        <v>125</v>
      </c>
      <c r="D104">
        <v>0.47776404866733202</v>
      </c>
      <c r="E104">
        <v>6.9282208689780997</v>
      </c>
      <c r="F104">
        <v>0.297206386574835</v>
      </c>
      <c r="G104">
        <v>-154.17510444363296</v>
      </c>
      <c r="H104">
        <v>-85.999974015277829</v>
      </c>
      <c r="I104">
        <v>64.554367449489007</v>
      </c>
      <c r="J104">
        <v>26.309361622608598</v>
      </c>
      <c r="K104">
        <v>23.311143979180901</v>
      </c>
      <c r="L104">
        <v>1.7982116120702143E-3</v>
      </c>
      <c r="M104">
        <v>7.6099090702220942E-4</v>
      </c>
      <c r="N104" s="1">
        <v>-3.14554517958297E-5</v>
      </c>
      <c r="O104" s="1">
        <v>3.4238633410581797E-5</v>
      </c>
      <c r="P104" s="1">
        <v>-3.65386014439955E-5</v>
      </c>
      <c r="AE104">
        <v>100</v>
      </c>
      <c r="AJ104">
        <v>1</v>
      </c>
    </row>
    <row r="105" spans="1:36" x14ac:dyDescent="0.2">
      <c r="A105">
        <v>104</v>
      </c>
      <c r="B105">
        <v>782</v>
      </c>
      <c r="C105">
        <v>125</v>
      </c>
      <c r="D105">
        <v>0.47720276737904699</v>
      </c>
      <c r="E105">
        <v>6.9448372475333802</v>
      </c>
      <c r="F105">
        <v>0.29774199049387401</v>
      </c>
      <c r="G105">
        <v>-154.48017538833759</v>
      </c>
      <c r="H105">
        <v>-86.232621281536353</v>
      </c>
      <c r="I105">
        <v>64.684195014107999</v>
      </c>
      <c r="J105">
        <v>26.404037111250801</v>
      </c>
      <c r="K105">
        <v>23.325017865346201</v>
      </c>
      <c r="L105">
        <v>1.8028033312655956E-3</v>
      </c>
      <c r="M105">
        <v>7.6079017585822513E-4</v>
      </c>
      <c r="N105" s="1">
        <v>-3.14981284525914E-5</v>
      </c>
      <c r="O105" s="1">
        <v>3.4278736706395797E-5</v>
      </c>
      <c r="P105" s="1">
        <v>-3.6713984458478603E-5</v>
      </c>
      <c r="AE105">
        <v>100</v>
      </c>
      <c r="AJ105">
        <v>1</v>
      </c>
    </row>
    <row r="106" spans="1:36" x14ac:dyDescent="0.2">
      <c r="A106">
        <v>105</v>
      </c>
      <c r="B106">
        <v>781</v>
      </c>
      <c r="C106">
        <v>125</v>
      </c>
      <c r="D106">
        <v>0.476640421192431</v>
      </c>
      <c r="E106">
        <v>6.9614524182350896</v>
      </c>
      <c r="F106">
        <v>0.29827993187381202</v>
      </c>
      <c r="G106">
        <v>-154.78493497115352</v>
      </c>
      <c r="H106">
        <v>-86.465411555298502</v>
      </c>
      <c r="I106">
        <v>64.813837865968594</v>
      </c>
      <c r="J106">
        <v>26.4990269648729</v>
      </c>
      <c r="K106">
        <v>23.338654982595799</v>
      </c>
      <c r="L106">
        <v>1.8074126165450437E-3</v>
      </c>
      <c r="M106">
        <v>7.6058596622182622E-4</v>
      </c>
      <c r="N106" s="1">
        <v>-3.1538235582976997E-5</v>
      </c>
      <c r="O106" s="1">
        <v>3.4318527016515801E-5</v>
      </c>
      <c r="P106" s="1">
        <v>-3.6890424338307603E-5</v>
      </c>
      <c r="AE106">
        <v>100</v>
      </c>
      <c r="AJ106">
        <v>1</v>
      </c>
    </row>
    <row r="107" spans="1:36" x14ac:dyDescent="0.2">
      <c r="A107">
        <v>106</v>
      </c>
      <c r="B107">
        <v>780</v>
      </c>
      <c r="C107">
        <v>125</v>
      </c>
      <c r="D107">
        <v>0.47607700707401701</v>
      </c>
      <c r="E107">
        <v>6.9780636797418998</v>
      </c>
      <c r="F107">
        <v>0.29882022514210899</v>
      </c>
      <c r="G107">
        <v>-155.08932342150834</v>
      </c>
      <c r="H107">
        <v>-86.698311655981627</v>
      </c>
      <c r="I107">
        <v>64.943270229375102</v>
      </c>
      <c r="J107">
        <v>26.594322617343401</v>
      </c>
      <c r="K107">
        <v>23.3520461221236</v>
      </c>
      <c r="L107">
        <v>1.8120394749271233E-3</v>
      </c>
      <c r="M107">
        <v>7.603782295277845E-4</v>
      </c>
      <c r="N107" s="1">
        <v>-3.1575695400507403E-5</v>
      </c>
      <c r="O107" s="1">
        <v>3.4357988700859603E-5</v>
      </c>
      <c r="P107" s="1">
        <v>-3.7067915956075699E-5</v>
      </c>
      <c r="AE107">
        <v>100</v>
      </c>
      <c r="AJ107">
        <v>1</v>
      </c>
    </row>
    <row r="108" spans="1:36" x14ac:dyDescent="0.2">
      <c r="A108">
        <v>107</v>
      </c>
      <c r="B108">
        <v>779</v>
      </c>
      <c r="C108">
        <v>125</v>
      </c>
      <c r="D108">
        <v>0.475512521978807</v>
      </c>
      <c r="E108">
        <v>6.9946683856060998</v>
      </c>
      <c r="F108">
        <v>0.29936288481516998</v>
      </c>
      <c r="G108">
        <v>-155.39328228964141</v>
      </c>
      <c r="H108">
        <v>-86.931289046140165</v>
      </c>
      <c r="I108">
        <v>65.072466874754795</v>
      </c>
      <c r="J108">
        <v>26.6899156574421</v>
      </c>
      <c r="K108">
        <v>23.365182326876202</v>
      </c>
      <c r="L108">
        <v>1.8166839113140031E-3</v>
      </c>
      <c r="M108">
        <v>7.601669165309006E-4</v>
      </c>
      <c r="N108" s="1">
        <v>-3.1610429196659797E-5</v>
      </c>
      <c r="O108" s="1">
        <v>3.4397106408489099E-5</v>
      </c>
      <c r="P108" s="1">
        <v>-3.7246454369154798E-5</v>
      </c>
      <c r="AE108">
        <v>100</v>
      </c>
      <c r="AJ108">
        <v>1</v>
      </c>
    </row>
    <row r="109" spans="1:36" x14ac:dyDescent="0.2">
      <c r="A109">
        <v>108</v>
      </c>
      <c r="B109">
        <v>778</v>
      </c>
      <c r="C109">
        <v>125</v>
      </c>
      <c r="D109">
        <v>0.47494696285021398</v>
      </c>
      <c r="E109">
        <v>7.0112639503123297</v>
      </c>
      <c r="F109">
        <v>0.29990792549838502</v>
      </c>
      <c r="G109">
        <v>-155.69675457805579</v>
      </c>
      <c r="H109">
        <v>-87.164311907457119</v>
      </c>
      <c r="I109">
        <v>65.201403174020697</v>
      </c>
      <c r="J109">
        <v>26.785797852054198</v>
      </c>
      <c r="K109">
        <v>23.378054910223</v>
      </c>
      <c r="L109">
        <v>1.8213459284321186E-3</v>
      </c>
      <c r="M109">
        <v>7.599519773183735E-4</v>
      </c>
      <c r="N109" s="1">
        <v>-3.16423573590678E-5</v>
      </c>
      <c r="O109" s="1">
        <v>3.4435865105017697E-5</v>
      </c>
      <c r="P109" s="1">
        <v>-3.7426034850624601E-5</v>
      </c>
      <c r="AE109">
        <v>100</v>
      </c>
      <c r="AJ109">
        <v>1</v>
      </c>
    </row>
    <row r="110" spans="1:36" x14ac:dyDescent="0.2">
      <c r="A110">
        <v>109</v>
      </c>
      <c r="B110">
        <v>777</v>
      </c>
      <c r="C110">
        <v>125</v>
      </c>
      <c r="D110">
        <v>0.47438032662001101</v>
      </c>
      <c r="E110">
        <v>7.0636808650592799</v>
      </c>
      <c r="F110">
        <v>0.30045536188616701</v>
      </c>
      <c r="G110">
        <v>-156.79508317138109</v>
      </c>
      <c r="H110">
        <v>-87.842963597052602</v>
      </c>
      <c r="I110">
        <v>65.663154641031397</v>
      </c>
      <c r="J110">
        <v>27.019024691175101</v>
      </c>
      <c r="K110">
        <v>23.5099178151311</v>
      </c>
      <c r="L110">
        <v>1.8260255267720869E-3</v>
      </c>
      <c r="M110">
        <v>7.5973336130231159E-4</v>
      </c>
      <c r="N110" s="1">
        <v>-3.1832882902953102E-5</v>
      </c>
      <c r="O110" s="1">
        <v>3.4650024556644101E-5</v>
      </c>
      <c r="P110" s="1">
        <v>-3.7798398614049103E-5</v>
      </c>
      <c r="AE110">
        <v>100</v>
      </c>
      <c r="AJ110">
        <v>1</v>
      </c>
    </row>
    <row r="111" spans="1:36" x14ac:dyDescent="0.2">
      <c r="A111">
        <v>110</v>
      </c>
      <c r="B111">
        <v>776</v>
      </c>
      <c r="C111">
        <v>125</v>
      </c>
      <c r="D111">
        <v>0.47381261020826598</v>
      </c>
      <c r="E111">
        <v>7.13282089938438</v>
      </c>
      <c r="F111">
        <v>0.30100520876195502</v>
      </c>
      <c r="G111">
        <v>-158.26351668851228</v>
      </c>
      <c r="H111">
        <v>-88.73007976397345</v>
      </c>
      <c r="I111">
        <v>66.279863472966497</v>
      </c>
      <c r="J111">
        <v>27.316960621235499</v>
      </c>
      <c r="K111">
        <v>23.696669332473999</v>
      </c>
      <c r="L111">
        <v>1.8307227045269469E-3</v>
      </c>
      <c r="M111">
        <v>7.5951101721206862E-4</v>
      </c>
      <c r="N111" s="1">
        <v>-3.2095258333664102E-5</v>
      </c>
      <c r="O111" s="1">
        <v>3.4945355210099099E-5</v>
      </c>
      <c r="P111" s="1">
        <v>-3.8262525082519302E-5</v>
      </c>
      <c r="AE111">
        <v>100</v>
      </c>
      <c r="AJ111">
        <v>1</v>
      </c>
    </row>
    <row r="112" spans="1:36" x14ac:dyDescent="0.2">
      <c r="A112">
        <v>111</v>
      </c>
      <c r="B112">
        <v>775</v>
      </c>
      <c r="C112">
        <v>125</v>
      </c>
      <c r="D112">
        <v>0.473243810523307</v>
      </c>
      <c r="E112">
        <v>7.20232851168383</v>
      </c>
      <c r="F112">
        <v>0.301557480998209</v>
      </c>
      <c r="G112">
        <v>-159.73884374210675</v>
      </c>
      <c r="H112">
        <v>-89.622333033407671</v>
      </c>
      <c r="I112">
        <v>66.899425009156204</v>
      </c>
      <c r="J112">
        <v>27.617131774211099</v>
      </c>
      <c r="K112">
        <v>23.883766663134399</v>
      </c>
      <c r="L112">
        <v>1.8354374575295625E-3</v>
      </c>
      <c r="M112">
        <v>7.5928489308669817E-4</v>
      </c>
      <c r="N112" s="1">
        <v>-3.2355529151628199E-5</v>
      </c>
      <c r="O112" s="1">
        <v>3.5241514720048502E-5</v>
      </c>
      <c r="P112" s="1">
        <v>-3.8731147731763602E-5</v>
      </c>
      <c r="AE112">
        <v>100</v>
      </c>
      <c r="AJ112">
        <v>1</v>
      </c>
    </row>
    <row r="113" spans="1:36" x14ac:dyDescent="0.2">
      <c r="A113">
        <v>112</v>
      </c>
      <c r="B113">
        <v>774</v>
      </c>
      <c r="C113">
        <v>125</v>
      </c>
      <c r="D113">
        <v>0.47267392446163797</v>
      </c>
      <c r="E113">
        <v>7.2724984847465004</v>
      </c>
      <c r="F113">
        <v>0.30211219355637597</v>
      </c>
      <c r="G113">
        <v>-161.22759009094804</v>
      </c>
      <c r="H113">
        <v>-90.523398058204478</v>
      </c>
      <c r="I113">
        <v>67.524570312714602</v>
      </c>
      <c r="J113">
        <v>27.920680707693901</v>
      </c>
      <c r="K113">
        <v>24.0721779519614</v>
      </c>
      <c r="L113">
        <v>1.8401697791886685E-3</v>
      </c>
      <c r="M113">
        <v>7.5905493626736149E-4</v>
      </c>
      <c r="N113" s="1">
        <v>-3.2614872862732698E-5</v>
      </c>
      <c r="O113" s="1">
        <v>3.5539931511446401E-5</v>
      </c>
      <c r="P113" s="1">
        <v>-3.92058952421406E-5</v>
      </c>
      <c r="AE113">
        <v>100</v>
      </c>
      <c r="AJ113">
        <v>1</v>
      </c>
    </row>
    <row r="114" spans="1:36" x14ac:dyDescent="0.2">
      <c r="A114">
        <v>113</v>
      </c>
      <c r="B114">
        <v>773</v>
      </c>
      <c r="C114">
        <v>125</v>
      </c>
      <c r="D114">
        <v>0.472102948907902</v>
      </c>
      <c r="E114">
        <v>7.3437538655264296</v>
      </c>
      <c r="F114">
        <v>0.30266936148683299</v>
      </c>
      <c r="G114">
        <v>-162.73911291899788</v>
      </c>
      <c r="H114">
        <v>-91.438551081569329</v>
      </c>
      <c r="I114">
        <v>68.1592165409822</v>
      </c>
      <c r="J114">
        <v>28.229248705393399</v>
      </c>
      <c r="K114">
        <v>24.263287930601798</v>
      </c>
      <c r="L114">
        <v>1.8449196604234806E-3</v>
      </c>
      <c r="M114">
        <v>7.5882109338966256E-4</v>
      </c>
      <c r="N114" s="1">
        <v>-3.2875027763115902E-5</v>
      </c>
      <c r="O114" s="1">
        <v>3.5842652576515402E-5</v>
      </c>
      <c r="P114" s="1">
        <v>-3.9689105770333998E-5</v>
      </c>
      <c r="AE114">
        <v>100</v>
      </c>
      <c r="AJ114">
        <v>1</v>
      </c>
    </row>
    <row r="115" spans="1:36" x14ac:dyDescent="0.2">
      <c r="A115">
        <v>114</v>
      </c>
      <c r="B115">
        <v>772</v>
      </c>
      <c r="C115">
        <v>125</v>
      </c>
      <c r="D115">
        <v>0.47153088073482102</v>
      </c>
      <c r="E115">
        <v>7.8078061826179397</v>
      </c>
      <c r="F115">
        <v>0.30322899992881802</v>
      </c>
      <c r="G115">
        <v>-172.95015692622914</v>
      </c>
      <c r="H115">
        <v>-97.246591223632748</v>
      </c>
      <c r="I115">
        <v>72.437481518201494</v>
      </c>
      <c r="J115">
        <v>30.0504653932969</v>
      </c>
      <c r="K115">
        <v>25.748876870123802</v>
      </c>
      <c r="L115">
        <v>1.8496870895973502E-3</v>
      </c>
      <c r="M115">
        <v>7.5858331037610032E-4</v>
      </c>
      <c r="N115" s="1">
        <v>-3.4886027599033198E-5</v>
      </c>
      <c r="O115" s="1">
        <v>3.8059044571751999E-5</v>
      </c>
      <c r="P115" s="1">
        <v>-4.2303165644720201E-5</v>
      </c>
      <c r="AE115">
        <v>100</v>
      </c>
      <c r="AJ115">
        <v>1</v>
      </c>
    </row>
    <row r="116" spans="1:36" x14ac:dyDescent="0.2">
      <c r="A116">
        <v>115</v>
      </c>
      <c r="B116">
        <v>771</v>
      </c>
      <c r="C116">
        <v>125</v>
      </c>
      <c r="D116">
        <v>0.47095771680314102</v>
      </c>
      <c r="E116">
        <v>8.7616036311489793</v>
      </c>
      <c r="F116">
        <v>0.30379112411033399</v>
      </c>
      <c r="G116">
        <v>-193.99638580353096</v>
      </c>
      <c r="H116">
        <v>-109.15992555406824</v>
      </c>
      <c r="I116">
        <v>81.254105422673504</v>
      </c>
      <c r="J116">
        <v>33.763610053560697</v>
      </c>
      <c r="K116">
        <v>28.840880907260601</v>
      </c>
      <c r="L116">
        <v>1.8544720524500771E-3</v>
      </c>
      <c r="M116">
        <v>7.5834153242849002E-4</v>
      </c>
      <c r="N116" s="1">
        <v>-3.9069520695072401E-5</v>
      </c>
      <c r="O116" s="1">
        <v>4.2653728426715498E-5</v>
      </c>
      <c r="P116" s="1">
        <v>-4.7590829048330702E-5</v>
      </c>
      <c r="AE116">
        <v>100</v>
      </c>
      <c r="AJ116">
        <v>1</v>
      </c>
    </row>
    <row r="117" spans="1:36" x14ac:dyDescent="0.2">
      <c r="A117">
        <v>116</v>
      </c>
      <c r="B117">
        <v>770</v>
      </c>
      <c r="C117">
        <v>125</v>
      </c>
      <c r="D117">
        <v>0.47038345396155901</v>
      </c>
      <c r="E117">
        <v>9.8604690317392407</v>
      </c>
      <c r="F117">
        <v>0.30435574934801402</v>
      </c>
      <c r="G117">
        <v>-218.23565535863591</v>
      </c>
      <c r="H117">
        <v>-122.88859947591064</v>
      </c>
      <c r="I117">
        <v>91.4084251053131</v>
      </c>
      <c r="J117">
        <v>38.045917808932501</v>
      </c>
      <c r="K117">
        <v>32.397840529913303</v>
      </c>
      <c r="L117">
        <v>1.8592745320286448E-3</v>
      </c>
      <c r="M117">
        <v>7.5809570402031587E-4</v>
      </c>
      <c r="N117" s="1">
        <v>-4.38773614635428E-5</v>
      </c>
      <c r="O117" s="1">
        <v>4.7941673540318497E-5</v>
      </c>
      <c r="P117" s="1">
        <v>-5.3695544801710703E-5</v>
      </c>
      <c r="AE117">
        <v>100</v>
      </c>
      <c r="AJ117">
        <v>1</v>
      </c>
    </row>
    <row r="118" spans="1:36" x14ac:dyDescent="0.2">
      <c r="A118">
        <v>117</v>
      </c>
      <c r="B118">
        <v>769</v>
      </c>
      <c r="C118">
        <v>125</v>
      </c>
      <c r="D118">
        <v>0.46980808904668597</v>
      </c>
      <c r="E118">
        <v>10.4628518010548</v>
      </c>
      <c r="F118">
        <v>0.304922891046987</v>
      </c>
      <c r="G118">
        <v>-231.47084692563766</v>
      </c>
      <c r="H118">
        <v>-130.43634332207318</v>
      </c>
      <c r="I118">
        <v>96.953884843695903</v>
      </c>
      <c r="J118">
        <v>40.421079201172603</v>
      </c>
      <c r="K118">
        <v>34.313107045290799</v>
      </c>
      <c r="L118">
        <v>1.8640945086170369E-3</v>
      </c>
      <c r="M118">
        <v>7.5784576888920777E-4</v>
      </c>
      <c r="N118" s="1">
        <v>-4.6455468365360501E-5</v>
      </c>
      <c r="O118" s="1">
        <v>5.0804894766516098E-5</v>
      </c>
      <c r="P118" s="1">
        <v>-5.7121151738902101E-5</v>
      </c>
      <c r="AE118">
        <v>100</v>
      </c>
      <c r="AJ118">
        <v>1</v>
      </c>
    </row>
    <row r="119" spans="1:36" x14ac:dyDescent="0.2">
      <c r="A119">
        <v>118</v>
      </c>
      <c r="B119">
        <v>768</v>
      </c>
      <c r="C119">
        <v>125</v>
      </c>
      <c r="D119">
        <v>0.46923161888296799</v>
      </c>
      <c r="E119">
        <v>10.6948621113961</v>
      </c>
      <c r="F119">
        <v>0.30549256470070202</v>
      </c>
      <c r="G119">
        <v>-236.50455314289138</v>
      </c>
      <c r="H119">
        <v>-133.37007002977549</v>
      </c>
      <c r="I119">
        <v>99.064115036215497</v>
      </c>
      <c r="J119">
        <v>41.369710066310503</v>
      </c>
      <c r="K119">
        <v>35.008583995732003</v>
      </c>
      <c r="L119">
        <v>1.8689319596645415E-3</v>
      </c>
      <c r="M119">
        <v>7.5759167002939119E-4</v>
      </c>
      <c r="N119" s="1">
        <v>-4.7376184340646401E-5</v>
      </c>
      <c r="O119" s="1">
        <v>5.1864255638528497E-5</v>
      </c>
      <c r="P119" s="1">
        <v>-5.8537405117435501E-5</v>
      </c>
      <c r="AE119">
        <v>100</v>
      </c>
      <c r="AJ119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1EF69-3A8D-4F27-8B08-023490E4D6ED}">
  <sheetPr codeName="Sheet14"/>
  <dimension ref="A1:AU119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759</v>
      </c>
      <c r="C2">
        <v>275</v>
      </c>
      <c r="D2">
        <v>0.30413263576031102</v>
      </c>
      <c r="E2">
        <v>201.76671105304388</v>
      </c>
      <c r="F2">
        <v>63.818831139193534</v>
      </c>
      <c r="G2">
        <v>71.585971304947989</v>
      </c>
      <c r="H2">
        <v>66.991021886070271</v>
      </c>
      <c r="J2">
        <v>53.305939878140371</v>
      </c>
      <c r="L2">
        <v>6.6343491654091267</v>
      </c>
      <c r="M2">
        <v>14.465869131825697</v>
      </c>
      <c r="N2">
        <v>2.5832547853580929</v>
      </c>
      <c r="O2">
        <v>23.021448350989225</v>
      </c>
      <c r="P2">
        <v>11.395274494593476</v>
      </c>
      <c r="Q2">
        <v>1.1977387092844729</v>
      </c>
      <c r="R2">
        <v>13.693090775638087</v>
      </c>
      <c r="S2">
        <v>37.222297027971834</v>
      </c>
      <c r="U2">
        <v>2.8080653877940085</v>
      </c>
      <c r="V2">
        <v>45.25035138528694</v>
      </c>
      <c r="W2">
        <v>22.365432761209615</v>
      </c>
      <c r="X2">
        <v>51.23885655729223</v>
      </c>
      <c r="Y2">
        <v>7.8308557151078926</v>
      </c>
      <c r="Z2">
        <v>34.183960631882996</v>
      </c>
      <c r="AA2">
        <v>4.6423524168889783</v>
      </c>
      <c r="AB2">
        <v>34.294367088435301</v>
      </c>
      <c r="AC2">
        <v>1.0259633170094012E-2</v>
      </c>
      <c r="AD2">
        <v>9.2008851687061703</v>
      </c>
      <c r="AE2">
        <v>14.702640657313173</v>
      </c>
      <c r="AF2">
        <v>14.152031048793731</v>
      </c>
      <c r="AG2">
        <v>19.799999199310182</v>
      </c>
      <c r="AH2">
        <v>7.2660566415262542</v>
      </c>
      <c r="AI2">
        <v>2.5317927454459737</v>
      </c>
      <c r="AK2">
        <v>48.502061292386763</v>
      </c>
    </row>
    <row r="3" spans="1:47" x14ac:dyDescent="0.2">
      <c r="A3">
        <v>2</v>
      </c>
      <c r="B3">
        <v>758</v>
      </c>
      <c r="C3">
        <v>275</v>
      </c>
      <c r="D3">
        <v>0.303389904475587</v>
      </c>
      <c r="E3">
        <v>201.66377639326549</v>
      </c>
      <c r="F3">
        <v>63.505235740027771</v>
      </c>
      <c r="G3">
        <v>71.533361825439982</v>
      </c>
      <c r="H3">
        <v>66.93599207419939</v>
      </c>
      <c r="J3">
        <v>53.265838876664752</v>
      </c>
      <c r="L3">
        <v>6.5542922379843871</v>
      </c>
      <c r="M3">
        <v>14.419615178457294</v>
      </c>
      <c r="N3">
        <v>2.5754868775017061</v>
      </c>
      <c r="O3">
        <v>22.670295799096966</v>
      </c>
      <c r="P3">
        <v>11.303761201603562</v>
      </c>
      <c r="Q3">
        <v>1.1525338892459795</v>
      </c>
      <c r="R3">
        <v>13.51887298057795</v>
      </c>
      <c r="S3">
        <v>36.898903762066773</v>
      </c>
      <c r="U3">
        <v>2.7463652703545787</v>
      </c>
      <c r="V3">
        <v>45.175670320370735</v>
      </c>
      <c r="W3">
        <v>22.204080450092214</v>
      </c>
      <c r="X3">
        <v>51.095304514176398</v>
      </c>
      <c r="Y3">
        <v>7.7567131718566236</v>
      </c>
      <c r="Z3">
        <v>34.015456954476115</v>
      </c>
      <c r="AA3">
        <v>4.5672646236698053</v>
      </c>
      <c r="AB3">
        <v>34.18549399427868</v>
      </c>
      <c r="AC3">
        <v>5.1773996220138999E-4</v>
      </c>
      <c r="AD3">
        <v>9.1088703040828563</v>
      </c>
      <c r="AE3">
        <v>14.624050199540454</v>
      </c>
      <c r="AF3">
        <v>14.094916837326169</v>
      </c>
      <c r="AG3">
        <v>19.666388043628643</v>
      </c>
      <c r="AH3">
        <v>7.1612650495667056</v>
      </c>
      <c r="AI3">
        <v>2.5237393891846263</v>
      </c>
      <c r="AK3">
        <v>48.507614865257558</v>
      </c>
    </row>
    <row r="4" spans="1:47" x14ac:dyDescent="0.2">
      <c r="A4">
        <v>3</v>
      </c>
      <c r="B4">
        <v>757</v>
      </c>
      <c r="C4">
        <v>275</v>
      </c>
      <c r="D4">
        <v>0.30264573120419402</v>
      </c>
      <c r="E4">
        <v>201.53955771193213</v>
      </c>
      <c r="F4">
        <v>63.120187303929505</v>
      </c>
      <c r="G4">
        <v>71.470063103732102</v>
      </c>
      <c r="H4">
        <v>66.870286009595176</v>
      </c>
      <c r="J4">
        <v>53.187928978899869</v>
      </c>
      <c r="L4">
        <v>6.4456026472481183</v>
      </c>
      <c r="M4">
        <v>14.344475839825643</v>
      </c>
      <c r="N4">
        <v>2.5765914159034065</v>
      </c>
      <c r="O4">
        <v>22.288868726576162</v>
      </c>
      <c r="P4">
        <v>11.19974957351317</v>
      </c>
      <c r="Q4">
        <v>1.0849385887783327</v>
      </c>
      <c r="R4">
        <v>13.295006660968411</v>
      </c>
      <c r="S4">
        <v>36.4306023325938</v>
      </c>
      <c r="U4">
        <v>2.6594776465040542</v>
      </c>
      <c r="V4">
        <v>45.051377762665929</v>
      </c>
      <c r="W4">
        <v>21.988829264702627</v>
      </c>
      <c r="X4">
        <v>50.865878819625785</v>
      </c>
      <c r="Y4">
        <v>7.6666660640564332</v>
      </c>
      <c r="Z4">
        <v>33.808444939452265</v>
      </c>
      <c r="AA4">
        <v>4.4806900514696606</v>
      </c>
      <c r="AB4">
        <v>34.027006142978173</v>
      </c>
      <c r="AD4">
        <v>8.9914738186671208</v>
      </c>
      <c r="AE4">
        <v>14.530890796289086</v>
      </c>
      <c r="AF4">
        <v>14.017789972396018</v>
      </c>
      <c r="AG4">
        <v>19.492037086600305</v>
      </c>
      <c r="AH4">
        <v>7.0229671110575689</v>
      </c>
      <c r="AI4">
        <v>2.5245576519553934</v>
      </c>
      <c r="AK4">
        <v>48.499609070196904</v>
      </c>
    </row>
    <row r="5" spans="1:47" x14ac:dyDescent="0.2">
      <c r="A5">
        <v>4</v>
      </c>
      <c r="B5">
        <v>756</v>
      </c>
      <c r="C5">
        <v>275</v>
      </c>
      <c r="D5">
        <v>0.30190011174270298</v>
      </c>
      <c r="E5">
        <v>201.41340368524175</v>
      </c>
      <c r="F5">
        <v>62.72880456715837</v>
      </c>
      <c r="G5">
        <v>71.40579654295199</v>
      </c>
      <c r="H5">
        <v>66.80362511614166</v>
      </c>
      <c r="J5">
        <v>53.106874118116629</v>
      </c>
      <c r="L5">
        <v>6.3339981691195533</v>
      </c>
      <c r="M5">
        <v>14.266648975109044</v>
      </c>
      <c r="N5">
        <v>2.5785645627991629</v>
      </c>
      <c r="O5">
        <v>21.905059487358589</v>
      </c>
      <c r="P5">
        <v>11.09467860139978</v>
      </c>
      <c r="Q5">
        <v>1.0152351996913966</v>
      </c>
      <c r="R5">
        <v>13.066618701902691</v>
      </c>
      <c r="S5">
        <v>35.949000890428678</v>
      </c>
      <c r="U5">
        <v>2.5701961729387044</v>
      </c>
      <c r="V5">
        <v>44.922437115886794</v>
      </c>
      <c r="W5">
        <v>21.7685725099984</v>
      </c>
      <c r="X5">
        <v>50.628461256344792</v>
      </c>
      <c r="Y5">
        <v>7.5752072797030934</v>
      </c>
      <c r="Z5">
        <v>33.597947666338477</v>
      </c>
      <c r="AA5">
        <v>4.3931502636795559</v>
      </c>
      <c r="AB5">
        <v>33.863925431500967</v>
      </c>
      <c r="AD5">
        <v>8.8716924095429608</v>
      </c>
      <c r="AE5">
        <v>14.436427266450373</v>
      </c>
      <c r="AF5">
        <v>13.938844481003152</v>
      </c>
      <c r="AG5">
        <v>19.313964393322927</v>
      </c>
      <c r="AH5">
        <v>6.881602420898786</v>
      </c>
      <c r="AI5">
        <v>2.5262436941558128</v>
      </c>
      <c r="AK5">
        <v>48.49056700945102</v>
      </c>
    </row>
    <row r="6" spans="1:47" x14ac:dyDescent="0.2">
      <c r="A6">
        <v>5</v>
      </c>
      <c r="B6">
        <v>755</v>
      </c>
      <c r="C6">
        <v>275</v>
      </c>
      <c r="D6">
        <v>0.30115304187132302</v>
      </c>
      <c r="E6">
        <v>201.28740486298656</v>
      </c>
      <c r="F6">
        <v>62.338118458091891</v>
      </c>
      <c r="G6">
        <v>71.341613083659695</v>
      </c>
      <c r="H6">
        <v>66.737060355198139</v>
      </c>
      <c r="J6">
        <v>53.026417962543697</v>
      </c>
      <c r="L6">
        <v>6.2223801366744285</v>
      </c>
      <c r="M6">
        <v>14.188969911871073</v>
      </c>
      <c r="N6">
        <v>2.5805375793147651</v>
      </c>
      <c r="O6">
        <v>21.52186484331072</v>
      </c>
      <c r="P6">
        <v>10.98978145015848</v>
      </c>
      <c r="Q6">
        <v>0.94570232949939692</v>
      </c>
      <c r="R6">
        <v>12.838586285214802</v>
      </c>
      <c r="S6">
        <v>35.468331184932055</v>
      </c>
      <c r="U6">
        <v>2.4809854651023282</v>
      </c>
      <c r="V6">
        <v>44.79371460177034</v>
      </c>
      <c r="W6">
        <v>21.548601292330424</v>
      </c>
      <c r="X6">
        <v>50.391476722461874</v>
      </c>
      <c r="Y6">
        <v>7.4839000464920682</v>
      </c>
      <c r="Z6">
        <v>33.38775258914923</v>
      </c>
      <c r="AA6">
        <v>4.3057779314486977</v>
      </c>
      <c r="AB6">
        <v>33.701125088328574</v>
      </c>
      <c r="AD6">
        <v>8.7520139279671554</v>
      </c>
      <c r="AE6">
        <v>14.342094063655365</v>
      </c>
      <c r="AF6">
        <v>13.860046957434767</v>
      </c>
      <c r="AG6">
        <v>19.136174459316173</v>
      </c>
      <c r="AH6">
        <v>6.7404617784858125</v>
      </c>
      <c r="AI6">
        <v>2.5279287750728945</v>
      </c>
      <c r="AK6">
        <v>48.481838213775468</v>
      </c>
    </row>
    <row r="7" spans="1:47" x14ac:dyDescent="0.2">
      <c r="A7">
        <v>6</v>
      </c>
      <c r="B7">
        <v>754</v>
      </c>
      <c r="C7">
        <v>275</v>
      </c>
      <c r="D7">
        <v>0.30040451735384299</v>
      </c>
      <c r="E7">
        <v>201.16156078422003</v>
      </c>
      <c r="F7">
        <v>61.948127107187787</v>
      </c>
      <c r="G7">
        <v>71.277512544530722</v>
      </c>
      <c r="H7">
        <v>66.670591566277949</v>
      </c>
      <c r="J7">
        <v>52.946559927291034</v>
      </c>
      <c r="L7">
        <v>6.1107634359533458</v>
      </c>
      <c r="M7">
        <v>14.111438156655584</v>
      </c>
      <c r="N7">
        <v>2.5825104659874691</v>
      </c>
      <c r="O7">
        <v>21.139283346839569</v>
      </c>
      <c r="P7">
        <v>10.885057780391346</v>
      </c>
      <c r="Q7">
        <v>0.87630081339413113</v>
      </c>
      <c r="R7">
        <v>12.610908225580658</v>
      </c>
      <c r="S7">
        <v>34.988590239075684</v>
      </c>
      <c r="U7">
        <v>2.3918451407214629</v>
      </c>
      <c r="V7">
        <v>44.665209453250291</v>
      </c>
      <c r="W7">
        <v>21.32891464533855</v>
      </c>
      <c r="X7">
        <v>50.154923637554411</v>
      </c>
      <c r="Y7">
        <v>7.3927439204856471</v>
      </c>
      <c r="Z7">
        <v>33.177858758905394</v>
      </c>
      <c r="AA7">
        <v>4.2185726307502849</v>
      </c>
      <c r="AB7">
        <v>33.538604189063271</v>
      </c>
      <c r="AD7">
        <v>8.6324384953537106</v>
      </c>
      <c r="AE7">
        <v>14.247890751830543</v>
      </c>
      <c r="AF7">
        <v>13.78139691438354</v>
      </c>
      <c r="AG7">
        <v>18.95866636665269</v>
      </c>
      <c r="AH7">
        <v>6.5995447573804658</v>
      </c>
      <c r="AI7">
        <v>2.5296128934056963</v>
      </c>
      <c r="AK7">
        <v>48.473422527335742</v>
      </c>
    </row>
    <row r="8" spans="1:47" x14ac:dyDescent="0.2">
      <c r="A8">
        <v>7</v>
      </c>
      <c r="B8">
        <v>753</v>
      </c>
      <c r="C8">
        <v>275</v>
      </c>
      <c r="D8">
        <v>0.29965453393753799</v>
      </c>
      <c r="E8">
        <v>201.03587099255077</v>
      </c>
      <c r="F8">
        <v>61.558828665729756</v>
      </c>
      <c r="G8">
        <v>71.213494746600787</v>
      </c>
      <c r="H8">
        <v>66.604218591296629</v>
      </c>
      <c r="J8">
        <v>52.867299436521108</v>
      </c>
      <c r="L8">
        <v>5.9991607119329489</v>
      </c>
      <c r="M8">
        <v>14.03405322029983</v>
      </c>
      <c r="N8">
        <v>2.5844832233997015</v>
      </c>
      <c r="O8">
        <v>20.757313566772609</v>
      </c>
      <c r="P8">
        <v>10.780507257528194</v>
      </c>
      <c r="Q8">
        <v>0.80703007408564642</v>
      </c>
      <c r="R8">
        <v>12.3835833498987</v>
      </c>
      <c r="S8">
        <v>34.509775101246902</v>
      </c>
      <c r="U8">
        <v>2.3027748217953605</v>
      </c>
      <c r="V8">
        <v>44.536920904537219</v>
      </c>
      <c r="W8">
        <v>21.109511611508442</v>
      </c>
      <c r="X8">
        <v>49.918800433990214</v>
      </c>
      <c r="Y8">
        <v>7.3017384630119624</v>
      </c>
      <c r="Z8">
        <v>32.968265222652718</v>
      </c>
      <c r="AA8">
        <v>4.1315339429296651</v>
      </c>
      <c r="AB8">
        <v>33.376361817957218</v>
      </c>
      <c r="AD8">
        <v>8.5129662286697698</v>
      </c>
      <c r="AE8">
        <v>14.153816899329781</v>
      </c>
      <c r="AF8">
        <v>13.702893868891897</v>
      </c>
      <c r="AG8">
        <v>18.781439206117874</v>
      </c>
      <c r="AH8">
        <v>6.4588509431122763</v>
      </c>
      <c r="AI8">
        <v>2.5312960478968169</v>
      </c>
      <c r="AK8">
        <v>48.465319798817085</v>
      </c>
    </row>
    <row r="9" spans="1:47" x14ac:dyDescent="0.2">
      <c r="A9">
        <v>8</v>
      </c>
      <c r="B9">
        <v>752</v>
      </c>
      <c r="C9">
        <v>275</v>
      </c>
      <c r="D9">
        <v>0.29890308735307097</v>
      </c>
      <c r="E9">
        <v>200.9103350361913</v>
      </c>
      <c r="F9">
        <v>61.170221305973968</v>
      </c>
      <c r="G9">
        <v>71.149559513304439</v>
      </c>
      <c r="H9">
        <v>66.537941274608542</v>
      </c>
      <c r="J9">
        <v>52.788635923537861</v>
      </c>
      <c r="L9">
        <v>5.8876402294966521</v>
      </c>
      <c r="M9">
        <v>13.956814618062051</v>
      </c>
      <c r="N9">
        <v>2.5864558521132817</v>
      </c>
      <c r="O9">
        <v>20.375954088335874</v>
      </c>
      <c r="P9">
        <v>10.676129551838454</v>
      </c>
      <c r="Q9">
        <v>0.73788954793577699</v>
      </c>
      <c r="R9">
        <v>12.156610497433309</v>
      </c>
      <c r="S9">
        <v>34.031882845803572</v>
      </c>
      <c r="U9">
        <v>2.2137741347030939</v>
      </c>
      <c r="V9">
        <v>44.408848191169881</v>
      </c>
      <c r="W9">
        <v>20.890391242439861</v>
      </c>
      <c r="X9">
        <v>49.68310555711944</v>
      </c>
      <c r="Y9">
        <v>7.2108832407021053</v>
      </c>
      <c r="Z9">
        <v>32.758971050390031</v>
      </c>
      <c r="AA9">
        <v>4.0446614547093267</v>
      </c>
      <c r="AB9">
        <v>33.214397068159499</v>
      </c>
      <c r="AD9">
        <v>8.3935972409459296</v>
      </c>
      <c r="AE9">
        <v>14.059872079011177</v>
      </c>
      <c r="AF9">
        <v>13.624537342417193</v>
      </c>
      <c r="AG9">
        <v>18.604492077392869</v>
      </c>
      <c r="AH9">
        <v>6.3183799299362837</v>
      </c>
      <c r="AI9">
        <v>2.532978237269413</v>
      </c>
      <c r="AK9">
        <v>48.457529881426296</v>
      </c>
    </row>
    <row r="10" spans="1:47" x14ac:dyDescent="0.2">
      <c r="A10">
        <v>9</v>
      </c>
      <c r="B10">
        <v>751</v>
      </c>
      <c r="C10">
        <v>275</v>
      </c>
      <c r="D10">
        <v>0.29815017331445698</v>
      </c>
      <c r="E10">
        <v>200.78495246796209</v>
      </c>
      <c r="F10">
        <v>60.782303221101778</v>
      </c>
      <c r="G10">
        <v>71.085706670471879</v>
      </c>
      <c r="H10">
        <v>66.471759463004247</v>
      </c>
      <c r="J10">
        <v>52.710568830778826</v>
      </c>
      <c r="L10">
        <v>5.7760925846809617</v>
      </c>
      <c r="M10">
        <v>13.879721869615427</v>
      </c>
      <c r="N10">
        <v>2.5884283526624405</v>
      </c>
      <c r="O10">
        <v>19.995203513063306</v>
      </c>
      <c r="P10">
        <v>10.57192433842047</v>
      </c>
      <c r="Q10">
        <v>0.6688786874065572</v>
      </c>
      <c r="R10">
        <v>11.9299885198071</v>
      </c>
      <c r="S10">
        <v>33.554910573042768</v>
      </c>
      <c r="U10">
        <v>2.1248427101973704</v>
      </c>
      <c r="V10">
        <v>44.280990549879427</v>
      </c>
      <c r="W10">
        <v>20.671552598792189</v>
      </c>
      <c r="X10">
        <v>49.447837466161374</v>
      </c>
      <c r="Y10">
        <v>7.1201778254878443</v>
      </c>
      <c r="Z10">
        <v>32.54997531743436</v>
      </c>
      <c r="AA10">
        <v>3.9579547581774461</v>
      </c>
      <c r="AB10">
        <v>33.052709041684949</v>
      </c>
      <c r="AD10">
        <v>8.2743316416338786</v>
      </c>
      <c r="AE10">
        <v>13.966055868200964</v>
      </c>
      <c r="AF10">
        <v>13.546326860815658</v>
      </c>
      <c r="AG10">
        <v>18.427824089013846</v>
      </c>
      <c r="AH10">
        <v>6.1781313106145479</v>
      </c>
      <c r="AI10">
        <v>2.5346594602178865</v>
      </c>
      <c r="AK10">
        <v>48.450052632880556</v>
      </c>
    </row>
    <row r="11" spans="1:47" x14ac:dyDescent="0.2">
      <c r="A11">
        <v>10</v>
      </c>
      <c r="B11">
        <v>750</v>
      </c>
      <c r="C11">
        <v>275</v>
      </c>
      <c r="D11">
        <v>0.29739578751893703</v>
      </c>
      <c r="E11">
        <v>200.65972284497579</v>
      </c>
      <c r="F11">
        <v>60.395072624178276</v>
      </c>
      <c r="G11">
        <v>71.021936046190163</v>
      </c>
      <c r="H11">
        <v>66.405673005572126</v>
      </c>
      <c r="J11">
        <v>52.633097609244579</v>
      </c>
      <c r="L11">
        <v>5.6645881403548541</v>
      </c>
      <c r="M11">
        <v>13.802774498703478</v>
      </c>
      <c r="N11">
        <v>2.5904007256327461</v>
      </c>
      <c r="O11">
        <v>19.615060458298611</v>
      </c>
      <c r="P11">
        <v>10.467891296997296</v>
      </c>
      <c r="Q11">
        <v>0.59999696389513879</v>
      </c>
      <c r="R11">
        <v>11.703716280315611</v>
      </c>
      <c r="S11">
        <v>33.078855407389646</v>
      </c>
      <c r="U11">
        <v>2.0359801831091922</v>
      </c>
      <c r="V11">
        <v>44.153347217795087</v>
      </c>
      <c r="W11">
        <v>20.452994749720446</v>
      </c>
      <c r="X11">
        <v>49.212994631663918</v>
      </c>
      <c r="Y11">
        <v>7.0296217943765082</v>
      </c>
      <c r="Z11">
        <v>32.34127710834062</v>
      </c>
      <c r="AA11">
        <v>3.8714134505948388</v>
      </c>
      <c r="AB11">
        <v>32.891296848858552</v>
      </c>
      <c r="AD11">
        <v>8.1551695366677173</v>
      </c>
      <c r="AE11">
        <v>13.872367848547764</v>
      </c>
      <c r="AF11">
        <v>13.468261954076725</v>
      </c>
      <c r="AG11">
        <v>18.251434357900752</v>
      </c>
      <c r="AH11">
        <v>6.0381046989871328</v>
      </c>
      <c r="AI11">
        <v>2.536339715487979</v>
      </c>
      <c r="AK11">
        <v>48.442887915158813</v>
      </c>
    </row>
    <row r="12" spans="1:47" x14ac:dyDescent="0.2">
      <c r="A12">
        <v>11</v>
      </c>
      <c r="B12">
        <v>749</v>
      </c>
      <c r="C12">
        <v>275</v>
      </c>
      <c r="D12">
        <v>0.29663992564692099</v>
      </c>
      <c r="E12">
        <v>200.53464572895763</v>
      </c>
      <c r="F12">
        <v>60.008527749046586</v>
      </c>
      <c r="G12">
        <v>70.958247470919702</v>
      </c>
      <c r="H12">
        <v>66.33968175381581</v>
      </c>
      <c r="J12">
        <v>52.556221719030582</v>
      </c>
      <c r="L12">
        <v>5.5531340128044206</v>
      </c>
      <c r="M12">
        <v>13.725972033417836</v>
      </c>
      <c r="N12">
        <v>2.5923729716019688</v>
      </c>
      <c r="O12">
        <v>19.235523557521159</v>
      </c>
      <c r="P12">
        <v>10.364030112103201</v>
      </c>
      <c r="Q12">
        <v>0.53124387198531253</v>
      </c>
      <c r="R12">
        <v>11.477792654518296</v>
      </c>
      <c r="S12">
        <v>32.603714498822526</v>
      </c>
      <c r="U12">
        <v>1.9471861925795717</v>
      </c>
      <c r="V12">
        <v>44.02591743288297</v>
      </c>
      <c r="W12">
        <v>20.234716773238734</v>
      </c>
      <c r="X12">
        <v>48.978575537877433</v>
      </c>
      <c r="Y12">
        <v>6.9392147296490849</v>
      </c>
      <c r="Z12">
        <v>32.132875517092735</v>
      </c>
      <c r="AA12">
        <v>3.7850371345366511</v>
      </c>
      <c r="AB12">
        <v>32.730159608651732</v>
      </c>
      <c r="AD12">
        <v>8.0361110289678646</v>
      </c>
      <c r="AE12">
        <v>13.778807606027701</v>
      </c>
      <c r="AF12">
        <v>13.390342156546325</v>
      </c>
      <c r="AG12">
        <v>18.075322009629218</v>
      </c>
      <c r="AH12">
        <v>5.8982997025894877</v>
      </c>
      <c r="AI12">
        <v>2.5380190018180975</v>
      </c>
      <c r="AK12">
        <v>48.436035594781096</v>
      </c>
    </row>
    <row r="13" spans="1:47" x14ac:dyDescent="0.2">
      <c r="A13">
        <v>12</v>
      </c>
      <c r="B13">
        <v>748</v>
      </c>
      <c r="C13">
        <v>275</v>
      </c>
      <c r="D13">
        <v>0.29588258336189799</v>
      </c>
      <c r="E13">
        <v>200.40972068583213</v>
      </c>
      <c r="F13">
        <v>59.622666849174443</v>
      </c>
      <c r="G13">
        <v>70.89464077738053</v>
      </c>
      <c r="H13">
        <v>66.273785561539555</v>
      </c>
      <c r="J13">
        <v>52.479940628654326</v>
      </c>
      <c r="L13">
        <v>5.4417365262616819</v>
      </c>
      <c r="M13">
        <v>13.649314005999644</v>
      </c>
      <c r="N13">
        <v>2.5943450911007289</v>
      </c>
      <c r="O13">
        <v>18.856591459750145</v>
      </c>
      <c r="P13">
        <v>10.260340472799379</v>
      </c>
      <c r="Q13">
        <v>0.46261893430986495</v>
      </c>
      <c r="R13">
        <v>11.252216529595733</v>
      </c>
      <c r="S13">
        <v>32.129485021715006</v>
      </c>
      <c r="U13">
        <v>1.8584603818959287</v>
      </c>
      <c r="V13">
        <v>43.898700433225109</v>
      </c>
      <c r="W13">
        <v>20.016717756102917</v>
      </c>
      <c r="X13">
        <v>48.744578680939902</v>
      </c>
      <c r="Y13">
        <v>6.8489562186227184</v>
      </c>
      <c r="Z13">
        <v>31.924769647161995</v>
      </c>
      <c r="AA13">
        <v>3.698825417602944</v>
      </c>
      <c r="AB13">
        <v>32.569296448630595</v>
      </c>
      <c r="AD13">
        <v>7.9171562187203142</v>
      </c>
      <c r="AE13">
        <v>13.685374731068391</v>
      </c>
      <c r="AF13">
        <v>13.312567006682178</v>
      </c>
      <c r="AG13">
        <v>17.899486178343999</v>
      </c>
      <c r="AH13">
        <v>5.7587159408739446</v>
      </c>
      <c r="AI13">
        <v>2.5396973178982201</v>
      </c>
      <c r="AK13">
        <v>48.429495542329903</v>
      </c>
    </row>
    <row r="14" spans="1:47" x14ac:dyDescent="0.2">
      <c r="A14">
        <v>13</v>
      </c>
      <c r="B14">
        <v>747</v>
      </c>
      <c r="C14">
        <v>275</v>
      </c>
      <c r="D14">
        <v>0.29512375631034898</v>
      </c>
      <c r="E14">
        <v>200.28494728604196</v>
      </c>
      <c r="F14">
        <v>59.237488198339378</v>
      </c>
      <c r="G14">
        <v>70.831115800596748</v>
      </c>
      <c r="H14">
        <v>66.207984284891722</v>
      </c>
      <c r="J14">
        <v>52.404253815507865</v>
      </c>
      <c r="L14">
        <v>5.3304013323142723</v>
      </c>
      <c r="M14">
        <v>13.572799952846072</v>
      </c>
      <c r="N14">
        <v>2.5963170847147121</v>
      </c>
      <c r="O14">
        <v>18.478262829839053</v>
      </c>
      <c r="P14">
        <v>10.156822072881408</v>
      </c>
      <c r="Q14">
        <v>0.39407817695353059</v>
      </c>
      <c r="R14">
        <v>11.026986804671781</v>
      </c>
      <c r="S14">
        <v>31.656164174974663</v>
      </c>
      <c r="U14">
        <v>1.7698023984827347</v>
      </c>
      <c r="V14">
        <v>43.771695457106077</v>
      </c>
      <c r="W14">
        <v>19.79899679349311</v>
      </c>
      <c r="X14">
        <v>48.511002569490287</v>
      </c>
      <c r="Y14">
        <v>6.7588458537912759</v>
      </c>
      <c r="Z14">
        <v>31.716958611043481</v>
      </c>
      <c r="AA14">
        <v>3.6127779125546948</v>
      </c>
      <c r="AB14">
        <v>32.408706504554807</v>
      </c>
      <c r="AD14">
        <v>7.7983052034755458</v>
      </c>
      <c r="AE14">
        <v>13.592068818220529</v>
      </c>
      <c r="AF14">
        <v>13.234936047166716</v>
      </c>
      <c r="AG14">
        <v>17.723926006454391</v>
      </c>
      <c r="AH14">
        <v>5.6193530389105195</v>
      </c>
      <c r="AI14">
        <v>2.5413746624743219</v>
      </c>
      <c r="AK14">
        <v>48.423267632895318</v>
      </c>
    </row>
    <row r="15" spans="1:47" x14ac:dyDescent="0.2">
      <c r="A15">
        <v>14</v>
      </c>
      <c r="B15">
        <v>746</v>
      </c>
      <c r="C15">
        <v>275</v>
      </c>
      <c r="D15">
        <v>0.29436344012167098</v>
      </c>
      <c r="E15">
        <v>200.16032510418984</v>
      </c>
      <c r="F15">
        <v>58.852990089673909</v>
      </c>
      <c r="G15">
        <v>70.76767237781101</v>
      </c>
      <c r="H15">
        <v>66.142277782282065</v>
      </c>
      <c r="J15">
        <v>52.32916076529326</v>
      </c>
      <c r="L15">
        <v>5.2191335062661564</v>
      </c>
      <c r="M15">
        <v>13.496429414388075</v>
      </c>
      <c r="N15">
        <v>2.5982889530137712</v>
      </c>
      <c r="O15">
        <v>18.100536347968415</v>
      </c>
      <c r="P15">
        <v>10.053474610627076</v>
      </c>
      <c r="Q15">
        <v>0.32570250961437158</v>
      </c>
      <c r="R15">
        <v>10.802102390315808</v>
      </c>
      <c r="S15">
        <v>31.183749181294743</v>
      </c>
      <c r="U15">
        <v>1.6812118938092426</v>
      </c>
      <c r="V15">
        <v>43.644901742443331</v>
      </c>
      <c r="W15">
        <v>19.581552989046212</v>
      </c>
      <c r="X15">
        <v>48.277845724382423</v>
      </c>
      <c r="Y15">
        <v>6.6688832326311376</v>
      </c>
      <c r="Z15">
        <v>31.509441530458922</v>
      </c>
      <c r="AA15">
        <v>3.526894237029206</v>
      </c>
      <c r="AB15">
        <v>32.248388920500496</v>
      </c>
      <c r="AD15">
        <v>7.6795580784871502</v>
      </c>
      <c r="AE15">
        <v>13.498889466340197</v>
      </c>
      <c r="AF15">
        <v>13.157448824717093</v>
      </c>
      <c r="AG15">
        <v>17.548640644692235</v>
      </c>
      <c r="AH15">
        <v>5.4802106280219336</v>
      </c>
      <c r="AI15">
        <v>2.543051034275845</v>
      </c>
      <c r="AK15">
        <v>48.417351745623328</v>
      </c>
    </row>
    <row r="16" spans="1:47" x14ac:dyDescent="0.2">
      <c r="A16">
        <v>15</v>
      </c>
      <c r="B16">
        <v>745</v>
      </c>
      <c r="C16">
        <v>275</v>
      </c>
      <c r="D16">
        <v>0.29360163040809401</v>
      </c>
      <c r="E16">
        <v>200.03585371929353</v>
      </c>
      <c r="F16">
        <v>58.469170836281393</v>
      </c>
      <c r="G16">
        <v>70.704310348554387</v>
      </c>
      <c r="H16">
        <v>66.076665914449251</v>
      </c>
      <c r="J16">
        <v>52.254660972418961</v>
      </c>
      <c r="L16">
        <v>5.1079376262780682</v>
      </c>
      <c r="M16">
        <v>13.420201935227077</v>
      </c>
      <c r="N16">
        <v>2.6002606965622883</v>
      </c>
      <c r="O16">
        <v>17.72341070986365</v>
      </c>
      <c r="P16">
        <v>9.9502977889521702</v>
      </c>
      <c r="Q16">
        <v>0.25745283767899674</v>
      </c>
      <c r="R16">
        <v>10.57756220891185</v>
      </c>
      <c r="S16">
        <v>30.712237287841177</v>
      </c>
      <c r="U16">
        <v>1.5926885234913959</v>
      </c>
      <c r="V16">
        <v>43.518318526943162</v>
      </c>
      <c r="W16">
        <v>19.364385454925426</v>
      </c>
      <c r="X16">
        <v>48.045106678801993</v>
      </c>
      <c r="Y16">
        <v>6.5790679577380837</v>
      </c>
      <c r="Z16">
        <v>31.302217536254442</v>
      </c>
      <c r="AA16">
        <v>3.441174013589567</v>
      </c>
      <c r="AB16">
        <v>32.088342848846075</v>
      </c>
      <c r="AD16">
        <v>7.5609149369724582</v>
      </c>
      <c r="AE16">
        <v>13.405836278461976</v>
      </c>
      <c r="AF16">
        <v>13.080104890221392</v>
      </c>
      <c r="AG16">
        <v>17.37362925210607</v>
      </c>
      <c r="AH16">
        <v>5.341288345968108</v>
      </c>
      <c r="AI16">
        <v>2.5447264320268776</v>
      </c>
      <c r="AK16">
        <v>48.411747764002705</v>
      </c>
    </row>
    <row r="17" spans="1:37" x14ac:dyDescent="0.2">
      <c r="A17">
        <v>16</v>
      </c>
      <c r="B17">
        <v>744</v>
      </c>
      <c r="C17">
        <v>275</v>
      </c>
      <c r="D17">
        <v>0.29283832276459099</v>
      </c>
      <c r="E17">
        <v>199.91153271444063</v>
      </c>
      <c r="F17">
        <v>58.086028770228978</v>
      </c>
      <c r="G17">
        <v>70.641029554529794</v>
      </c>
      <c r="H17">
        <v>66.011148544347137</v>
      </c>
      <c r="J17">
        <v>52.180753939403282</v>
      </c>
      <c r="L17">
        <v>4.9968178381765718</v>
      </c>
      <c r="M17">
        <v>13.344117063888859</v>
      </c>
      <c r="N17">
        <v>2.6022323159203364</v>
      </c>
      <c r="O17">
        <v>17.346884626280747</v>
      </c>
      <c r="P17">
        <v>9.8472913151762302</v>
      </c>
      <c r="Q17">
        <v>0.18932868078304363</v>
      </c>
      <c r="R17">
        <v>10.353365194051593</v>
      </c>
      <c r="S17">
        <v>30.24162576496207</v>
      </c>
      <c r="U17">
        <v>1.5042319470936529</v>
      </c>
      <c r="V17">
        <v>43.391945047386727</v>
      </c>
      <c r="W17">
        <v>19.147493311530742</v>
      </c>
      <c r="X17">
        <v>47.812783977577823</v>
      </c>
      <c r="Y17">
        <v>6.4893996366134337</v>
      </c>
      <c r="Z17">
        <v>31.095285768309669</v>
      </c>
      <c r="AA17">
        <v>3.3556168694412847</v>
      </c>
      <c r="AB17">
        <v>31.928567450074329</v>
      </c>
      <c r="AD17">
        <v>7.4423758702620928</v>
      </c>
      <c r="AE17">
        <v>13.312908861828163</v>
      </c>
      <c r="AF17">
        <v>13.002903798503926</v>
      </c>
      <c r="AG17">
        <v>17.198890995861152</v>
      </c>
      <c r="AH17">
        <v>5.202585836638173</v>
      </c>
      <c r="AI17">
        <v>2.5464008544468522</v>
      </c>
      <c r="AK17">
        <v>48.406455575491478</v>
      </c>
    </row>
    <row r="18" spans="1:37" x14ac:dyDescent="0.2">
      <c r="A18">
        <v>17</v>
      </c>
      <c r="B18">
        <v>743</v>
      </c>
      <c r="C18">
        <v>275</v>
      </c>
      <c r="D18">
        <v>0.29207351276878402</v>
      </c>
      <c r="E18">
        <v>199.78736167702525</v>
      </c>
      <c r="F18">
        <v>57.703562243136709</v>
      </c>
      <c r="G18">
        <v>70.577829839677662</v>
      </c>
      <c r="H18">
        <v>65.945725537206158</v>
      </c>
      <c r="J18">
        <v>52.107439177250981</v>
      </c>
      <c r="L18">
        <v>4.8857779097795726</v>
      </c>
      <c r="M18">
        <v>13.268174352952558</v>
      </c>
      <c r="N18">
        <v>2.6042038116525315</v>
      </c>
      <c r="O18">
        <v>16.970956823246354</v>
      </c>
      <c r="P18">
        <v>9.7444549011641168</v>
      </c>
      <c r="Q18">
        <v>0.1213295956552829</v>
      </c>
      <c r="R18">
        <v>10.129510290895393</v>
      </c>
      <c r="S18">
        <v>29.771911906826308</v>
      </c>
      <c r="U18">
        <v>1.4158418282243399</v>
      </c>
      <c r="V18">
        <v>43.265780539736383</v>
      </c>
      <c r="W18">
        <v>18.930875687570609</v>
      </c>
      <c r="X18">
        <v>47.580876177553399</v>
      </c>
      <c r="Y18">
        <v>6.3998778817916442</v>
      </c>
      <c r="Z18">
        <v>30.888645375457166</v>
      </c>
      <c r="AA18">
        <v>3.2702224364314607</v>
      </c>
      <c r="AB18">
        <v>31.769061892767521</v>
      </c>
      <c r="AD18">
        <v>7.3239409680392908</v>
      </c>
      <c r="AE18">
        <v>13.220106827778169</v>
      </c>
      <c r="AF18">
        <v>12.925845108463786</v>
      </c>
      <c r="AG18">
        <v>17.024425051250386</v>
      </c>
      <c r="AH18">
        <v>5.0641027502252758</v>
      </c>
      <c r="AI18">
        <v>2.5480743002605544</v>
      </c>
      <c r="AK18">
        <v>48.40147507178056</v>
      </c>
    </row>
    <row r="19" spans="1:37" x14ac:dyDescent="0.2">
      <c r="A19">
        <v>18</v>
      </c>
      <c r="B19">
        <v>742</v>
      </c>
      <c r="C19">
        <v>275</v>
      </c>
      <c r="D19">
        <v>0.291307195980888</v>
      </c>
      <c r="E19">
        <v>199.66334019851013</v>
      </c>
      <c r="F19">
        <v>57.321769625423606</v>
      </c>
      <c r="G19">
        <v>70.514711050087698</v>
      </c>
      <c r="H19">
        <v>65.880396760450324</v>
      </c>
      <c r="J19">
        <v>52.034716205045839</v>
      </c>
      <c r="L19">
        <v>4.7748212760532844</v>
      </c>
      <c r="M19">
        <v>13.192373358847616</v>
      </c>
      <c r="N19">
        <v>2.606175184347002</v>
      </c>
      <c r="O19">
        <v>16.595626041654999</v>
      </c>
      <c r="P19">
        <v>9.6417882631681522</v>
      </c>
      <c r="Q19">
        <v>5.3455186955999122E-2</v>
      </c>
      <c r="R19">
        <v>9.9059964557053917</v>
      </c>
      <c r="S19">
        <v>29.303093030365904</v>
      </c>
      <c r="U19">
        <v>1.3275178343669922</v>
      </c>
      <c r="V19">
        <v>43.139824238549799</v>
      </c>
      <c r="W19">
        <v>18.714531719753818</v>
      </c>
      <c r="X19">
        <v>47.349381847387164</v>
      </c>
      <c r="Y19">
        <v>6.3105023106879639</v>
      </c>
      <c r="Z19">
        <v>30.682295515323911</v>
      </c>
      <c r="AA19">
        <v>3.1849903508124773</v>
      </c>
      <c r="AB19">
        <v>31.609825353366407</v>
      </c>
      <c r="AD19">
        <v>7.2056103184490805</v>
      </c>
      <c r="AE19">
        <v>13.127429791715354</v>
      </c>
      <c r="AF19">
        <v>12.848928382880409</v>
      </c>
      <c r="AG19">
        <v>16.850230601464986</v>
      </c>
      <c r="AH19">
        <v>4.9258387429816146</v>
      </c>
      <c r="AI19">
        <v>2.5497467682148898</v>
      </c>
      <c r="AK19">
        <v>48.396806148567414</v>
      </c>
    </row>
    <row r="20" spans="1:37" x14ac:dyDescent="0.2">
      <c r="A20">
        <v>19</v>
      </c>
      <c r="B20">
        <v>741</v>
      </c>
      <c r="C20">
        <v>275</v>
      </c>
      <c r="D20">
        <v>0.29053936794360102</v>
      </c>
      <c r="E20">
        <v>199.51098159273963</v>
      </c>
      <c r="F20">
        <v>56.699822104123776</v>
      </c>
      <c r="G20">
        <v>70.422686997857895</v>
      </c>
      <c r="H20">
        <v>65.786176047553326</v>
      </c>
      <c r="J20">
        <v>51.812686549948936</v>
      </c>
      <c r="L20">
        <v>4.5865394611307515</v>
      </c>
      <c r="M20">
        <v>13.085717505388702</v>
      </c>
      <c r="N20">
        <v>2.6081449660676586</v>
      </c>
      <c r="O20">
        <v>16.001200367982673</v>
      </c>
      <c r="P20">
        <v>9.4813175809983896</v>
      </c>
      <c r="R20">
        <v>9.551091186120253</v>
      </c>
      <c r="S20">
        <v>28.559690299780822</v>
      </c>
      <c r="U20">
        <v>1.224573531340867</v>
      </c>
      <c r="V20">
        <v>42.943625019365648</v>
      </c>
      <c r="W20">
        <v>18.500430810337544</v>
      </c>
      <c r="X20">
        <v>47.07180789761113</v>
      </c>
      <c r="Y20">
        <v>6.161139539601785</v>
      </c>
      <c r="Z20">
        <v>30.276826468545494</v>
      </c>
      <c r="AA20">
        <v>3.0374389476882788</v>
      </c>
      <c r="AB20">
        <v>31.301475099719216</v>
      </c>
      <c r="AD20">
        <v>6.9763986776320319</v>
      </c>
      <c r="AE20">
        <v>12.93798377980316</v>
      </c>
      <c r="AF20">
        <v>12.741155583410876</v>
      </c>
      <c r="AG20">
        <v>16.526923452600261</v>
      </c>
      <c r="AH20">
        <v>4.6914132259302876</v>
      </c>
      <c r="AI20">
        <v>2.5514167885335914</v>
      </c>
      <c r="AK20">
        <v>48.310013302771551</v>
      </c>
    </row>
    <row r="21" spans="1:37" x14ac:dyDescent="0.2">
      <c r="A21">
        <v>20</v>
      </c>
      <c r="B21">
        <v>740</v>
      </c>
      <c r="C21">
        <v>275</v>
      </c>
      <c r="D21">
        <v>0.28977002418201098</v>
      </c>
      <c r="E21">
        <v>198.6896327144959</v>
      </c>
      <c r="F21">
        <v>51.156590854628369</v>
      </c>
      <c r="G21">
        <v>69.628826166150901</v>
      </c>
      <c r="H21">
        <v>64.990131903094976</v>
      </c>
      <c r="J21">
        <v>49.438622108291604</v>
      </c>
      <c r="L21">
        <v>3.6682977629250781</v>
      </c>
      <c r="M21">
        <v>12.978358453871955</v>
      </c>
      <c r="N21">
        <v>2.6100638787879378</v>
      </c>
      <c r="O21">
        <v>10.462499445581356</v>
      </c>
      <c r="P21">
        <v>7.9171305665723386</v>
      </c>
      <c r="R21">
        <v>7.4296658450659194</v>
      </c>
      <c r="S21">
        <v>25.135821966456923</v>
      </c>
      <c r="U21">
        <v>1.154183822485241</v>
      </c>
      <c r="V21">
        <v>42.51032557203424</v>
      </c>
      <c r="W21">
        <v>18.347396592132988</v>
      </c>
      <c r="X21">
        <v>46.893595889652786</v>
      </c>
      <c r="Y21">
        <v>4.6037863723809025</v>
      </c>
      <c r="Z21">
        <v>26.463227113441839</v>
      </c>
      <c r="AA21">
        <v>1.5216141869309503</v>
      </c>
      <c r="AB21">
        <v>29.571590460535226</v>
      </c>
      <c r="AD21">
        <v>4.7762089127694676</v>
      </c>
      <c r="AE21">
        <v>11.270839331553212</v>
      </c>
      <c r="AF21">
        <v>12.632629099113982</v>
      </c>
      <c r="AG21">
        <v>14.782033661543286</v>
      </c>
      <c r="AH21">
        <v>2.2942967147228264</v>
      </c>
      <c r="AI21">
        <v>2.5530350813494533</v>
      </c>
      <c r="AK21">
        <v>46.769791364836685</v>
      </c>
    </row>
    <row r="22" spans="1:37" x14ac:dyDescent="0.2">
      <c r="A22">
        <v>21</v>
      </c>
      <c r="B22">
        <v>739</v>
      </c>
      <c r="C22">
        <v>275</v>
      </c>
      <c r="D22">
        <v>0.28899916020352701</v>
      </c>
      <c r="E22">
        <v>198.53562608111932</v>
      </c>
      <c r="F22">
        <v>46.543875298672013</v>
      </c>
      <c r="G22">
        <v>69.489403698993428</v>
      </c>
      <c r="H22">
        <v>64.848539492562466</v>
      </c>
      <c r="J22">
        <v>34.586299033196177</v>
      </c>
      <c r="L22">
        <v>1.5464116767384184</v>
      </c>
      <c r="M22">
        <v>12.846458695907417</v>
      </c>
      <c r="N22">
        <v>2.6120388058677966</v>
      </c>
      <c r="O22">
        <v>5.7382618890809489</v>
      </c>
      <c r="P22">
        <v>7.6618844149848959</v>
      </c>
      <c r="R22">
        <v>6.4550936986824841</v>
      </c>
      <c r="S22">
        <v>23.049572262326286</v>
      </c>
      <c r="U22">
        <v>1.0843384345557199</v>
      </c>
      <c r="V22">
        <v>42.645006148819803</v>
      </c>
      <c r="W22">
        <v>18.162694585670955</v>
      </c>
      <c r="X22">
        <v>46.727471396283917</v>
      </c>
      <c r="Y22">
        <v>3.8164785047607444</v>
      </c>
      <c r="Z22">
        <v>19.219671689449456</v>
      </c>
      <c r="AB22">
        <v>25.824237500516553</v>
      </c>
      <c r="AD22">
        <v>1.1280927235047511</v>
      </c>
      <c r="AE22">
        <v>7.2360916022360469</v>
      </c>
      <c r="AF22">
        <v>12.499618310764546</v>
      </c>
      <c r="AG22">
        <v>11.019734182579104</v>
      </c>
      <c r="AI22">
        <v>2.5547085281816733</v>
      </c>
      <c r="AK22">
        <v>36.793965242418672</v>
      </c>
    </row>
    <row r="23" spans="1:37" x14ac:dyDescent="0.2">
      <c r="A23">
        <v>22</v>
      </c>
      <c r="B23">
        <v>738</v>
      </c>
      <c r="C23">
        <v>275</v>
      </c>
      <c r="D23">
        <v>0.28822677149780002</v>
      </c>
      <c r="E23">
        <v>198.68900925127619</v>
      </c>
      <c r="F23">
        <v>46.343935818983134</v>
      </c>
      <c r="G23">
        <v>69.554241823968056</v>
      </c>
      <c r="H23">
        <v>64.911221065039797</v>
      </c>
      <c r="J23">
        <v>22.675931707652378</v>
      </c>
      <c r="L23">
        <v>1.5757347327935567</v>
      </c>
      <c r="M23">
        <v>12.579022577964505</v>
      </c>
      <c r="N23">
        <v>2.6140238231838584</v>
      </c>
      <c r="O23">
        <v>5.5280471244145533</v>
      </c>
      <c r="P23">
        <v>7.8151776810263378</v>
      </c>
      <c r="R23">
        <v>6.3900683763932369</v>
      </c>
      <c r="S23">
        <v>23.288707555912541</v>
      </c>
      <c r="U23">
        <v>1.0494673647161108</v>
      </c>
      <c r="V23">
        <v>43.064262560090761</v>
      </c>
      <c r="W23">
        <v>17.827492716277842</v>
      </c>
      <c r="X23">
        <v>46.661701663191124</v>
      </c>
      <c r="Y23">
        <v>3.7231726340350559</v>
      </c>
      <c r="Z23">
        <v>17.783880873529583</v>
      </c>
      <c r="AB23">
        <v>25.268810328724648</v>
      </c>
      <c r="AE23">
        <v>6.3865309896505362</v>
      </c>
      <c r="AF23">
        <v>12.231081646527041</v>
      </c>
      <c r="AG23">
        <v>10.449373206889382</v>
      </c>
      <c r="AI23">
        <v>2.5563912030670464</v>
      </c>
      <c r="AK23">
        <v>28.777158664836776</v>
      </c>
    </row>
    <row r="24" spans="1:37" x14ac:dyDescent="0.2">
      <c r="A24">
        <v>23</v>
      </c>
      <c r="B24">
        <v>759</v>
      </c>
      <c r="C24">
        <v>250</v>
      </c>
      <c r="D24">
        <v>0.33077604999273502</v>
      </c>
      <c r="E24">
        <v>187.19292500355436</v>
      </c>
      <c r="F24">
        <v>63.358069859667133</v>
      </c>
      <c r="G24">
        <v>71.594264369434555</v>
      </c>
      <c r="H24">
        <v>66.998168327401274</v>
      </c>
      <c r="J24">
        <v>52.879684110367172</v>
      </c>
      <c r="L24">
        <v>6.5325578637994477</v>
      </c>
      <c r="M24">
        <v>14.450364774579018</v>
      </c>
      <c r="N24">
        <v>2.4906515227287582</v>
      </c>
      <c r="O24">
        <v>23.163268547036726</v>
      </c>
      <c r="P24">
        <v>11.178094780501628</v>
      </c>
      <c r="Q24">
        <v>0.98192051571330008</v>
      </c>
      <c r="R24">
        <v>13.741888802288255</v>
      </c>
      <c r="S24">
        <v>36.821673151091389</v>
      </c>
      <c r="U24">
        <v>2.6843779766037774</v>
      </c>
      <c r="V24">
        <v>44.73274862457486</v>
      </c>
      <c r="W24">
        <v>22.920394033743886</v>
      </c>
      <c r="X24">
        <v>49.782972172368424</v>
      </c>
      <c r="Y24">
        <v>7.6445916034889407</v>
      </c>
      <c r="Z24">
        <v>34.128468837560163</v>
      </c>
      <c r="AA24">
        <v>4.5818897160880585</v>
      </c>
      <c r="AB24">
        <v>34.332845239880108</v>
      </c>
      <c r="AC24">
        <v>9.2318281365134699E-3</v>
      </c>
      <c r="AD24">
        <v>9.1628815639387931</v>
      </c>
      <c r="AE24">
        <v>14.883989691196946</v>
      </c>
      <c r="AF24">
        <v>14.121006337556912</v>
      </c>
      <c r="AG24">
        <v>19.853847900350441</v>
      </c>
      <c r="AH24">
        <v>6.7807283683409389</v>
      </c>
      <c r="AI24">
        <v>2.435978815090404</v>
      </c>
      <c r="AK24">
        <v>48.15949808401443</v>
      </c>
    </row>
    <row r="25" spans="1:37" x14ac:dyDescent="0.2">
      <c r="A25">
        <v>24</v>
      </c>
      <c r="B25">
        <v>758</v>
      </c>
      <c r="C25">
        <v>250</v>
      </c>
      <c r="D25">
        <v>0.330059157251614</v>
      </c>
      <c r="E25">
        <v>187.0901889689211</v>
      </c>
      <c r="F25">
        <v>63.045122980890717</v>
      </c>
      <c r="G25">
        <v>71.541621820626318</v>
      </c>
      <c r="H25">
        <v>66.943095275960857</v>
      </c>
      <c r="J25">
        <v>52.839187504555156</v>
      </c>
      <c r="L25">
        <v>6.4526933784496787</v>
      </c>
      <c r="M25">
        <v>14.404210443311438</v>
      </c>
      <c r="N25">
        <v>2.4830678980002632</v>
      </c>
      <c r="O25">
        <v>22.811960138755673</v>
      </c>
      <c r="P25">
        <v>11.086689835633347</v>
      </c>
      <c r="Q25">
        <v>0.93722621457242805</v>
      </c>
      <c r="R25">
        <v>13.568049222105973</v>
      </c>
      <c r="S25">
        <v>36.497877125541002</v>
      </c>
      <c r="U25">
        <v>2.6224490668960136</v>
      </c>
      <c r="V25">
        <v>44.658352485092919</v>
      </c>
      <c r="W25">
        <v>22.758601657517318</v>
      </c>
      <c r="X25">
        <v>49.64028116820478</v>
      </c>
      <c r="Y25">
        <v>7.5704182071795749</v>
      </c>
      <c r="Z25">
        <v>33.96036634274008</v>
      </c>
      <c r="AA25">
        <v>4.5070184306283991</v>
      </c>
      <c r="AB25">
        <v>34.223946994400428</v>
      </c>
      <c r="AD25">
        <v>9.0713870918511326</v>
      </c>
      <c r="AE25">
        <v>14.80546806568746</v>
      </c>
      <c r="AF25">
        <v>14.064172512110245</v>
      </c>
      <c r="AG25">
        <v>19.720428759480924</v>
      </c>
      <c r="AH25">
        <v>6.6757491971571374</v>
      </c>
      <c r="AI25">
        <v>2.4281108697076781</v>
      </c>
      <c r="AK25">
        <v>48.165161775948626</v>
      </c>
    </row>
    <row r="26" spans="1:37" x14ac:dyDescent="0.2">
      <c r="A26">
        <v>25</v>
      </c>
      <c r="B26">
        <v>757</v>
      </c>
      <c r="C26">
        <v>250</v>
      </c>
      <c r="D26">
        <v>0.32934087268844398</v>
      </c>
      <c r="E26">
        <v>186.964358882829</v>
      </c>
      <c r="F26">
        <v>62.655480355513205</v>
      </c>
      <c r="G26">
        <v>71.477478010554464</v>
      </c>
      <c r="H26">
        <v>66.876533955090807</v>
      </c>
      <c r="J26">
        <v>52.757554428225035</v>
      </c>
      <c r="L26">
        <v>6.342042714604835</v>
      </c>
      <c r="M26">
        <v>14.327016482482499</v>
      </c>
      <c r="N26">
        <v>2.4850317459165985</v>
      </c>
      <c r="O26">
        <v>22.428565210310648</v>
      </c>
      <c r="P26">
        <v>10.981837540826737</v>
      </c>
      <c r="Q26">
        <v>0.86866293713690179</v>
      </c>
      <c r="R26">
        <v>13.340839773804669</v>
      </c>
      <c r="S26">
        <v>36.018415029439453</v>
      </c>
      <c r="U26">
        <v>2.5332549776420024</v>
      </c>
      <c r="V26">
        <v>44.530404821373502</v>
      </c>
      <c r="W26">
        <v>22.539017683128538</v>
      </c>
      <c r="X26">
        <v>49.404694022754512</v>
      </c>
      <c r="Y26">
        <v>7.4792115382001327</v>
      </c>
      <c r="Z26">
        <v>33.751855637124024</v>
      </c>
      <c r="AA26">
        <v>4.4198909112823381</v>
      </c>
      <c r="AB26">
        <v>34.062278655540275</v>
      </c>
      <c r="AD26">
        <v>8.9530988564170961</v>
      </c>
      <c r="AE26">
        <v>14.711840840700786</v>
      </c>
      <c r="AF26">
        <v>13.985846821322957</v>
      </c>
      <c r="AG26">
        <v>19.543789507415475</v>
      </c>
      <c r="AH26">
        <v>6.5348463234581322</v>
      </c>
      <c r="AI26">
        <v>2.4297895697438094</v>
      </c>
      <c r="AK26">
        <v>48.155920422842868</v>
      </c>
    </row>
    <row r="27" spans="1:37" x14ac:dyDescent="0.2">
      <c r="A27">
        <v>26</v>
      </c>
      <c r="B27">
        <v>756</v>
      </c>
      <c r="C27">
        <v>250</v>
      </c>
      <c r="D27">
        <v>0.32862119224602798</v>
      </c>
      <c r="E27">
        <v>186.83864945666343</v>
      </c>
      <c r="F27">
        <v>62.266419473020271</v>
      </c>
      <c r="G27">
        <v>71.413400588504871</v>
      </c>
      <c r="H27">
        <v>66.8100520348343</v>
      </c>
      <c r="J27">
        <v>52.676455644670376</v>
      </c>
      <c r="L27">
        <v>6.231261543088106</v>
      </c>
      <c r="M27">
        <v>14.249927737548548</v>
      </c>
      <c r="N27">
        <v>2.4870072512447488</v>
      </c>
      <c r="O27">
        <v>22.045729683762424</v>
      </c>
      <c r="P27">
        <v>10.877137402011071</v>
      </c>
      <c r="Q27">
        <v>0.80015105528067121</v>
      </c>
      <c r="R27">
        <v>13.113908497612371</v>
      </c>
      <c r="S27">
        <v>35.539664190808473</v>
      </c>
      <c r="U27">
        <v>2.4440909792391263</v>
      </c>
      <c r="V27">
        <v>44.402601250744731</v>
      </c>
      <c r="W27">
        <v>22.319641329284238</v>
      </c>
      <c r="X27">
        <v>49.169408557562591</v>
      </c>
      <c r="Y27">
        <v>7.3881301441132603</v>
      </c>
      <c r="Z27">
        <v>33.543594887432768</v>
      </c>
      <c r="AA27">
        <v>4.3329109416111535</v>
      </c>
      <c r="AB27">
        <v>33.900820676025546</v>
      </c>
      <c r="AD27">
        <v>8.8348715926270014</v>
      </c>
      <c r="AE27">
        <v>14.618324734446249</v>
      </c>
      <c r="AF27">
        <v>13.907638301005273</v>
      </c>
      <c r="AG27">
        <v>19.367374787540044</v>
      </c>
      <c r="AH27">
        <v>6.394116161299733</v>
      </c>
      <c r="AI27">
        <v>2.431479098127352</v>
      </c>
      <c r="AK27">
        <v>48.146966036728735</v>
      </c>
    </row>
    <row r="28" spans="1:37" x14ac:dyDescent="0.2">
      <c r="A28">
        <v>27</v>
      </c>
      <c r="B28">
        <v>755</v>
      </c>
      <c r="C28">
        <v>250</v>
      </c>
      <c r="D28">
        <v>0.32790011185138401</v>
      </c>
      <c r="E28">
        <v>186.71308884657097</v>
      </c>
      <c r="F28">
        <v>61.878033735545266</v>
      </c>
      <c r="G28">
        <v>71.349403639716357</v>
      </c>
      <c r="H28">
        <v>66.74366362122845</v>
      </c>
      <c r="J28">
        <v>52.595941909458375</v>
      </c>
      <c r="L28">
        <v>6.120473273719778</v>
      </c>
      <c r="M28">
        <v>14.172982162245381</v>
      </c>
      <c r="N28">
        <v>2.4889826273510764</v>
      </c>
      <c r="O28">
        <v>21.66349225427059</v>
      </c>
      <c r="P28">
        <v>10.772605825681939</v>
      </c>
      <c r="Q28">
        <v>0.73181341324814275</v>
      </c>
      <c r="R28">
        <v>12.887320382012607</v>
      </c>
      <c r="S28">
        <v>35.061814562331769</v>
      </c>
      <c r="U28">
        <v>2.3549903630529183</v>
      </c>
      <c r="V28">
        <v>44.275007278689515</v>
      </c>
      <c r="W28">
        <v>22.100543244974457</v>
      </c>
      <c r="X28">
        <v>48.934538178493312</v>
      </c>
      <c r="Y28">
        <v>7.2971947143392253</v>
      </c>
      <c r="Z28">
        <v>33.335633368012353</v>
      </c>
      <c r="AA28">
        <v>4.2460933629532596</v>
      </c>
      <c r="AB28">
        <v>33.739637572031782</v>
      </c>
      <c r="AD28">
        <v>8.7167387515133417</v>
      </c>
      <c r="AE28">
        <v>14.524938123081816</v>
      </c>
      <c r="AF28">
        <v>13.82957312385683</v>
      </c>
      <c r="AG28">
        <v>19.191237335310419</v>
      </c>
      <c r="AH28">
        <v>6.2536028106870756</v>
      </c>
      <c r="AI28">
        <v>2.4331676663860047</v>
      </c>
      <c r="AK28">
        <v>48.138317143386381</v>
      </c>
    </row>
    <row r="29" spans="1:37" x14ac:dyDescent="0.2">
      <c r="A29">
        <v>28</v>
      </c>
      <c r="B29">
        <v>754</v>
      </c>
      <c r="C29">
        <v>250</v>
      </c>
      <c r="D29">
        <v>0.32717762741566497</v>
      </c>
      <c r="E29">
        <v>186.5876766068547</v>
      </c>
      <c r="F29">
        <v>61.490321392782413</v>
      </c>
      <c r="G29">
        <v>71.285486992960827</v>
      </c>
      <c r="H29">
        <v>66.677368563883974</v>
      </c>
      <c r="J29">
        <v>52.516012655554981</v>
      </c>
      <c r="L29">
        <v>6.0096912224179615</v>
      </c>
      <c r="M29">
        <v>14.096179293221622</v>
      </c>
      <c r="N29">
        <v>2.4909578747800571</v>
      </c>
      <c r="O29">
        <v>21.281851571816585</v>
      </c>
      <c r="P29">
        <v>10.668242492643898</v>
      </c>
      <c r="Q29">
        <v>0.66360805930652711</v>
      </c>
      <c r="R29">
        <v>12.661074308860652</v>
      </c>
      <c r="S29">
        <v>34.584863322605607</v>
      </c>
      <c r="U29">
        <v>2.2659527740585714</v>
      </c>
      <c r="V29">
        <v>44.147622171266804</v>
      </c>
      <c r="W29">
        <v>21.881722543908172</v>
      </c>
      <c r="X29">
        <v>48.70008136715682</v>
      </c>
      <c r="Y29">
        <v>7.2064048272500933</v>
      </c>
      <c r="Z29">
        <v>33.127970238896367</v>
      </c>
      <c r="AA29">
        <v>4.1593596116711193</v>
      </c>
      <c r="AB29">
        <v>33.578728506769131</v>
      </c>
      <c r="AD29">
        <v>8.5987006617065109</v>
      </c>
      <c r="AE29">
        <v>14.431680628969456</v>
      </c>
      <c r="AF29">
        <v>13.751650832682996</v>
      </c>
      <c r="AG29">
        <v>19.015376320413417</v>
      </c>
      <c r="AH29">
        <v>6.113305885940358</v>
      </c>
      <c r="AI29">
        <v>2.4348552732258124</v>
      </c>
      <c r="AK29">
        <v>48.129973587286813</v>
      </c>
    </row>
    <row r="30" spans="1:37" x14ac:dyDescent="0.2">
      <c r="A30">
        <v>29</v>
      </c>
      <c r="B30">
        <v>753</v>
      </c>
      <c r="C30">
        <v>250</v>
      </c>
      <c r="D30">
        <v>0.32645373483409301</v>
      </c>
      <c r="E30">
        <v>186.46241229583896</v>
      </c>
      <c r="F30">
        <v>61.10328071346521</v>
      </c>
      <c r="G30">
        <v>71.221650479148408</v>
      </c>
      <c r="H30">
        <v>66.611166714589842</v>
      </c>
      <c r="J30">
        <v>52.436667323790196</v>
      </c>
      <c r="L30">
        <v>5.8989852945430252</v>
      </c>
      <c r="M30">
        <v>14.019518671090077</v>
      </c>
      <c r="N30">
        <v>2.4929329940963041</v>
      </c>
      <c r="O30">
        <v>20.900806301369322</v>
      </c>
      <c r="P30">
        <v>10.564047088062884</v>
      </c>
      <c r="Q30">
        <v>0.5954852120163141</v>
      </c>
      <c r="R30">
        <v>12.435169171230225</v>
      </c>
      <c r="S30">
        <v>34.108807673331569</v>
      </c>
      <c r="U30">
        <v>2.176977861063512</v>
      </c>
      <c r="V30">
        <v>44.02044519536998</v>
      </c>
      <c r="W30">
        <v>21.663178348152378</v>
      </c>
      <c r="X30">
        <v>48.466036616693458</v>
      </c>
      <c r="Y30">
        <v>7.1157600660368345</v>
      </c>
      <c r="Z30">
        <v>32.92060466932778</v>
      </c>
      <c r="AA30">
        <v>4.0728645224800637</v>
      </c>
      <c r="AB30">
        <v>33.418092651774025</v>
      </c>
      <c r="AD30">
        <v>8.4807576405401957</v>
      </c>
      <c r="AE30">
        <v>14.338551878890845</v>
      </c>
      <c r="AF30">
        <v>13.673870974282414</v>
      </c>
      <c r="AG30">
        <v>18.839790920900754</v>
      </c>
      <c r="AH30">
        <v>5.9732250074316164</v>
      </c>
      <c r="AI30">
        <v>2.4365419173716769</v>
      </c>
      <c r="AK30">
        <v>48.121935216719436</v>
      </c>
    </row>
    <row r="31" spans="1:37" x14ac:dyDescent="0.2">
      <c r="A31">
        <v>30</v>
      </c>
      <c r="B31">
        <v>752</v>
      </c>
      <c r="C31">
        <v>250</v>
      </c>
      <c r="D31">
        <v>0.32572842998585799</v>
      </c>
      <c r="E31">
        <v>186.33729547577681</v>
      </c>
      <c r="F31">
        <v>60.716909985016244</v>
      </c>
      <c r="G31">
        <v>71.157893931287617</v>
      </c>
      <c r="H31">
        <v>66.545057927274883</v>
      </c>
      <c r="J31">
        <v>52.35790536268722</v>
      </c>
      <c r="L31">
        <v>5.7882438812806356</v>
      </c>
      <c r="M31">
        <v>13.942999840340637</v>
      </c>
      <c r="N31">
        <v>2.4949079858905088</v>
      </c>
      <c r="O31">
        <v>20.520355122688706</v>
      </c>
      <c r="P31">
        <v>10.460019301387989</v>
      </c>
      <c r="Q31">
        <v>0.52753283858951361</v>
      </c>
      <c r="R31">
        <v>12.209603873193739</v>
      </c>
      <c r="S31">
        <v>33.633644838805182</v>
      </c>
      <c r="U31">
        <v>2.088065276632451</v>
      </c>
      <c r="V31">
        <v>43.893475618422634</v>
      </c>
      <c r="W31">
        <v>21.444909788006804</v>
      </c>
      <c r="X31">
        <v>48.232402431329639</v>
      </c>
      <c r="Y31">
        <v>7.0252600186369278</v>
      </c>
      <c r="Z31">
        <v>32.713535837658789</v>
      </c>
      <c r="AA31">
        <v>3.9865306308517101</v>
      </c>
      <c r="AB31">
        <v>33.257729186777574</v>
      </c>
      <c r="AD31">
        <v>8.3629099947919574</v>
      </c>
      <c r="AE31">
        <v>14.245551504013136</v>
      </c>
      <c r="AF31">
        <v>13.596233099374132</v>
      </c>
      <c r="AG31">
        <v>18.664480323065412</v>
      </c>
      <c r="AH31">
        <v>5.833359801468335</v>
      </c>
      <c r="AI31">
        <v>2.4382275975756267</v>
      </c>
      <c r="AK31">
        <v>48.114201883712944</v>
      </c>
    </row>
    <row r="32" spans="1:37" x14ac:dyDescent="0.2">
      <c r="A32">
        <v>31</v>
      </c>
      <c r="B32">
        <v>751</v>
      </c>
      <c r="C32">
        <v>250</v>
      </c>
      <c r="D32">
        <v>0.32500170873407402</v>
      </c>
      <c r="E32">
        <v>186.21232571316116</v>
      </c>
      <c r="F32">
        <v>60.331207514458015</v>
      </c>
      <c r="G32">
        <v>71.09421718460861</v>
      </c>
      <c r="H32">
        <v>66.479042058129608</v>
      </c>
      <c r="J32">
        <v>52.279726228975164</v>
      </c>
      <c r="L32">
        <v>5.677539298589072</v>
      </c>
      <c r="M32">
        <v>13.866622349664627</v>
      </c>
      <c r="N32">
        <v>2.4968828507062151</v>
      </c>
      <c r="O32">
        <v>20.140496730633846</v>
      </c>
      <c r="P32">
        <v>10.356158826528404</v>
      </c>
      <c r="Q32">
        <v>0.45971326801710072</v>
      </c>
      <c r="R32">
        <v>11.984377330467547</v>
      </c>
      <c r="S32">
        <v>33.159372067512486</v>
      </c>
      <c r="U32">
        <v>1.9992146773519697</v>
      </c>
      <c r="V32">
        <v>43.766712708848686</v>
      </c>
      <c r="W32">
        <v>21.226916002472809</v>
      </c>
      <c r="X32">
        <v>47.999177327866676</v>
      </c>
      <c r="Y32">
        <v>6.9349042779360488</v>
      </c>
      <c r="Z32">
        <v>32.506762931620706</v>
      </c>
      <c r="AA32">
        <v>3.9003575542056934</v>
      </c>
      <c r="AB32">
        <v>33.097637300131225</v>
      </c>
      <c r="AD32">
        <v>8.2451580216524327</v>
      </c>
      <c r="AE32">
        <v>14.152679139940075</v>
      </c>
      <c r="AF32">
        <v>13.518736762841607</v>
      </c>
      <c r="AG32">
        <v>18.489443721789041</v>
      </c>
      <c r="AH32">
        <v>5.6937099006736478</v>
      </c>
      <c r="AI32">
        <v>2.4399123125413769</v>
      </c>
      <c r="AK32">
        <v>48.106773444279256</v>
      </c>
    </row>
    <row r="33" spans="1:37" x14ac:dyDescent="0.2">
      <c r="A33">
        <v>32</v>
      </c>
      <c r="B33">
        <v>750</v>
      </c>
      <c r="C33">
        <v>250</v>
      </c>
      <c r="D33">
        <v>0.324273566925672</v>
      </c>
      <c r="E33">
        <v>186.08750257819031</v>
      </c>
      <c r="F33">
        <v>59.94617162676775</v>
      </c>
      <c r="G33">
        <v>71.030620076353713</v>
      </c>
      <c r="H33">
        <v>66.413118965397643</v>
      </c>
      <c r="J33">
        <v>52.202129386659394</v>
      </c>
      <c r="L33">
        <v>5.5668789406143393</v>
      </c>
      <c r="M33">
        <v>13.790385751437686</v>
      </c>
      <c r="N33">
        <v>2.4988575891258478</v>
      </c>
      <c r="O33">
        <v>19.761229834407601</v>
      </c>
      <c r="P33">
        <v>10.252465361520715</v>
      </c>
      <c r="Q33">
        <v>0.39197076459167512</v>
      </c>
      <c r="R33">
        <v>11.759488469322699</v>
      </c>
      <c r="S33">
        <v>32.685986629492163</v>
      </c>
      <c r="U33">
        <v>1.9104257234048123</v>
      </c>
      <c r="V33">
        <v>43.640155734937188</v>
      </c>
      <c r="W33">
        <v>21.009196138490868</v>
      </c>
      <c r="X33">
        <v>47.76635983349162</v>
      </c>
      <c r="Y33">
        <v>6.8446924414147396</v>
      </c>
      <c r="Z33">
        <v>32.300285147862802</v>
      </c>
      <c r="AA33">
        <v>3.814344914579189</v>
      </c>
      <c r="AB33">
        <v>32.937816188119896</v>
      </c>
      <c r="AD33">
        <v>8.1275020090803274</v>
      </c>
      <c r="AE33">
        <v>14.059934426599538</v>
      </c>
      <c r="AF33">
        <v>13.441381523303594</v>
      </c>
      <c r="AG33">
        <v>18.314680319947765</v>
      </c>
      <c r="AH33">
        <v>5.5542749433625582</v>
      </c>
      <c r="AI33">
        <v>2.4415960610116416</v>
      </c>
      <c r="AK33">
        <v>48.09964975793676</v>
      </c>
    </row>
    <row r="34" spans="1:37" x14ac:dyDescent="0.2">
      <c r="A34">
        <v>33</v>
      </c>
      <c r="B34">
        <v>749</v>
      </c>
      <c r="C34">
        <v>250</v>
      </c>
      <c r="D34">
        <v>0.32354400039133302</v>
      </c>
      <c r="E34">
        <v>185.96282564505717</v>
      </c>
      <c r="F34">
        <v>59.561800665661366</v>
      </c>
      <c r="G34">
        <v>70.967102445874076</v>
      </c>
      <c r="H34">
        <v>66.347288509473373</v>
      </c>
      <c r="J34">
        <v>52.125114307497803</v>
      </c>
      <c r="L34">
        <v>5.4562693665976516</v>
      </c>
      <c r="M34">
        <v>13.714289601950032</v>
      </c>
      <c r="N34">
        <v>2.5008322017404483</v>
      </c>
      <c r="O34">
        <v>19.382553157846093</v>
      </c>
      <c r="P34">
        <v>10.148938608694436</v>
      </c>
      <c r="Q34">
        <v>0.3244038778488002</v>
      </c>
      <c r="R34">
        <v>11.534936227111574</v>
      </c>
      <c r="S34">
        <v>32.213485817477299</v>
      </c>
      <c r="U34">
        <v>1.8216980787483363</v>
      </c>
      <c r="V34">
        <v>43.51380396517704</v>
      </c>
      <c r="W34">
        <v>20.791749351190347</v>
      </c>
      <c r="X34">
        <v>47.533948486842306</v>
      </c>
      <c r="Y34">
        <v>6.7546241113217897</v>
      </c>
      <c r="Z34">
        <v>32.09410169204935</v>
      </c>
      <c r="AA34">
        <v>3.728492338757198</v>
      </c>
      <c r="AB34">
        <v>32.778265055179908</v>
      </c>
      <c r="AD34">
        <v>8.0099422365756432</v>
      </c>
      <c r="AE34">
        <v>13.967317008208607</v>
      </c>
      <c r="AF34">
        <v>13.364166943316485</v>
      </c>
      <c r="AG34">
        <v>18.140189328595874</v>
      </c>
      <c r="AH34">
        <v>5.4150545738334417</v>
      </c>
      <c r="AI34">
        <v>2.4432788417377509</v>
      </c>
      <c r="AK34">
        <v>48.09283068798964</v>
      </c>
    </row>
    <row r="35" spans="1:37" x14ac:dyDescent="0.2">
      <c r="A35">
        <v>34</v>
      </c>
      <c r="B35">
        <v>748</v>
      </c>
      <c r="C35">
        <v>250</v>
      </c>
      <c r="D35">
        <v>0.32281300494540499</v>
      </c>
      <c r="E35">
        <v>185.8382944919048</v>
      </c>
      <c r="F35">
        <v>59.178092993477499</v>
      </c>
      <c r="G35">
        <v>70.903664134635889</v>
      </c>
      <c r="H35">
        <v>66.281550552907703</v>
      </c>
      <c r="J35">
        <v>52.048680470924417</v>
      </c>
      <c r="L35">
        <v>5.3457164289164814</v>
      </c>
      <c r="M35">
        <v>13.63833346146793</v>
      </c>
      <c r="N35">
        <v>2.5028066890922793</v>
      </c>
      <c r="O35">
        <v>19.004465439299032</v>
      </c>
      <c r="P35">
        <v>10.045578274618927</v>
      </c>
      <c r="Q35">
        <v>0.25691684054033886</v>
      </c>
      <c r="R35">
        <v>11.310719552252761</v>
      </c>
      <c r="S35">
        <v>31.741866947115223</v>
      </c>
      <c r="U35">
        <v>1.7330314111761325</v>
      </c>
      <c r="V35">
        <v>43.387656668136877</v>
      </c>
      <c r="W35">
        <v>20.574574804091075</v>
      </c>
      <c r="X35">
        <v>47.301941838061168</v>
      </c>
      <c r="Y35">
        <v>6.664698894655297</v>
      </c>
      <c r="Z35">
        <v>31.888211779020395</v>
      </c>
      <c r="AA35">
        <v>3.6427994581888559</v>
      </c>
      <c r="AB35">
        <v>32.61898311408315</v>
      </c>
      <c r="AD35">
        <v>7.8924789758849752</v>
      </c>
      <c r="AE35">
        <v>13.874826533363091</v>
      </c>
      <c r="AF35">
        <v>13.287092589376398</v>
      </c>
      <c r="AG35">
        <v>17.965969967095294</v>
      </c>
      <c r="AH35">
        <v>5.2760484423987268</v>
      </c>
      <c r="AI35">
        <v>2.44496065342179</v>
      </c>
      <c r="AK35">
        <v>48.086316101414312</v>
      </c>
    </row>
    <row r="36" spans="1:37" x14ac:dyDescent="0.2">
      <c r="A36">
        <v>35</v>
      </c>
      <c r="B36">
        <v>747</v>
      </c>
      <c r="C36">
        <v>250</v>
      </c>
      <c r="D36">
        <v>0.32208057638582899</v>
      </c>
      <c r="E36">
        <v>185.7139087006997</v>
      </c>
      <c r="F36">
        <v>58.795046990721161</v>
      </c>
      <c r="G36">
        <v>70.84030498615077</v>
      </c>
      <c r="H36">
        <v>66.215904960335536</v>
      </c>
      <c r="J36">
        <v>51.972827363793243</v>
      </c>
      <c r="L36">
        <v>5.2352253762083114</v>
      </c>
      <c r="M36">
        <v>13.562516894036259</v>
      </c>
      <c r="N36">
        <v>2.5047810517302382</v>
      </c>
      <c r="O36">
        <v>18.62696543137508</v>
      </c>
      <c r="P36">
        <v>9.9423840700321495</v>
      </c>
      <c r="Q36">
        <v>0.35194500051957495</v>
      </c>
      <c r="R36">
        <v>11.08683740390177</v>
      </c>
      <c r="S36">
        <v>31.271127355989886</v>
      </c>
      <c r="U36">
        <v>1.6444253921417902</v>
      </c>
      <c r="V36">
        <v>43.261713111981116</v>
      </c>
      <c r="W36">
        <v>20.357671668707397</v>
      </c>
      <c r="X36">
        <v>47.070338448189382</v>
      </c>
      <c r="Y36">
        <v>6.5749164030641056</v>
      </c>
      <c r="Z36">
        <v>31.682614632505416</v>
      </c>
      <c r="AA36">
        <v>3.5572659088636138</v>
      </c>
      <c r="AB36">
        <v>32.459969585577575</v>
      </c>
      <c r="AD36">
        <v>7.7751124914037142</v>
      </c>
      <c r="AE36">
        <v>13.782462654907613</v>
      </c>
      <c r="AF36">
        <v>13.21015803177575</v>
      </c>
      <c r="AG36">
        <v>17.792021462807543</v>
      </c>
      <c r="AH36">
        <v>5.1372562051791624</v>
      </c>
      <c r="AI36">
        <v>2.4466414947725967</v>
      </c>
      <c r="AK36">
        <v>48.080105868783946</v>
      </c>
    </row>
    <row r="37" spans="1:37" x14ac:dyDescent="0.2">
      <c r="A37">
        <v>36</v>
      </c>
      <c r="B37">
        <v>746</v>
      </c>
      <c r="C37">
        <v>250</v>
      </c>
      <c r="D37">
        <v>0.32134671049404001</v>
      </c>
      <c r="E37">
        <v>185.5896678570117</v>
      </c>
      <c r="F37">
        <v>58.41266105529121</v>
      </c>
      <c r="G37">
        <v>70.77702484586483</v>
      </c>
      <c r="H37">
        <v>66.150351598370563</v>
      </c>
      <c r="J37">
        <v>51.897554479989715</v>
      </c>
      <c r="L37">
        <v>5.1248009372514112</v>
      </c>
      <c r="M37">
        <v>13.486839467195614</v>
      </c>
      <c r="N37">
        <v>2.5067552902920487</v>
      </c>
      <c r="O37">
        <v>18.250051900596336</v>
      </c>
      <c r="P37">
        <v>9.8393557096888564</v>
      </c>
      <c r="Q37">
        <v>0.12237064345968883</v>
      </c>
      <c r="R37">
        <v>10.863288751448772</v>
      </c>
      <c r="S37">
        <v>30.80126440215977</v>
      </c>
      <c r="U37">
        <v>1.5558796965155315</v>
      </c>
      <c r="V37">
        <v>43.13597256380968</v>
      </c>
      <c r="W37">
        <v>20.141039124017293</v>
      </c>
      <c r="X37">
        <v>46.839136888509842</v>
      </c>
      <c r="Y37">
        <v>6.4852762526827448</v>
      </c>
      <c r="Z37">
        <v>31.477309484739713</v>
      </c>
      <c r="AA37">
        <v>3.4718913311328796</v>
      </c>
      <c r="AB37">
        <v>32.301223697896667</v>
      </c>
      <c r="AD37">
        <v>7.6578430404698201</v>
      </c>
      <c r="AE37">
        <v>13.690225029786939</v>
      </c>
      <c r="AF37">
        <v>13.133362844409088</v>
      </c>
      <c r="AG37">
        <v>17.61834305068955</v>
      </c>
      <c r="AH37">
        <v>4.9986775237598868</v>
      </c>
      <c r="AI37">
        <v>2.4483213645876005</v>
      </c>
      <c r="AK37">
        <v>48.074199864116665</v>
      </c>
    </row>
    <row r="38" spans="1:37" x14ac:dyDescent="0.2">
      <c r="A38">
        <v>37</v>
      </c>
      <c r="B38">
        <v>745</v>
      </c>
      <c r="C38">
        <v>250</v>
      </c>
      <c r="D38">
        <v>0.32061140303491598</v>
      </c>
      <c r="E38">
        <v>185.4655715504999</v>
      </c>
      <c r="F38">
        <v>58.030933604045202</v>
      </c>
      <c r="G38">
        <v>70.713823561400488</v>
      </c>
      <c r="H38">
        <v>66.084890335843284</v>
      </c>
      <c r="J38">
        <v>51.822861321270381</v>
      </c>
      <c r="L38">
        <v>5.0144473908290363</v>
      </c>
      <c r="M38">
        <v>13.411300752647271</v>
      </c>
      <c r="N38">
        <v>2.5087294052865623</v>
      </c>
      <c r="O38">
        <v>17.873723627954192</v>
      </c>
      <c r="P38">
        <v>9.7364929126365016</v>
      </c>
      <c r="Q38">
        <v>5.5267000227068819E-2</v>
      </c>
      <c r="R38">
        <v>10.640072575622144</v>
      </c>
      <c r="S38">
        <v>30.332275467414014</v>
      </c>
      <c r="U38">
        <v>1.4673940031506378</v>
      </c>
      <c r="V38">
        <v>43.01043429061508</v>
      </c>
      <c r="W38">
        <v>19.924676357679946</v>
      </c>
      <c r="X38">
        <v>46.608335742146792</v>
      </c>
      <c r="Y38">
        <v>6.3957780644790088</v>
      </c>
      <c r="Z38">
        <v>31.272295577288649</v>
      </c>
      <c r="AA38">
        <v>3.3866753698796019</v>
      </c>
      <c r="AB38">
        <v>32.142744687860215</v>
      </c>
      <c r="AD38">
        <v>7.5406708744305391</v>
      </c>
      <c r="AE38">
        <v>13.598113319337724</v>
      </c>
      <c r="AF38">
        <v>13.056706605210334</v>
      </c>
      <c r="AG38">
        <v>17.444933974173967</v>
      </c>
      <c r="AH38">
        <v>4.8603120659518657</v>
      </c>
      <c r="AI38">
        <v>2.4500002615354757</v>
      </c>
      <c r="AK38">
        <v>48.068597965172657</v>
      </c>
    </row>
    <row r="39" spans="1:37" x14ac:dyDescent="0.2">
      <c r="A39">
        <v>38</v>
      </c>
      <c r="B39">
        <v>744</v>
      </c>
      <c r="C39">
        <v>250</v>
      </c>
      <c r="D39">
        <v>0.31987464975667701</v>
      </c>
      <c r="E39">
        <v>184.82460367768809</v>
      </c>
      <c r="F39">
        <v>53.885354989548574</v>
      </c>
      <c r="G39">
        <v>70.098466727994037</v>
      </c>
      <c r="H39">
        <v>65.467286789239495</v>
      </c>
      <c r="J39">
        <v>50.165907284485264</v>
      </c>
      <c r="L39">
        <v>4.3837296663518766</v>
      </c>
      <c r="M39">
        <v>13.399300547734418</v>
      </c>
      <c r="N39">
        <v>2.5106641677431285</v>
      </c>
      <c r="O39">
        <v>13.650576908790237</v>
      </c>
      <c r="P39">
        <v>8.5292876637325996</v>
      </c>
      <c r="R39">
        <v>9.1247511562648373</v>
      </c>
      <c r="S39">
        <v>28.004103746101208</v>
      </c>
      <c r="U39">
        <v>1.4452827770759227</v>
      </c>
      <c r="V39">
        <v>42.779952408717918</v>
      </c>
      <c r="W39">
        <v>19.753641398446931</v>
      </c>
      <c r="X39">
        <v>46.58142256041652</v>
      </c>
      <c r="Y39">
        <v>5.2038148883187541</v>
      </c>
      <c r="Z39">
        <v>28.555601429379472</v>
      </c>
      <c r="AA39">
        <v>2.2390035310169698</v>
      </c>
      <c r="AB39">
        <v>31.016021489483155</v>
      </c>
      <c r="AD39">
        <v>5.9603845725003826</v>
      </c>
      <c r="AE39">
        <v>12.432431722892574</v>
      </c>
      <c r="AF39">
        <v>13.043549888288965</v>
      </c>
      <c r="AG39">
        <v>16.303243944430143</v>
      </c>
      <c r="AH39">
        <v>3.047608906003926</v>
      </c>
      <c r="AI39">
        <v>2.4516389548045803</v>
      </c>
      <c r="AK39">
        <v>46.973024669770318</v>
      </c>
    </row>
    <row r="40" spans="1:37" x14ac:dyDescent="0.2">
      <c r="A40">
        <v>39</v>
      </c>
      <c r="B40">
        <v>743</v>
      </c>
      <c r="C40">
        <v>250</v>
      </c>
      <c r="D40">
        <v>0.31913644639078897</v>
      </c>
      <c r="E40">
        <v>183.85239016433181</v>
      </c>
      <c r="F40">
        <v>47.189912071285669</v>
      </c>
      <c r="G40">
        <v>69.12286349238353</v>
      </c>
      <c r="H40">
        <v>64.48945012658919</v>
      </c>
      <c r="J40">
        <v>47.309227709310626</v>
      </c>
      <c r="L40">
        <v>1.3682995390279284</v>
      </c>
      <c r="M40">
        <v>13.350978119623198</v>
      </c>
      <c r="N40">
        <v>2.512570173150225</v>
      </c>
      <c r="O40">
        <v>6.8733667494300157</v>
      </c>
      <c r="P40">
        <v>6.6015688753649666</v>
      </c>
      <c r="R40">
        <v>6.5914716888493858</v>
      </c>
      <c r="S40">
        <v>24.083990196064324</v>
      </c>
      <c r="U40">
        <v>1.4343826414143634</v>
      </c>
      <c r="V40">
        <v>42.341832112716205</v>
      </c>
      <c r="W40">
        <v>19.626391171968315</v>
      </c>
      <c r="X40">
        <v>46.585332166234238</v>
      </c>
      <c r="Y40">
        <v>3.286332782235347</v>
      </c>
      <c r="Z40">
        <v>23.991081633873385</v>
      </c>
      <c r="AA40">
        <v>0.37768147493541621</v>
      </c>
      <c r="AB40">
        <v>29.028587960513857</v>
      </c>
      <c r="AD40">
        <v>3.3076279763898682</v>
      </c>
      <c r="AE40">
        <v>10.460166584691043</v>
      </c>
      <c r="AF40">
        <v>12.994042562055299</v>
      </c>
      <c r="AG40">
        <v>14.300817420839916</v>
      </c>
      <c r="AH40">
        <v>9.3292613760200205E-2</v>
      </c>
      <c r="AI40">
        <v>2.4532480380439137</v>
      </c>
      <c r="AK40">
        <v>45.095650903065867</v>
      </c>
    </row>
    <row r="41" spans="1:37" x14ac:dyDescent="0.2">
      <c r="A41">
        <v>40</v>
      </c>
      <c r="B41">
        <v>742</v>
      </c>
      <c r="C41">
        <v>250</v>
      </c>
      <c r="D41">
        <v>0.318396788651924</v>
      </c>
      <c r="E41">
        <v>184.65103476334215</v>
      </c>
      <c r="F41">
        <v>46.90887017570472</v>
      </c>
      <c r="G41">
        <v>69.827129985576391</v>
      </c>
      <c r="H41">
        <v>65.191496500233072</v>
      </c>
      <c r="J41">
        <v>25.772589778875762</v>
      </c>
      <c r="L41">
        <v>1.5469585494057865</v>
      </c>
      <c r="M41">
        <v>13.111105288585462</v>
      </c>
      <c r="N41">
        <v>2.5146127100758608</v>
      </c>
      <c r="O41">
        <v>5.8057328298046276</v>
      </c>
      <c r="P41">
        <v>8.0337341216050326</v>
      </c>
      <c r="R41">
        <v>7.2466284274755983</v>
      </c>
      <c r="S41">
        <v>23.926823885968023</v>
      </c>
      <c r="U41">
        <v>1.4187810633336262</v>
      </c>
      <c r="V41">
        <v>42.792054383971283</v>
      </c>
      <c r="W41">
        <v>19.308732984155192</v>
      </c>
      <c r="X41">
        <v>46.575385356034488</v>
      </c>
      <c r="Y41">
        <v>3.7716305515006816</v>
      </c>
      <c r="Z41">
        <v>17.544040928894194</v>
      </c>
      <c r="AB41">
        <v>25.080212100015107</v>
      </c>
      <c r="AD41">
        <v>0.35474900715813529</v>
      </c>
      <c r="AE41">
        <v>6.3206967225592958</v>
      </c>
      <c r="AF41">
        <v>12.753121741110352</v>
      </c>
      <c r="AG41">
        <v>10.337587697194774</v>
      </c>
      <c r="AI41">
        <v>2.4549927979802599</v>
      </c>
      <c r="AK41">
        <v>30.696136698808736</v>
      </c>
    </row>
    <row r="42" spans="1:37" x14ac:dyDescent="0.2">
      <c r="A42">
        <v>41</v>
      </c>
      <c r="B42">
        <v>741</v>
      </c>
      <c r="C42">
        <v>250</v>
      </c>
      <c r="D42">
        <v>0.31765567223783697</v>
      </c>
      <c r="E42">
        <v>184.73496960012861</v>
      </c>
      <c r="F42">
        <v>47.253700949500676</v>
      </c>
      <c r="G42">
        <v>69.799399016225266</v>
      </c>
      <c r="H42">
        <v>65.161558740199084</v>
      </c>
      <c r="J42">
        <v>18.298169537964746</v>
      </c>
      <c r="L42">
        <v>1.5635143576156079</v>
      </c>
      <c r="M42">
        <v>12.828251669321485</v>
      </c>
      <c r="N42">
        <v>2.5165908127246031</v>
      </c>
      <c r="O42">
        <v>5.7645597653100733</v>
      </c>
      <c r="P42">
        <v>8.0018480775160583</v>
      </c>
      <c r="R42">
        <v>7.0504865468264937</v>
      </c>
      <c r="S42">
        <v>24.146157241262525</v>
      </c>
      <c r="U42">
        <v>1.398890619059203</v>
      </c>
      <c r="V42">
        <v>43.171272169754623</v>
      </c>
      <c r="W42">
        <v>18.950439609217522</v>
      </c>
      <c r="X42">
        <v>46.553632934255397</v>
      </c>
      <c r="Y42">
        <v>3.5932083474723799</v>
      </c>
      <c r="Z42">
        <v>17.747713293947722</v>
      </c>
      <c r="AB42">
        <v>25.443611599520398</v>
      </c>
      <c r="AE42">
        <v>6.4326330052426925</v>
      </c>
      <c r="AF42">
        <v>12.469156080139458</v>
      </c>
      <c r="AG42">
        <v>10.686071505417933</v>
      </c>
      <c r="AI42">
        <v>2.4566722669777765</v>
      </c>
      <c r="AK42">
        <v>25.651297536115386</v>
      </c>
    </row>
    <row r="43" spans="1:37" x14ac:dyDescent="0.2">
      <c r="A43">
        <v>42</v>
      </c>
      <c r="B43">
        <v>759</v>
      </c>
      <c r="C43">
        <v>225</v>
      </c>
      <c r="D43">
        <v>0.35741946422516302</v>
      </c>
      <c r="E43">
        <v>172.61053279324508</v>
      </c>
      <c r="F43">
        <v>62.871667638398627</v>
      </c>
      <c r="G43">
        <v>71.601121702048104</v>
      </c>
      <c r="H43">
        <v>67.003889581737681</v>
      </c>
      <c r="J43">
        <v>52.463999874318922</v>
      </c>
      <c r="L43">
        <v>6.4214243105793072</v>
      </c>
      <c r="M43">
        <v>14.431950468429203</v>
      </c>
      <c r="N43">
        <v>2.3956956760872212</v>
      </c>
      <c r="O43">
        <v>23.325369827793509</v>
      </c>
      <c r="P43">
        <v>10.955689234695321</v>
      </c>
      <c r="Q43">
        <v>0.8368812482316772</v>
      </c>
      <c r="R43">
        <v>13.775833407800642</v>
      </c>
      <c r="S43">
        <v>36.436503576263952</v>
      </c>
      <c r="U43">
        <v>2.5892972899801054</v>
      </c>
      <c r="V43">
        <v>44.202228969909363</v>
      </c>
      <c r="W43">
        <v>23.514452399673232</v>
      </c>
      <c r="X43">
        <v>48.30030381836805</v>
      </c>
      <c r="Y43">
        <v>7.4528532417609865</v>
      </c>
      <c r="Z43">
        <v>34.060432801389275</v>
      </c>
      <c r="AA43">
        <v>4.5135351758281397</v>
      </c>
      <c r="AB43">
        <v>34.368551966827212</v>
      </c>
      <c r="AC43">
        <v>5.8515523535257593E-3</v>
      </c>
      <c r="AD43">
        <v>9.1164756412219248</v>
      </c>
      <c r="AE43">
        <v>15.065395643962436</v>
      </c>
      <c r="AF43">
        <v>14.084728800538857</v>
      </c>
      <c r="AG43">
        <v>19.902550350847513</v>
      </c>
      <c r="AH43">
        <v>6.2884886018689681</v>
      </c>
      <c r="AI43">
        <v>2.3378718751288776</v>
      </c>
      <c r="AK43">
        <v>47.808370594337724</v>
      </c>
    </row>
    <row r="44" spans="1:37" x14ac:dyDescent="0.2">
      <c r="A44">
        <v>43</v>
      </c>
      <c r="B44">
        <v>758</v>
      </c>
      <c r="C44">
        <v>225</v>
      </c>
      <c r="D44">
        <v>0.356728410027642</v>
      </c>
      <c r="E44">
        <v>172.50036383333781</v>
      </c>
      <c r="F44">
        <v>62.534148999567293</v>
      </c>
      <c r="G44">
        <v>71.544638914749484</v>
      </c>
      <c r="H44">
        <v>66.94496612153759</v>
      </c>
      <c r="J44">
        <v>52.409327855045937</v>
      </c>
      <c r="L44">
        <v>6.331590389251784</v>
      </c>
      <c r="M44">
        <v>14.375614711812768</v>
      </c>
      <c r="N44">
        <v>2.3914946963851582</v>
      </c>
      <c r="O44">
        <v>22.963403664307492</v>
      </c>
      <c r="P44">
        <v>10.859976713519712</v>
      </c>
      <c r="Q44">
        <v>0.57725074494617135</v>
      </c>
      <c r="R44">
        <v>13.58477555651506</v>
      </c>
      <c r="S44">
        <v>36.060705004843619</v>
      </c>
      <c r="U44">
        <v>2.5180813880038335</v>
      </c>
      <c r="V44">
        <v>44.110376153072359</v>
      </c>
      <c r="W44">
        <v>23.332961982896958</v>
      </c>
      <c r="X44">
        <v>48.127719011702375</v>
      </c>
      <c r="Y44">
        <v>7.3730607299045836</v>
      </c>
      <c r="Z44">
        <v>33.879490400075554</v>
      </c>
      <c r="AA44">
        <v>4.4348893942265928</v>
      </c>
      <c r="AB44">
        <v>34.242189141318747</v>
      </c>
      <c r="AD44">
        <v>9.0168382646139307</v>
      </c>
      <c r="AE44">
        <v>14.982010454883106</v>
      </c>
      <c r="AF44">
        <v>14.02109267556078</v>
      </c>
      <c r="AG44">
        <v>19.755082157983541</v>
      </c>
      <c r="AH44">
        <v>6.1714567260884863</v>
      </c>
      <c r="AI44">
        <v>2.3333877025234289</v>
      </c>
      <c r="AK44">
        <v>47.809178156668466</v>
      </c>
    </row>
    <row r="45" spans="1:37" x14ac:dyDescent="0.2">
      <c r="A45">
        <v>44</v>
      </c>
      <c r="B45">
        <v>757</v>
      </c>
      <c r="C45">
        <v>225</v>
      </c>
      <c r="D45">
        <v>0.35603601417269398</v>
      </c>
      <c r="E45">
        <v>172.37519028418888</v>
      </c>
      <c r="F45">
        <v>62.147390936011369</v>
      </c>
      <c r="G45">
        <v>71.480746482682875</v>
      </c>
      <c r="H45">
        <v>66.878646010770922</v>
      </c>
      <c r="J45">
        <v>52.327987694504671</v>
      </c>
      <c r="L45">
        <v>6.2218076751241336</v>
      </c>
      <c r="M45">
        <v>14.299275724194082</v>
      </c>
      <c r="N45">
        <v>2.393472699991237</v>
      </c>
      <c r="O45">
        <v>22.581220345465297</v>
      </c>
      <c r="P45">
        <v>10.755631582942275</v>
      </c>
      <c r="Q45">
        <v>0.50064235055897155</v>
      </c>
      <c r="R45">
        <v>13.359349006983589</v>
      </c>
      <c r="S45">
        <v>35.584691941036446</v>
      </c>
      <c r="U45">
        <v>2.4291437564183007</v>
      </c>
      <c r="V45">
        <v>43.983848288040534</v>
      </c>
      <c r="W45">
        <v>23.114312324083759</v>
      </c>
      <c r="X45">
        <v>47.894874859487871</v>
      </c>
      <c r="Y45">
        <v>7.2823531595545514</v>
      </c>
      <c r="Z45">
        <v>33.673152094501837</v>
      </c>
      <c r="AA45">
        <v>4.3484413215673481</v>
      </c>
      <c r="AB45">
        <v>34.082173052909631</v>
      </c>
      <c r="AD45">
        <v>8.9002201713992992</v>
      </c>
      <c r="AE45">
        <v>14.889259184402187</v>
      </c>
      <c r="AF45">
        <v>13.943632600499475</v>
      </c>
      <c r="AG45">
        <v>19.580142195065832</v>
      </c>
      <c r="AH45">
        <v>6.0313427674116431</v>
      </c>
      <c r="AI45">
        <v>2.3350816860000325</v>
      </c>
      <c r="AK45">
        <v>47.800266652785389</v>
      </c>
    </row>
    <row r="46" spans="1:37" x14ac:dyDescent="0.2">
      <c r="A46">
        <v>45</v>
      </c>
      <c r="B46">
        <v>756</v>
      </c>
      <c r="C46">
        <v>225</v>
      </c>
      <c r="D46">
        <v>0.35534227274935698</v>
      </c>
      <c r="E46">
        <v>172.25015977065092</v>
      </c>
      <c r="F46">
        <v>61.76128703285513</v>
      </c>
      <c r="G46">
        <v>71.416932055202778</v>
      </c>
      <c r="H46">
        <v>66.812416919549932</v>
      </c>
      <c r="J46">
        <v>52.247220370022724</v>
      </c>
      <c r="L46">
        <v>6.1120122311667648</v>
      </c>
      <c r="M46">
        <v>14.223075304001172</v>
      </c>
      <c r="N46">
        <v>2.3954505748950545</v>
      </c>
      <c r="O46">
        <v>22.199618637125443</v>
      </c>
      <c r="P46">
        <v>10.651450052254795</v>
      </c>
      <c r="Q46">
        <v>0.42413051185907108</v>
      </c>
      <c r="R46">
        <v>13.134253778246636</v>
      </c>
      <c r="S46">
        <v>35.109550496678906</v>
      </c>
      <c r="U46">
        <v>2.3402620813493624</v>
      </c>
      <c r="V46">
        <v>43.857521951908772</v>
      </c>
      <c r="W46">
        <v>22.895933165532306</v>
      </c>
      <c r="X46">
        <v>47.662429213655741</v>
      </c>
      <c r="Y46">
        <v>7.1917862752212489</v>
      </c>
      <c r="Z46">
        <v>33.467108286503375</v>
      </c>
      <c r="AA46">
        <v>4.2621506405432301</v>
      </c>
      <c r="AB46">
        <v>33.922425242750755</v>
      </c>
      <c r="AD46">
        <v>8.7836829255872058</v>
      </c>
      <c r="AE46">
        <v>14.796635412779992</v>
      </c>
      <c r="AF46">
        <v>13.866311267359338</v>
      </c>
      <c r="AG46">
        <v>19.405472897129695</v>
      </c>
      <c r="AH46">
        <v>5.891438369260297</v>
      </c>
      <c r="AI46">
        <v>2.336774711709972</v>
      </c>
      <c r="AK46">
        <v>47.791653736138862</v>
      </c>
    </row>
    <row r="47" spans="1:37" x14ac:dyDescent="0.2">
      <c r="A47">
        <v>46</v>
      </c>
      <c r="B47">
        <v>755</v>
      </c>
      <c r="C47">
        <v>225</v>
      </c>
      <c r="D47">
        <v>0.354647181831445</v>
      </c>
      <c r="E47">
        <v>172.12527186635583</v>
      </c>
      <c r="F47">
        <v>61.375835658047734</v>
      </c>
      <c r="G47">
        <v>71.35319547228714</v>
      </c>
      <c r="H47">
        <v>66.746278708651332</v>
      </c>
      <c r="J47">
        <v>52.167025347321847</v>
      </c>
      <c r="L47">
        <v>6.0022175929836239</v>
      </c>
      <c r="M47">
        <v>14.14701301642514</v>
      </c>
      <c r="N47">
        <v>2.3974283216627401</v>
      </c>
      <c r="O47">
        <v>21.818597286329453</v>
      </c>
      <c r="P47">
        <v>10.547431824634058</v>
      </c>
      <c r="Q47">
        <v>0.34766587287444334</v>
      </c>
      <c r="R47">
        <v>12.909488819043421</v>
      </c>
      <c r="S47">
        <v>34.635278008753851</v>
      </c>
      <c r="U47">
        <v>2.2514360396080382</v>
      </c>
      <c r="V47">
        <v>43.731396449619723</v>
      </c>
      <c r="W47">
        <v>22.677823694224124</v>
      </c>
      <c r="X47">
        <v>47.430380623930695</v>
      </c>
      <c r="Y47">
        <v>7.1013596792161362</v>
      </c>
      <c r="Z47">
        <v>33.261358230173947</v>
      </c>
      <c r="AA47">
        <v>4.1760169806763301</v>
      </c>
      <c r="AB47">
        <v>33.762944948078911</v>
      </c>
      <c r="AD47">
        <v>8.6672272308624247</v>
      </c>
      <c r="AE47">
        <v>14.704138808403984</v>
      </c>
      <c r="AF47">
        <v>13.7891282474938</v>
      </c>
      <c r="AG47">
        <v>19.231073507890901</v>
      </c>
      <c r="AH47">
        <v>5.7517431825125609</v>
      </c>
      <c r="AI47">
        <v>2.3384667783807118</v>
      </c>
      <c r="AK47">
        <v>47.783339261246994</v>
      </c>
    </row>
    <row r="48" spans="1:37" x14ac:dyDescent="0.2">
      <c r="A48">
        <v>47</v>
      </c>
      <c r="B48">
        <v>754</v>
      </c>
      <c r="C48">
        <v>225</v>
      </c>
      <c r="D48">
        <v>0.35395073747748601</v>
      </c>
      <c r="E48">
        <v>172.00052614891217</v>
      </c>
      <c r="F48">
        <v>60.991035198041615</v>
      </c>
      <c r="G48">
        <v>71.289536575994006</v>
      </c>
      <c r="H48">
        <v>66.680231240970556</v>
      </c>
      <c r="J48">
        <v>52.087402099689292</v>
      </c>
      <c r="L48">
        <v>5.8924939996537429</v>
      </c>
      <c r="M48">
        <v>14.071088430594253</v>
      </c>
      <c r="N48">
        <v>2.3994059408381849</v>
      </c>
      <c r="O48">
        <v>21.438155054299923</v>
      </c>
      <c r="P48">
        <v>10.443576607459212</v>
      </c>
      <c r="Q48">
        <v>0.27128811266346903</v>
      </c>
      <c r="R48">
        <v>12.6850530890916</v>
      </c>
      <c r="S48">
        <v>34.161871836750777</v>
      </c>
      <c r="U48">
        <v>2.1626653116831274</v>
      </c>
      <c r="V48">
        <v>43.605471087338678</v>
      </c>
      <c r="W48">
        <v>22.459983105330789</v>
      </c>
      <c r="X48">
        <v>47.198727651810501</v>
      </c>
      <c r="Y48">
        <v>7.0110729785180075</v>
      </c>
      <c r="Z48">
        <v>33.055901188458598</v>
      </c>
      <c r="AA48">
        <v>4.0900399761733857</v>
      </c>
      <c r="AB48">
        <v>33.603731414296277</v>
      </c>
      <c r="AD48">
        <v>8.5508537605427026</v>
      </c>
      <c r="AE48">
        <v>14.611769043927902</v>
      </c>
      <c r="AF48">
        <v>13.712083116187634</v>
      </c>
      <c r="AG48">
        <v>19.056943279227571</v>
      </c>
      <c r="AH48">
        <v>5.6122568639417798</v>
      </c>
      <c r="AI48">
        <v>2.3401578847177129</v>
      </c>
      <c r="AK48">
        <v>47.775323086313115</v>
      </c>
    </row>
    <row r="49" spans="1:37" x14ac:dyDescent="0.2">
      <c r="A49">
        <v>48</v>
      </c>
      <c r="B49">
        <v>753</v>
      </c>
      <c r="C49">
        <v>225</v>
      </c>
      <c r="D49">
        <v>0.35325293573064698</v>
      </c>
      <c r="E49">
        <v>171.87592219919551</v>
      </c>
      <c r="F49">
        <v>60.606884055683999</v>
      </c>
      <c r="G49">
        <v>71.225955210190392</v>
      </c>
      <c r="H49">
        <v>66.614274381255399</v>
      </c>
      <c r="J49">
        <v>52.008350106804343</v>
      </c>
      <c r="L49">
        <v>5.7827294048564433</v>
      </c>
      <c r="M49">
        <v>13.995301118958572</v>
      </c>
      <c r="N49">
        <v>2.4013834330344324</v>
      </c>
      <c r="O49">
        <v>21.058290715476023</v>
      </c>
      <c r="P49">
        <v>10.339884111862631</v>
      </c>
      <c r="Q49">
        <v>0.1949933052928339</v>
      </c>
      <c r="R49">
        <v>12.460945557747886</v>
      </c>
      <c r="S49">
        <v>33.689329359464914</v>
      </c>
      <c r="U49">
        <v>2.0739495812480997</v>
      </c>
      <c r="V49">
        <v>43.479745171092077</v>
      </c>
      <c r="W49">
        <v>22.242410601328945</v>
      </c>
      <c r="X49">
        <v>46.967468867825104</v>
      </c>
      <c r="Y49">
        <v>6.9209257843176859</v>
      </c>
      <c r="Z49">
        <v>32.850736432635031</v>
      </c>
      <c r="AA49">
        <v>4.0042192655034379</v>
      </c>
      <c r="AB49">
        <v>33.444783894195304</v>
      </c>
      <c r="AD49">
        <v>8.4345631594852239</v>
      </c>
      <c r="AE49">
        <v>14.519525796174543</v>
      </c>
      <c r="AF49">
        <v>13.635175452126107</v>
      </c>
      <c r="AG49">
        <v>18.883081470497054</v>
      </c>
      <c r="AH49">
        <v>5.4729790754404943</v>
      </c>
      <c r="AI49">
        <v>2.3418480294945403</v>
      </c>
      <c r="AK49">
        <v>47.767605072564599</v>
      </c>
    </row>
    <row r="50" spans="1:37" x14ac:dyDescent="0.2">
      <c r="A50">
        <v>49</v>
      </c>
      <c r="B50">
        <v>752</v>
      </c>
      <c r="C50">
        <v>225</v>
      </c>
      <c r="D50">
        <v>0.35255377261864101</v>
      </c>
      <c r="E50">
        <v>171.75145960192444</v>
      </c>
      <c r="F50">
        <v>60.223380651936544</v>
      </c>
      <c r="G50">
        <v>71.162451220799738</v>
      </c>
      <c r="H50">
        <v>66.548407996348132</v>
      </c>
      <c r="J50">
        <v>51.929868855712527</v>
      </c>
      <c r="L50">
        <v>5.6729966813158228</v>
      </c>
      <c r="M50">
        <v>13.919650657897646</v>
      </c>
      <c r="N50">
        <v>2.4033607987825696</v>
      </c>
      <c r="O50">
        <v>20.679003058183035</v>
      </c>
      <c r="P50">
        <v>10.236354053065661</v>
      </c>
      <c r="Q50">
        <v>0.3687944261997545</v>
      </c>
      <c r="R50">
        <v>12.237165205163194</v>
      </c>
      <c r="S50">
        <v>33.217647978033845</v>
      </c>
      <c r="U50">
        <v>1.9852885356684764</v>
      </c>
      <c r="V50">
        <v>43.354218007773348</v>
      </c>
      <c r="W50">
        <v>22.025105392986564</v>
      </c>
      <c r="X50">
        <v>46.736602853680786</v>
      </c>
      <c r="Y50">
        <v>6.830917712397806</v>
      </c>
      <c r="Z50">
        <v>32.645863242914523</v>
      </c>
      <c r="AA50">
        <v>3.9185544916869839</v>
      </c>
      <c r="AB50">
        <v>33.286101648831121</v>
      </c>
      <c r="AD50">
        <v>8.3183560466319726</v>
      </c>
      <c r="AE50">
        <v>14.4274087462941</v>
      </c>
      <c r="AF50">
        <v>13.558404837858081</v>
      </c>
      <c r="AG50">
        <v>18.709487349254879</v>
      </c>
      <c r="AH50">
        <v>5.3339094862192153</v>
      </c>
      <c r="AI50">
        <v>2.3435372114030346</v>
      </c>
      <c r="AK50">
        <v>47.760185084724952</v>
      </c>
    </row>
    <row r="51" spans="1:37" x14ac:dyDescent="0.2">
      <c r="A51">
        <v>50</v>
      </c>
      <c r="B51">
        <v>751</v>
      </c>
      <c r="C51">
        <v>225</v>
      </c>
      <c r="D51">
        <v>0.35185324415369101</v>
      </c>
      <c r="E51">
        <v>171.62713794514423</v>
      </c>
      <c r="F51">
        <v>59.84052342422391</v>
      </c>
      <c r="G51">
        <v>71.099024455566692</v>
      </c>
      <c r="H51">
        <v>66.482631954954272</v>
      </c>
      <c r="J51">
        <v>51.851957839896613</v>
      </c>
      <c r="L51">
        <v>5.5633033033200281</v>
      </c>
      <c r="M51">
        <v>13.844136627140051</v>
      </c>
      <c r="N51">
        <v>2.405338038673869</v>
      </c>
      <c r="O51">
        <v>20.300290883888913</v>
      </c>
      <c r="P51">
        <v>10.13298615005778</v>
      </c>
      <c r="Q51">
        <v>4.2651940975494143E-2</v>
      </c>
      <c r="R51">
        <v>12.013711021192924</v>
      </c>
      <c r="S51">
        <v>32.746825112999673</v>
      </c>
      <c r="U51">
        <v>1.8966818655096978</v>
      </c>
      <c r="V51">
        <v>43.228888903955202</v>
      </c>
      <c r="W51">
        <v>21.808066698358282</v>
      </c>
      <c r="X51">
        <v>46.506128201054992</v>
      </c>
      <c r="Y51">
        <v>6.7410483827761531</v>
      </c>
      <c r="Z51">
        <v>32.441280907790969</v>
      </c>
      <c r="AA51">
        <v>3.8330453019851922</v>
      </c>
      <c r="AB51">
        <v>33.127683946633326</v>
      </c>
      <c r="AD51">
        <v>8.2022330164918671</v>
      </c>
      <c r="AE51">
        <v>14.335417579552047</v>
      </c>
      <c r="AF51">
        <v>13.48177085935153</v>
      </c>
      <c r="AG51">
        <v>18.536160190510664</v>
      </c>
      <c r="AH51">
        <v>5.1950477666631256</v>
      </c>
      <c r="AI51">
        <v>2.3452254291951076</v>
      </c>
      <c r="AK51">
        <v>47.75306299058456</v>
      </c>
    </row>
    <row r="52" spans="1:37" x14ac:dyDescent="0.2">
      <c r="A52">
        <v>51</v>
      </c>
      <c r="B52">
        <v>750</v>
      </c>
      <c r="C52">
        <v>225</v>
      </c>
      <c r="D52">
        <v>0.35115134633240402</v>
      </c>
      <c r="E52">
        <v>171.46858012723902</v>
      </c>
      <c r="F52">
        <v>59.239800768728514</v>
      </c>
      <c r="G52">
        <v>70.997607356297124</v>
      </c>
      <c r="H52">
        <v>66.378878719881456</v>
      </c>
      <c r="J52">
        <v>51.73672060873249</v>
      </c>
      <c r="L52">
        <v>5.4709651672751152</v>
      </c>
      <c r="M52">
        <v>13.808276014244244</v>
      </c>
      <c r="N52">
        <v>2.4073119252747923</v>
      </c>
      <c r="O52">
        <v>19.672361247121966</v>
      </c>
      <c r="P52">
        <v>9.9536420819925091</v>
      </c>
      <c r="R52">
        <v>11.768553088813265</v>
      </c>
      <c r="S52">
        <v>32.336165954322439</v>
      </c>
      <c r="U52">
        <v>1.8311498575095368</v>
      </c>
      <c r="V52">
        <v>43.166128835367012</v>
      </c>
      <c r="W52">
        <v>21.594185618932013</v>
      </c>
      <c r="X52">
        <v>46.348395625199629</v>
      </c>
      <c r="Y52">
        <v>6.5773568748581495</v>
      </c>
      <c r="Z52">
        <v>32.126848386807168</v>
      </c>
      <c r="AA52">
        <v>3.6807885100480924</v>
      </c>
      <c r="AB52">
        <v>33.004097546813625</v>
      </c>
      <c r="AD52">
        <v>8.0175176464351043</v>
      </c>
      <c r="AE52">
        <v>14.208003993043567</v>
      </c>
      <c r="AF52">
        <v>13.444787282391596</v>
      </c>
      <c r="AG52">
        <v>18.397663532049268</v>
      </c>
      <c r="AH52">
        <v>4.9495172521127211</v>
      </c>
      <c r="AI52">
        <v>2.3469094535973922</v>
      </c>
      <c r="AK52">
        <v>47.697603944793499</v>
      </c>
    </row>
    <row r="53" spans="1:37" x14ac:dyDescent="0.2">
      <c r="A53">
        <v>52</v>
      </c>
      <c r="B53">
        <v>749</v>
      </c>
      <c r="C53">
        <v>225</v>
      </c>
      <c r="D53">
        <v>0.350448075135744</v>
      </c>
      <c r="E53">
        <v>171.26905080773614</v>
      </c>
      <c r="F53">
        <v>58.374473193021167</v>
      </c>
      <c r="G53">
        <v>70.849497325678641</v>
      </c>
      <c r="H53">
        <v>66.228445714859589</v>
      </c>
      <c r="J53">
        <v>51.5727387103315</v>
      </c>
      <c r="L53">
        <v>5.3937290960106532</v>
      </c>
      <c r="M53">
        <v>13.820709096863926</v>
      </c>
      <c r="N53">
        <v>2.4092815564867358</v>
      </c>
      <c r="O53">
        <v>18.739053988851929</v>
      </c>
      <c r="P53">
        <v>9.6809157751820187</v>
      </c>
      <c r="R53">
        <v>11.492300918648821</v>
      </c>
      <c r="S53">
        <v>31.988362109626888</v>
      </c>
      <c r="U53">
        <v>1.7948942948645765</v>
      </c>
      <c r="V53">
        <v>43.174905506612831</v>
      </c>
      <c r="W53">
        <v>21.385439118949293</v>
      </c>
      <c r="X53">
        <v>46.282437139216718</v>
      </c>
      <c r="Y53">
        <v>6.3229927203559804</v>
      </c>
      <c r="Z53">
        <v>31.678939888541727</v>
      </c>
      <c r="AA53">
        <v>3.4465845627893796</v>
      </c>
      <c r="AB53">
        <v>32.918287070495623</v>
      </c>
      <c r="AD53">
        <v>7.7490126306139526</v>
      </c>
      <c r="AE53">
        <v>14.038008739549557</v>
      </c>
      <c r="AF53">
        <v>13.456093488209792</v>
      </c>
      <c r="AG53">
        <v>18.296941098924133</v>
      </c>
      <c r="AH53">
        <v>4.5726791973686627</v>
      </c>
      <c r="AI53">
        <v>2.3485883806715737</v>
      </c>
      <c r="AK53">
        <v>47.582828057147715</v>
      </c>
    </row>
    <row r="54" spans="1:37" x14ac:dyDescent="0.2">
      <c r="A54">
        <v>53</v>
      </c>
      <c r="B54">
        <v>748</v>
      </c>
      <c r="C54">
        <v>225</v>
      </c>
      <c r="D54">
        <v>0.34974342652891699</v>
      </c>
      <c r="E54">
        <v>170.69554946928335</v>
      </c>
      <c r="F54">
        <v>54.68862363613411</v>
      </c>
      <c r="G54">
        <v>70.295507721066087</v>
      </c>
      <c r="H54">
        <v>65.672146318328643</v>
      </c>
      <c r="J54">
        <v>50.092027896410293</v>
      </c>
      <c r="L54">
        <v>3.3307426283331298</v>
      </c>
      <c r="M54">
        <v>13.812128833935189</v>
      </c>
      <c r="N54">
        <v>2.4112238731092042</v>
      </c>
      <c r="O54">
        <v>14.955496468691095</v>
      </c>
      <c r="P54">
        <v>8.5964109082383633</v>
      </c>
      <c r="R54">
        <v>10.111293146631972</v>
      </c>
      <c r="S54">
        <v>29.836205180922338</v>
      </c>
      <c r="U54">
        <v>1.7801846151778551</v>
      </c>
      <c r="V54">
        <v>42.935832877117562</v>
      </c>
      <c r="W54">
        <v>21.210095296109099</v>
      </c>
      <c r="X54">
        <v>46.277539736698969</v>
      </c>
      <c r="Y54">
        <v>5.2549057698334636</v>
      </c>
      <c r="Z54">
        <v>29.290789484403</v>
      </c>
      <c r="AA54">
        <v>2.4192998245729105</v>
      </c>
      <c r="AB54">
        <v>31.88969086125757</v>
      </c>
      <c r="AD54">
        <v>6.3571579985357793</v>
      </c>
      <c r="AE54">
        <v>13.013121807163589</v>
      </c>
      <c r="AF54">
        <v>13.446359382228835</v>
      </c>
      <c r="AG54">
        <v>17.253408181560332</v>
      </c>
      <c r="AH54">
        <v>2.9525997839955918</v>
      </c>
      <c r="AI54">
        <v>2.3502391493770962</v>
      </c>
      <c r="AK54">
        <v>46.619504129729393</v>
      </c>
    </row>
    <row r="55" spans="1:37" x14ac:dyDescent="0.2">
      <c r="A55">
        <v>54</v>
      </c>
      <c r="B55">
        <v>747</v>
      </c>
      <c r="C55">
        <v>225</v>
      </c>
      <c r="D55">
        <v>0.34903739646130499</v>
      </c>
      <c r="E55">
        <v>169.75456819902527</v>
      </c>
      <c r="F55">
        <v>48.175422590536435</v>
      </c>
      <c r="G55">
        <v>69.338515627987789</v>
      </c>
      <c r="H55">
        <v>64.712857636940299</v>
      </c>
      <c r="J55">
        <v>47.273155678936021</v>
      </c>
      <c r="L55">
        <v>1.5560576714453418</v>
      </c>
      <c r="M55">
        <v>13.76941662739293</v>
      </c>
      <c r="N55">
        <v>2.4131358222145276</v>
      </c>
      <c r="O55">
        <v>8.3263232696370739</v>
      </c>
      <c r="P55">
        <v>6.7058786224542892</v>
      </c>
      <c r="R55">
        <v>7.5983478648206724</v>
      </c>
      <c r="S55">
        <v>25.885180800953812</v>
      </c>
      <c r="U55">
        <v>1.7842687380038711</v>
      </c>
      <c r="V55">
        <v>42.450679970131752</v>
      </c>
      <c r="W55">
        <v>21.079684333260584</v>
      </c>
      <c r="X55">
        <v>46.325376118811008</v>
      </c>
      <c r="Y55">
        <v>3.3765332554062164</v>
      </c>
      <c r="Z55">
        <v>24.886936550198616</v>
      </c>
      <c r="AA55">
        <v>0.59703035992642983</v>
      </c>
      <c r="AB55">
        <v>29.898873364645837</v>
      </c>
      <c r="AD55">
        <v>3.7939973190988416</v>
      </c>
      <c r="AE55">
        <v>11.104904331243722</v>
      </c>
      <c r="AF55">
        <v>13.402463319153899</v>
      </c>
      <c r="AG55">
        <v>15.24762617864098</v>
      </c>
      <c r="AH55">
        <v>6.8495045111242353E-2</v>
      </c>
      <c r="AI55">
        <v>2.3518587049459962</v>
      </c>
      <c r="AK55">
        <v>44.790343817674724</v>
      </c>
    </row>
    <row r="56" spans="1:37" x14ac:dyDescent="0.2">
      <c r="A56">
        <v>55</v>
      </c>
      <c r="B56">
        <v>746</v>
      </c>
      <c r="C56">
        <v>225</v>
      </c>
      <c r="D56">
        <v>0.34832998086640898</v>
      </c>
      <c r="E56">
        <v>170.5819106452924</v>
      </c>
      <c r="F56">
        <v>47.888585962776929</v>
      </c>
      <c r="G56">
        <v>70.033998923765935</v>
      </c>
      <c r="H56">
        <v>65.406057569184767</v>
      </c>
      <c r="J56">
        <v>26.797788785498472</v>
      </c>
      <c r="L56">
        <v>1.5156039662115728</v>
      </c>
      <c r="M56">
        <v>13.571743004857385</v>
      </c>
      <c r="N56">
        <v>2.4151752610701243</v>
      </c>
      <c r="O56">
        <v>6.2727397992298952</v>
      </c>
      <c r="P56">
        <v>8.1204325529731758</v>
      </c>
      <c r="R56">
        <v>7.9947477819414887</v>
      </c>
      <c r="S56">
        <v>24.766142396975901</v>
      </c>
      <c r="U56">
        <v>1.8263618863087014</v>
      </c>
      <c r="V56">
        <v>42.62150346944572</v>
      </c>
      <c r="W56">
        <v>20.776316345853036</v>
      </c>
      <c r="X56">
        <v>46.481793713050621</v>
      </c>
      <c r="Y56">
        <v>3.7258282889035677</v>
      </c>
      <c r="Z56">
        <v>18.45416644996352</v>
      </c>
      <c r="AB56">
        <v>25.649432133111024</v>
      </c>
      <c r="AD56">
        <v>0.83761150239700488</v>
      </c>
      <c r="AE56">
        <v>6.9287155429790861</v>
      </c>
      <c r="AF56">
        <v>13.203733689590029</v>
      </c>
      <c r="AG56">
        <v>10.983350505970993</v>
      </c>
      <c r="AI56">
        <v>2.3536049028053987</v>
      </c>
      <c r="AK56">
        <v>31.186992945996312</v>
      </c>
    </row>
    <row r="57" spans="1:37" x14ac:dyDescent="0.2">
      <c r="A57">
        <v>56</v>
      </c>
      <c r="B57">
        <v>745</v>
      </c>
      <c r="C57">
        <v>225</v>
      </c>
      <c r="D57">
        <v>0.347621175661739</v>
      </c>
      <c r="E57">
        <v>170.76913440837296</v>
      </c>
      <c r="F57">
        <v>47.68834882296985</v>
      </c>
      <c r="G57">
        <v>70.116648627584652</v>
      </c>
      <c r="H57">
        <v>65.486437155453345</v>
      </c>
      <c r="J57">
        <v>19.425719206397538</v>
      </c>
      <c r="L57">
        <v>1.5402377768103761</v>
      </c>
      <c r="M57">
        <v>13.31663172926433</v>
      </c>
      <c r="N57">
        <v>2.4171657017009389</v>
      </c>
      <c r="O57">
        <v>6.0482176420777449</v>
      </c>
      <c r="P57">
        <v>8.3092782734829456</v>
      </c>
      <c r="R57">
        <v>7.9194512627710463</v>
      </c>
      <c r="S57">
        <v>24.831020781427803</v>
      </c>
      <c r="U57">
        <v>1.812916178365966</v>
      </c>
      <c r="V57">
        <v>42.958522102955172</v>
      </c>
      <c r="W57">
        <v>20.441300200170144</v>
      </c>
      <c r="X57">
        <v>46.479476433331371</v>
      </c>
      <c r="Y57">
        <v>3.638265552349607</v>
      </c>
      <c r="Z57">
        <v>16.811926636234581</v>
      </c>
      <c r="AB57">
        <v>24.876306046417533</v>
      </c>
      <c r="AD57">
        <v>4.2330815277959672E-3</v>
      </c>
      <c r="AE57">
        <v>5.9579551979859975</v>
      </c>
      <c r="AF57">
        <v>12.947517774220225</v>
      </c>
      <c r="AG57">
        <v>10.195343561442446</v>
      </c>
      <c r="AI57">
        <v>2.3553012531404205</v>
      </c>
      <c r="AK57">
        <v>26.228858695539859</v>
      </c>
    </row>
    <row r="58" spans="1:37" x14ac:dyDescent="0.2">
      <c r="A58">
        <v>57</v>
      </c>
      <c r="B58">
        <v>760</v>
      </c>
      <c r="C58">
        <v>200</v>
      </c>
      <c r="D58">
        <v>0.38472680636887402</v>
      </c>
      <c r="E58">
        <v>158.11247515193841</v>
      </c>
      <c r="F58">
        <v>62.646421779980344</v>
      </c>
      <c r="G58">
        <v>71.657039887517882</v>
      </c>
      <c r="H58">
        <v>67.061146079482228</v>
      </c>
      <c r="J58">
        <v>52.090608064563916</v>
      </c>
      <c r="L58">
        <v>6.3733249938986791</v>
      </c>
      <c r="M58">
        <v>14.452393900140963</v>
      </c>
      <c r="N58">
        <v>2.304164503270028</v>
      </c>
      <c r="O58">
        <v>23.853978340038289</v>
      </c>
      <c r="P58">
        <v>10.813391794223687</v>
      </c>
      <c r="Q58">
        <v>0.25398462016642753</v>
      </c>
      <c r="R58">
        <v>13.95371278684574</v>
      </c>
      <c r="S58">
        <v>36.375884079809317</v>
      </c>
      <c r="U58">
        <v>2.5867255017397279</v>
      </c>
      <c r="V58">
        <v>43.720995032777061</v>
      </c>
      <c r="W58">
        <v>24.316350678188901</v>
      </c>
      <c r="X58">
        <v>46.905470130507823</v>
      </c>
      <c r="Y58">
        <v>7.3247770943725898</v>
      </c>
      <c r="Z58">
        <v>34.148620668820563</v>
      </c>
      <c r="AA58">
        <v>4.5059725100231152</v>
      </c>
      <c r="AB58">
        <v>34.511078881206771</v>
      </c>
      <c r="AC58">
        <v>7.877142216743566E-3</v>
      </c>
      <c r="AD58">
        <v>9.1494811859636638</v>
      </c>
      <c r="AE58">
        <v>15.328690122438482</v>
      </c>
      <c r="AF58">
        <v>14.093847090460761</v>
      </c>
      <c r="AG58">
        <v>20.078349901081616</v>
      </c>
      <c r="AH58">
        <v>5.8889380635160959</v>
      </c>
      <c r="AI58">
        <v>2.2435305759084541</v>
      </c>
      <c r="AK58">
        <v>47.432427093820777</v>
      </c>
    </row>
    <row r="59" spans="1:37" x14ac:dyDescent="0.2">
      <c r="A59">
        <v>58</v>
      </c>
      <c r="B59">
        <v>759</v>
      </c>
      <c r="C59">
        <v>200</v>
      </c>
      <c r="D59">
        <v>0.38406287845759102</v>
      </c>
      <c r="E59">
        <v>158.00823033926488</v>
      </c>
      <c r="F59">
        <v>62.328194156288788</v>
      </c>
      <c r="G59">
        <v>71.603279146914801</v>
      </c>
      <c r="H59">
        <v>67.004921519855941</v>
      </c>
      <c r="J59">
        <v>52.045378153490631</v>
      </c>
      <c r="L59">
        <v>6.2911173419880742</v>
      </c>
      <c r="M59">
        <v>14.403548676233582</v>
      </c>
      <c r="N59">
        <v>2.2979527492277168</v>
      </c>
      <c r="O59">
        <v>23.499470568405684</v>
      </c>
      <c r="P59">
        <v>10.721095228798351</v>
      </c>
      <c r="Q59">
        <v>0.19922770162526132</v>
      </c>
      <c r="R59">
        <v>13.77595611925123</v>
      </c>
      <c r="S59">
        <v>36.036645182864063</v>
      </c>
      <c r="U59">
        <v>2.5218879538807757</v>
      </c>
      <c r="V59">
        <v>43.642361206076927</v>
      </c>
      <c r="W59">
        <v>24.147820266818044</v>
      </c>
      <c r="X59">
        <v>46.756411515694914</v>
      </c>
      <c r="Y59">
        <v>7.2490984328147725</v>
      </c>
      <c r="Z59">
        <v>33.977264995536899</v>
      </c>
      <c r="AA59">
        <v>4.4305661576169513</v>
      </c>
      <c r="AB59">
        <v>34.396908841167424</v>
      </c>
      <c r="AD59">
        <v>9.0569154737009807</v>
      </c>
      <c r="AE59">
        <v>15.248696763538293</v>
      </c>
      <c r="AF59">
        <v>14.035686906572131</v>
      </c>
      <c r="AG59">
        <v>19.941094098691451</v>
      </c>
      <c r="AH59">
        <v>5.780293939058442</v>
      </c>
      <c r="AI59">
        <v>2.2370375821012614</v>
      </c>
      <c r="AK59">
        <v>47.437092373166372</v>
      </c>
    </row>
    <row r="60" spans="1:37" x14ac:dyDescent="0.2">
      <c r="A60">
        <v>59</v>
      </c>
      <c r="B60">
        <v>758</v>
      </c>
      <c r="C60">
        <v>200</v>
      </c>
      <c r="D60">
        <v>0.383397662803666</v>
      </c>
      <c r="E60">
        <v>157.88386840560662</v>
      </c>
      <c r="F60">
        <v>61.944542785181817</v>
      </c>
      <c r="G60">
        <v>71.539660864024981</v>
      </c>
      <c r="H60">
        <v>66.93885239379442</v>
      </c>
      <c r="J60">
        <v>51.96421144163277</v>
      </c>
      <c r="L60">
        <v>6.1825143218594514</v>
      </c>
      <c r="M60">
        <v>14.328153403951861</v>
      </c>
      <c r="N60">
        <v>2.2999332630484854</v>
      </c>
      <c r="O60">
        <v>23.11828655910757</v>
      </c>
      <c r="P60">
        <v>10.617283517809028</v>
      </c>
      <c r="Q60">
        <v>0.12350636324525011</v>
      </c>
      <c r="R60">
        <v>13.552510477940459</v>
      </c>
      <c r="S60">
        <v>35.564333227778597</v>
      </c>
      <c r="U60">
        <v>2.4333749210267972</v>
      </c>
      <c r="V60">
        <v>43.517524084494283</v>
      </c>
      <c r="W60">
        <v>23.930065882696944</v>
      </c>
      <c r="X60">
        <v>46.526860770524671</v>
      </c>
      <c r="Y60">
        <v>7.1589359133627264</v>
      </c>
      <c r="Z60">
        <v>33.772914194008223</v>
      </c>
      <c r="AA60">
        <v>4.3448192065334519</v>
      </c>
      <c r="AB60">
        <v>34.238503827333062</v>
      </c>
      <c r="AD60">
        <v>8.9422034468050224</v>
      </c>
      <c r="AE60">
        <v>15.156695209932517</v>
      </c>
      <c r="AF60">
        <v>13.959169240242966</v>
      </c>
      <c r="AG60">
        <v>19.767798094031725</v>
      </c>
      <c r="AH60">
        <v>5.6410412639486323</v>
      </c>
      <c r="AI60">
        <v>2.238736030769374</v>
      </c>
      <c r="AK60">
        <v>47.428505857085945</v>
      </c>
    </row>
    <row r="61" spans="1:37" x14ac:dyDescent="0.2">
      <c r="A61">
        <v>60</v>
      </c>
      <c r="B61">
        <v>757</v>
      </c>
      <c r="C61">
        <v>200</v>
      </c>
      <c r="D61">
        <v>0.38273115565694399</v>
      </c>
      <c r="E61">
        <v>157.75964372592281</v>
      </c>
      <c r="F61">
        <v>61.561522816404157</v>
      </c>
      <c r="G61">
        <v>71.476118027980661</v>
      </c>
      <c r="H61">
        <v>66.872871711148164</v>
      </c>
      <c r="J61">
        <v>51.883605774565453</v>
      </c>
      <c r="L61">
        <v>6.0738977311929538</v>
      </c>
      <c r="M61">
        <v>14.252891574340479</v>
      </c>
      <c r="N61">
        <v>2.3019136486417358</v>
      </c>
      <c r="O61">
        <v>22.737665891113977</v>
      </c>
      <c r="P61">
        <v>10.513630265969704</v>
      </c>
      <c r="Q61">
        <v>4.7867083183391855E-2</v>
      </c>
      <c r="R61">
        <v>13.329383467403002</v>
      </c>
      <c r="S61">
        <v>35.092860694178214</v>
      </c>
      <c r="U61">
        <v>2.3449096829360179</v>
      </c>
      <c r="V61">
        <v>43.392879988706213</v>
      </c>
      <c r="W61">
        <v>23.712572655958123</v>
      </c>
      <c r="X61">
        <v>46.297691413833071</v>
      </c>
      <c r="Y61">
        <v>7.0689085405550616</v>
      </c>
      <c r="Z61">
        <v>33.568850582364277</v>
      </c>
      <c r="AA61">
        <v>4.2592242189448228</v>
      </c>
      <c r="AB61">
        <v>34.080358495650195</v>
      </c>
      <c r="AD61">
        <v>8.8275486872959306</v>
      </c>
      <c r="AE61">
        <v>15.064817655223075</v>
      </c>
      <c r="AF61">
        <v>13.882785192002006</v>
      </c>
      <c r="AG61">
        <v>19.594764152835214</v>
      </c>
      <c r="AH61">
        <v>5.5019903178713419</v>
      </c>
      <c r="AI61">
        <v>2.2404335239838784</v>
      </c>
      <c r="AK61">
        <v>47.420211490052893</v>
      </c>
    </row>
    <row r="62" spans="1:37" x14ac:dyDescent="0.2">
      <c r="A62">
        <v>61</v>
      </c>
      <c r="B62">
        <v>756</v>
      </c>
      <c r="C62">
        <v>200</v>
      </c>
      <c r="D62">
        <v>0.38206335325268598</v>
      </c>
      <c r="E62">
        <v>157.6077771887492</v>
      </c>
      <c r="F62">
        <v>61.000261584146799</v>
      </c>
      <c r="G62">
        <v>71.381462341399498</v>
      </c>
      <c r="H62">
        <v>66.775791195292598</v>
      </c>
      <c r="J62">
        <v>51.773290047343906</v>
      </c>
      <c r="L62">
        <v>5.9778140526853365</v>
      </c>
      <c r="M62">
        <v>14.210428058439703</v>
      </c>
      <c r="N62">
        <v>2.3038913089944439</v>
      </c>
      <c r="O62">
        <v>22.152325566177836</v>
      </c>
      <c r="P62">
        <v>10.347756304096601</v>
      </c>
      <c r="R62">
        <v>13.088381611302518</v>
      </c>
      <c r="S62">
        <v>34.671303696542822</v>
      </c>
      <c r="U62">
        <v>2.2758489010342053</v>
      </c>
      <c r="V62">
        <v>43.319723270308401</v>
      </c>
      <c r="W62">
        <v>23.497389857677803</v>
      </c>
      <c r="X62">
        <v>46.129771169657246</v>
      </c>
      <c r="Y62">
        <v>6.9183649472289144</v>
      </c>
      <c r="Z62">
        <v>33.273796446079274</v>
      </c>
      <c r="AA62">
        <v>4.1189454631227349</v>
      </c>
      <c r="AB62">
        <v>33.950163728291251</v>
      </c>
      <c r="AD62">
        <v>8.6560855756821091</v>
      </c>
      <c r="AE62">
        <v>14.943319711586932</v>
      </c>
      <c r="AF62">
        <v>13.839197041462802</v>
      </c>
      <c r="AG62">
        <v>19.449680566154978</v>
      </c>
      <c r="AH62">
        <v>5.2756383650422727</v>
      </c>
      <c r="AI62">
        <v>2.2421274628935537</v>
      </c>
      <c r="AK62">
        <v>47.372884375036833</v>
      </c>
    </row>
    <row r="63" spans="1:37" x14ac:dyDescent="0.2">
      <c r="A63">
        <v>62</v>
      </c>
      <c r="B63">
        <v>755</v>
      </c>
      <c r="C63">
        <v>200</v>
      </c>
      <c r="D63">
        <v>0.38139425181150599</v>
      </c>
      <c r="E63">
        <v>157.41117948758534</v>
      </c>
      <c r="F63">
        <v>60.147187526086967</v>
      </c>
      <c r="G63">
        <v>71.235384156994527</v>
      </c>
      <c r="H63">
        <v>66.627301219738555</v>
      </c>
      <c r="J63">
        <v>51.611304008497072</v>
      </c>
      <c r="L63">
        <v>5.8964457149135052</v>
      </c>
      <c r="M63">
        <v>14.221771714145156</v>
      </c>
      <c r="N63">
        <v>2.3058644048696726</v>
      </c>
      <c r="O63">
        <v>21.229429891180121</v>
      </c>
      <c r="P63">
        <v>10.079040521038419</v>
      </c>
      <c r="R63">
        <v>12.813992233727763</v>
      </c>
      <c r="S63">
        <v>34.322533138075976</v>
      </c>
      <c r="U63">
        <v>2.2396785100071472</v>
      </c>
      <c r="V63">
        <v>43.327018323683916</v>
      </c>
      <c r="W63">
        <v>23.287068629047543</v>
      </c>
      <c r="X63">
        <v>46.06509396907677</v>
      </c>
      <c r="Y63">
        <v>6.6678615400214643</v>
      </c>
      <c r="Z63">
        <v>32.82974008074396</v>
      </c>
      <c r="AA63">
        <v>3.8882064341975275</v>
      </c>
      <c r="AB63">
        <v>33.861811565481908</v>
      </c>
      <c r="AD63">
        <v>8.3912552230720259</v>
      </c>
      <c r="AE63">
        <v>14.773741018806939</v>
      </c>
      <c r="AF63">
        <v>13.849411812880936</v>
      </c>
      <c r="AG63">
        <v>19.346437540894001</v>
      </c>
      <c r="AH63">
        <v>4.9048098007967722</v>
      </c>
      <c r="AI63">
        <v>2.2438160064224495</v>
      </c>
      <c r="AK63">
        <v>47.261100887784878</v>
      </c>
    </row>
    <row r="64" spans="1:37" x14ac:dyDescent="0.2">
      <c r="A64">
        <v>63</v>
      </c>
      <c r="B64">
        <v>754</v>
      </c>
      <c r="C64">
        <v>200</v>
      </c>
      <c r="D64">
        <v>0.38072384753930699</v>
      </c>
      <c r="E64">
        <v>157.21481535978012</v>
      </c>
      <c r="F64">
        <v>59.289891550766455</v>
      </c>
      <c r="G64">
        <v>71.087800126685522</v>
      </c>
      <c r="H64">
        <v>66.477318457243726</v>
      </c>
      <c r="J64">
        <v>51.444538120197102</v>
      </c>
      <c r="L64">
        <v>5.803477010243931</v>
      </c>
      <c r="M64">
        <v>14.234376353348209</v>
      </c>
      <c r="N64">
        <v>2.307837017284875</v>
      </c>
      <c r="O64">
        <v>20.297883017429989</v>
      </c>
      <c r="P64">
        <v>9.8073203243748015</v>
      </c>
      <c r="R64">
        <v>12.533274298949031</v>
      </c>
      <c r="S64">
        <v>33.962137111700279</v>
      </c>
      <c r="U64">
        <v>2.2057965999716234</v>
      </c>
      <c r="V64">
        <v>43.329928482348329</v>
      </c>
      <c r="W64">
        <v>23.07889595224691</v>
      </c>
      <c r="X64">
        <v>46.00722627852781</v>
      </c>
      <c r="Y64">
        <v>6.4144870224330894</v>
      </c>
      <c r="Z64">
        <v>32.383241077211153</v>
      </c>
      <c r="AA64">
        <v>3.6546329624617937</v>
      </c>
      <c r="AB64">
        <v>33.768213273835215</v>
      </c>
      <c r="AD64">
        <v>8.1241993905456003</v>
      </c>
      <c r="AE64">
        <v>14.603984861611394</v>
      </c>
      <c r="AF64">
        <v>13.860887404777733</v>
      </c>
      <c r="AG64">
        <v>19.237950430614038</v>
      </c>
      <c r="AH64">
        <v>4.5294383487049981</v>
      </c>
      <c r="AI64">
        <v>2.2455032337500538</v>
      </c>
      <c r="AK64">
        <v>47.147784045787674</v>
      </c>
    </row>
    <row r="65" spans="1:37" x14ac:dyDescent="0.2">
      <c r="A65">
        <v>64</v>
      </c>
      <c r="B65">
        <v>753</v>
      </c>
      <c r="C65">
        <v>200</v>
      </c>
      <c r="D65">
        <v>0.380052136627202</v>
      </c>
      <c r="E65">
        <v>157.01849836610879</v>
      </c>
      <c r="F65">
        <v>58.426576595660443</v>
      </c>
      <c r="G65">
        <v>70.93839586003557</v>
      </c>
      <c r="H65">
        <v>66.325528538251888</v>
      </c>
      <c r="J65">
        <v>51.271807934837767</v>
      </c>
      <c r="L65">
        <v>4.2817260219182058</v>
      </c>
      <c r="M65">
        <v>14.248322003607242</v>
      </c>
      <c r="N65">
        <v>2.3098091055060976</v>
      </c>
      <c r="O65">
        <v>19.355574457949022</v>
      </c>
      <c r="P65">
        <v>9.5319669152859046</v>
      </c>
      <c r="R65">
        <v>12.245346255552249</v>
      </c>
      <c r="S65">
        <v>33.587771079146755</v>
      </c>
      <c r="U65">
        <v>2.1743695515866666</v>
      </c>
      <c r="V65">
        <v>43.327780190745877</v>
      </c>
      <c r="W65">
        <v>22.872925559543713</v>
      </c>
      <c r="X65">
        <v>45.956659218493996</v>
      </c>
      <c r="Y65">
        <v>6.1576198638070316</v>
      </c>
      <c r="Z65">
        <v>31.933098050953401</v>
      </c>
      <c r="AA65">
        <v>3.4177974711179924</v>
      </c>
      <c r="AB65">
        <v>33.668199962257255</v>
      </c>
      <c r="AD65">
        <v>7.854199098880807</v>
      </c>
      <c r="AE65">
        <v>14.433570277260621</v>
      </c>
      <c r="AF65">
        <v>13.873703809599084</v>
      </c>
      <c r="AG65">
        <v>19.123050309438817</v>
      </c>
      <c r="AH65">
        <v>4.1485945120924486</v>
      </c>
      <c r="AI65">
        <v>2.2471891023024693</v>
      </c>
      <c r="AK65">
        <v>47.03237360386472</v>
      </c>
    </row>
    <row r="66" spans="1:37" x14ac:dyDescent="0.2">
      <c r="A66">
        <v>65</v>
      </c>
      <c r="B66">
        <v>752</v>
      </c>
      <c r="C66">
        <v>200</v>
      </c>
      <c r="D66">
        <v>0.37937911525142798</v>
      </c>
      <c r="E66">
        <v>156.15969706121905</v>
      </c>
      <c r="F66">
        <v>52.513715913497755</v>
      </c>
      <c r="G66">
        <v>70.058785849439602</v>
      </c>
      <c r="H66">
        <v>65.443545976077374</v>
      </c>
      <c r="J66">
        <v>48.699325431139584</v>
      </c>
      <c r="L66">
        <v>2.6586441999898853</v>
      </c>
      <c r="M66">
        <v>14.221061585545607</v>
      </c>
      <c r="N66">
        <v>2.3117324410663409</v>
      </c>
      <c r="O66">
        <v>13.29261803130629</v>
      </c>
      <c r="P66">
        <v>7.7961610729422457</v>
      </c>
      <c r="R66">
        <v>9.9336984181327637</v>
      </c>
      <c r="S66">
        <v>29.867609746087904</v>
      </c>
      <c r="U66">
        <v>2.1903654526780665</v>
      </c>
      <c r="V66">
        <v>42.833546728916971</v>
      </c>
      <c r="W66">
        <v>22.726829686240993</v>
      </c>
      <c r="X66">
        <v>46.040076397797641</v>
      </c>
      <c r="Y66">
        <v>4.4372399478429507</v>
      </c>
      <c r="Z66">
        <v>28.015649620713351</v>
      </c>
      <c r="AA66">
        <v>1.753276526498994</v>
      </c>
      <c r="AB66">
        <v>31.821976466404355</v>
      </c>
      <c r="AD66">
        <v>5.5768147689230192</v>
      </c>
      <c r="AE66">
        <v>12.729286357387092</v>
      </c>
      <c r="AF66">
        <v>13.845265725139683</v>
      </c>
      <c r="AG66">
        <v>17.261893790527342</v>
      </c>
      <c r="AH66">
        <v>1.5304201761116007</v>
      </c>
      <c r="AI66">
        <v>2.2488253817739157</v>
      </c>
      <c r="AK66">
        <v>45.387888439378855</v>
      </c>
    </row>
    <row r="67" spans="1:37" x14ac:dyDescent="0.2">
      <c r="A67">
        <v>66</v>
      </c>
      <c r="B67">
        <v>751</v>
      </c>
      <c r="C67">
        <v>200</v>
      </c>
      <c r="D67">
        <v>0.378704779573308</v>
      </c>
      <c r="E67">
        <v>156.32423353025797</v>
      </c>
      <c r="F67">
        <v>49.644310317466882</v>
      </c>
      <c r="G67">
        <v>70.115523674568209</v>
      </c>
      <c r="H67">
        <v>65.497924371350607</v>
      </c>
      <c r="J67">
        <v>35.692612966593764</v>
      </c>
      <c r="L67">
        <v>1.4648739272298335</v>
      </c>
      <c r="M67">
        <v>14.156432588424368</v>
      </c>
      <c r="N67">
        <v>2.3137219742059614</v>
      </c>
      <c r="O67">
        <v>7.1133091604476686</v>
      </c>
      <c r="P67">
        <v>7.9331249298367741</v>
      </c>
      <c r="R67">
        <v>8.731243013011369</v>
      </c>
      <c r="S67">
        <v>25.948372294544292</v>
      </c>
      <c r="U67">
        <v>2.2740549751175889</v>
      </c>
      <c r="V67">
        <v>42.37925101912208</v>
      </c>
      <c r="W67">
        <v>22.533816788422641</v>
      </c>
      <c r="X67">
        <v>46.316999086047907</v>
      </c>
      <c r="Y67">
        <v>3.6571123326232344</v>
      </c>
      <c r="Z67">
        <v>22.153964786182971</v>
      </c>
      <c r="AB67">
        <v>27.92803093496136</v>
      </c>
      <c r="AD67">
        <v>2.6544072044915201</v>
      </c>
      <c r="AE67">
        <v>9.2125990737491623</v>
      </c>
      <c r="AF67">
        <v>13.779525596549421</v>
      </c>
      <c r="AG67">
        <v>13.353083978793915</v>
      </c>
      <c r="AI67">
        <v>2.2505270205651549</v>
      </c>
      <c r="AK67">
        <v>36.865631144828335</v>
      </c>
    </row>
    <row r="68" spans="1:37" x14ac:dyDescent="0.2">
      <c r="A68">
        <v>67</v>
      </c>
      <c r="B68">
        <v>750</v>
      </c>
      <c r="C68">
        <v>200</v>
      </c>
      <c r="D68">
        <v>0.37802912573913899</v>
      </c>
      <c r="E68">
        <v>156.62142379408462</v>
      </c>
      <c r="F68">
        <v>48.724887670787659</v>
      </c>
      <c r="G68">
        <v>70.296552122181438</v>
      </c>
      <c r="H68">
        <v>65.676606531833926</v>
      </c>
      <c r="J68">
        <v>24.310935397719355</v>
      </c>
      <c r="L68">
        <v>1.493971432190363</v>
      </c>
      <c r="M68">
        <v>13.945526216688398</v>
      </c>
      <c r="N68">
        <v>2.3157220013153594</v>
      </c>
      <c r="O68">
        <v>6.7477611721763893</v>
      </c>
      <c r="P68">
        <v>8.3186883788579689</v>
      </c>
      <c r="R68">
        <v>8.7377311586215338</v>
      </c>
      <c r="S68">
        <v>25.689053313340558</v>
      </c>
      <c r="U68">
        <v>2.2936472329866233</v>
      </c>
      <c r="V68">
        <v>42.565830351232464</v>
      </c>
      <c r="W68">
        <v>22.225690710599999</v>
      </c>
      <c r="X68">
        <v>46.410324852032218</v>
      </c>
      <c r="Y68">
        <v>3.6574290546946275</v>
      </c>
      <c r="Z68">
        <v>18.466010588244593</v>
      </c>
      <c r="AB68">
        <v>25.750183703960698</v>
      </c>
      <c r="AD68">
        <v>0.87453066369383248</v>
      </c>
      <c r="AE68">
        <v>7.0076872630188136</v>
      </c>
      <c r="AF68">
        <v>13.567518930323805</v>
      </c>
      <c r="AG68">
        <v>11.160385512667576</v>
      </c>
      <c r="AI68">
        <v>2.2522383132265271</v>
      </c>
      <c r="AK68">
        <v>29.291916422461352</v>
      </c>
    </row>
    <row r="69" spans="1:37" x14ac:dyDescent="0.2">
      <c r="A69">
        <v>68</v>
      </c>
      <c r="B69">
        <v>749</v>
      </c>
      <c r="C69">
        <v>200</v>
      </c>
      <c r="D69">
        <v>0.37735214988015597</v>
      </c>
      <c r="E69">
        <v>156.79495725940788</v>
      </c>
      <c r="F69">
        <v>48.606451328857951</v>
      </c>
      <c r="G69">
        <v>70.362628318254309</v>
      </c>
      <c r="H69">
        <v>65.740349604545571</v>
      </c>
      <c r="J69">
        <v>18.060907371953537</v>
      </c>
      <c r="L69">
        <v>1.5155897225451445</v>
      </c>
      <c r="M69">
        <v>13.69036237131205</v>
      </c>
      <c r="N69">
        <v>2.3177134472155285</v>
      </c>
      <c r="O69">
        <v>6.5519072745315263</v>
      </c>
      <c r="P69">
        <v>8.4743466198174886</v>
      </c>
      <c r="R69">
        <v>8.6391198801653761</v>
      </c>
      <c r="S69">
        <v>25.74385940027549</v>
      </c>
      <c r="U69">
        <v>2.2826723358797691</v>
      </c>
      <c r="V69">
        <v>42.891602295923271</v>
      </c>
      <c r="W69">
        <v>21.887690515387575</v>
      </c>
      <c r="X69">
        <v>46.416316039174909</v>
      </c>
      <c r="Y69">
        <v>3.5527286424504276</v>
      </c>
      <c r="Z69">
        <v>17.097299307607766</v>
      </c>
      <c r="AB69">
        <v>25.125235295535379</v>
      </c>
      <c r="AD69">
        <v>0.1685592146960404</v>
      </c>
      <c r="AE69">
        <v>6.195942207735162</v>
      </c>
      <c r="AF69">
        <v>13.31124655793459</v>
      </c>
      <c r="AG69">
        <v>10.520579845131008</v>
      </c>
      <c r="AI69">
        <v>2.2539401827397798</v>
      </c>
      <c r="AK69">
        <v>25.086024045413563</v>
      </c>
    </row>
    <row r="70" spans="1:37" x14ac:dyDescent="0.2">
      <c r="A70">
        <v>69</v>
      </c>
      <c r="B70">
        <v>765</v>
      </c>
      <c r="C70">
        <v>175</v>
      </c>
      <c r="D70">
        <v>0.41451668833983701</v>
      </c>
      <c r="E70">
        <v>143.98890770346756</v>
      </c>
      <c r="F70">
        <v>63.573217472350628</v>
      </c>
      <c r="G70">
        <v>71.91704024742593</v>
      </c>
      <c r="H70">
        <v>67.332605612741347</v>
      </c>
      <c r="J70">
        <v>51.876112929006894</v>
      </c>
      <c r="L70">
        <v>6.6136042810831697</v>
      </c>
      <c r="M70">
        <v>14.642278046174294</v>
      </c>
      <c r="N70">
        <v>2.2339515397683893</v>
      </c>
      <c r="O70">
        <v>25.799120009877246</v>
      </c>
      <c r="P70">
        <v>11.015000861983308</v>
      </c>
      <c r="Q70">
        <v>3.7389763706206114E-2</v>
      </c>
      <c r="R70">
        <v>14.768889489511668</v>
      </c>
      <c r="S70">
        <v>37.59388652821039</v>
      </c>
      <c r="U70">
        <v>2.8662035269575021</v>
      </c>
      <c r="V70">
        <v>43.489419711300805</v>
      </c>
      <c r="W70">
        <v>25.829286439552316</v>
      </c>
      <c r="X70">
        <v>45.971717578398071</v>
      </c>
      <c r="Y70">
        <v>7.4747034113421007</v>
      </c>
      <c r="Z70">
        <v>34.896335077064933</v>
      </c>
      <c r="AA70">
        <v>4.7716430248688413</v>
      </c>
      <c r="AB70">
        <v>35.08963186752873</v>
      </c>
      <c r="AC70">
        <v>3.9159764086496088E-2</v>
      </c>
      <c r="AD70">
        <v>9.5171482425801841</v>
      </c>
      <c r="AE70">
        <v>15.914855913238485</v>
      </c>
      <c r="AF70">
        <v>14.30617335814698</v>
      </c>
      <c r="AG70">
        <v>20.778808520733456</v>
      </c>
      <c r="AH70">
        <v>5.8900942638035456</v>
      </c>
      <c r="AI70">
        <v>2.1716732419437208</v>
      </c>
      <c r="AK70">
        <v>46.998723657712461</v>
      </c>
    </row>
    <row r="71" spans="1:37" x14ac:dyDescent="0.2">
      <c r="A71">
        <v>70</v>
      </c>
      <c r="B71">
        <v>764</v>
      </c>
      <c r="C71">
        <v>175</v>
      </c>
      <c r="D71">
        <v>0.41388468398978101</v>
      </c>
      <c r="E71">
        <v>143.88584199886213</v>
      </c>
      <c r="F71">
        <v>63.231576366464772</v>
      </c>
      <c r="G71">
        <v>71.858306852524791</v>
      </c>
      <c r="H71">
        <v>67.271333644444752</v>
      </c>
      <c r="J71">
        <v>51.836519435930647</v>
      </c>
      <c r="L71">
        <v>6.5464720471855271</v>
      </c>
      <c r="M71">
        <v>14.614783640518869</v>
      </c>
      <c r="N71">
        <v>2.2244757877281058</v>
      </c>
      <c r="O71">
        <v>25.39482337287998</v>
      </c>
      <c r="P71">
        <v>10.909447349306934</v>
      </c>
      <c r="R71">
        <v>14.606395891919636</v>
      </c>
      <c r="S71">
        <v>37.3266312760083</v>
      </c>
      <c r="U71">
        <v>2.8177443839589666</v>
      </c>
      <c r="V71">
        <v>43.446815570281458</v>
      </c>
      <c r="W71">
        <v>25.681571564658483</v>
      </c>
      <c r="X71">
        <v>45.877855220499704</v>
      </c>
      <c r="Y71">
        <v>7.387556464865221</v>
      </c>
      <c r="Z71">
        <v>34.711624224696678</v>
      </c>
      <c r="AA71">
        <v>4.6848877658997807</v>
      </c>
      <c r="AB71">
        <v>35.002109354201544</v>
      </c>
      <c r="AC71">
        <v>2.7700450015382908E-2</v>
      </c>
      <c r="AD71">
        <v>9.4189052364649282</v>
      </c>
      <c r="AE71">
        <v>15.83065722720721</v>
      </c>
      <c r="AF71">
        <v>14.26609503189469</v>
      </c>
      <c r="AG71">
        <v>20.664956699238235</v>
      </c>
      <c r="AH71">
        <v>5.7688278552933765</v>
      </c>
      <c r="AI71">
        <v>2.1619214772704414</v>
      </c>
      <c r="AK71">
        <v>46.997595648468597</v>
      </c>
    </row>
    <row r="72" spans="1:37" x14ac:dyDescent="0.2">
      <c r="A72">
        <v>71</v>
      </c>
      <c r="B72">
        <v>763</v>
      </c>
      <c r="C72">
        <v>175</v>
      </c>
      <c r="D72">
        <v>0.41325145973073701</v>
      </c>
      <c r="E72">
        <v>143.779064520487</v>
      </c>
      <c r="F72">
        <v>62.814789681276231</v>
      </c>
      <c r="G72">
        <v>71.785209336089366</v>
      </c>
      <c r="H72">
        <v>67.195710429845306</v>
      </c>
      <c r="J72">
        <v>51.803973407177693</v>
      </c>
      <c r="L72">
        <v>6.5051566670190333</v>
      </c>
      <c r="M72">
        <v>14.630380050006174</v>
      </c>
      <c r="N72">
        <v>2.208856734842767</v>
      </c>
      <c r="O72">
        <v>24.866816378351501</v>
      </c>
      <c r="P72">
        <v>10.76902984893956</v>
      </c>
      <c r="R72">
        <v>14.465220500035674</v>
      </c>
      <c r="S72">
        <v>37.193600437605689</v>
      </c>
      <c r="U72">
        <v>2.8011405778191034</v>
      </c>
      <c r="V72">
        <v>43.474672141300722</v>
      </c>
      <c r="W72">
        <v>25.572294269364498</v>
      </c>
      <c r="X72">
        <v>45.889100998206764</v>
      </c>
      <c r="Y72">
        <v>7.2688611107528143</v>
      </c>
      <c r="Z72">
        <v>34.486948112536396</v>
      </c>
      <c r="AA72">
        <v>4.5675384211034906</v>
      </c>
      <c r="AB72">
        <v>34.966139775698146</v>
      </c>
      <c r="AC72">
        <v>1.0097981321515388E-2</v>
      </c>
      <c r="AD72">
        <v>9.2964248369475548</v>
      </c>
      <c r="AE72">
        <v>15.734108840240051</v>
      </c>
      <c r="AF72">
        <v>14.262964496369417</v>
      </c>
      <c r="AG72">
        <v>20.596516986282854</v>
      </c>
      <c r="AH72">
        <v>5.6094269057308592</v>
      </c>
      <c r="AI72">
        <v>2.1460255955493839</v>
      </c>
      <c r="AK72">
        <v>46.979828141014217</v>
      </c>
    </row>
    <row r="73" spans="1:37" x14ac:dyDescent="0.2">
      <c r="A73">
        <v>72</v>
      </c>
      <c r="B73">
        <v>762</v>
      </c>
      <c r="C73">
        <v>175</v>
      </c>
      <c r="D73">
        <v>0.41261701202724399</v>
      </c>
      <c r="E73">
        <v>143.63703487425067</v>
      </c>
      <c r="F73">
        <v>62.225062484492007</v>
      </c>
      <c r="G73">
        <v>71.683031423535255</v>
      </c>
      <c r="H73">
        <v>67.09101971487614</v>
      </c>
      <c r="J73">
        <v>51.718751172412681</v>
      </c>
      <c r="L73">
        <v>6.4416484977575532</v>
      </c>
      <c r="M73">
        <v>14.643956109671239</v>
      </c>
      <c r="N73">
        <v>2.2004310737806381</v>
      </c>
      <c r="O73">
        <v>24.181241444371764</v>
      </c>
      <c r="P73">
        <v>10.577652526609436</v>
      </c>
      <c r="R73">
        <v>14.269632074836032</v>
      </c>
      <c r="S73">
        <v>36.970423630198873</v>
      </c>
      <c r="U73">
        <v>2.7769433277860718</v>
      </c>
      <c r="V73">
        <v>43.492818320594935</v>
      </c>
      <c r="W73">
        <v>25.421435525378964</v>
      </c>
      <c r="X73">
        <v>45.871044283556529</v>
      </c>
      <c r="Y73">
        <v>7.0977060927823823</v>
      </c>
      <c r="Z73">
        <v>34.174223903622469</v>
      </c>
      <c r="AA73">
        <v>4.4050203306610713</v>
      </c>
      <c r="AB73">
        <v>34.906900528416578</v>
      </c>
      <c r="AD73">
        <v>9.1172728098083766</v>
      </c>
      <c r="AE73">
        <v>15.607972016158051</v>
      </c>
      <c r="AF73">
        <v>14.265007284783701</v>
      </c>
      <c r="AG73">
        <v>20.512003476716892</v>
      </c>
      <c r="AH73">
        <v>5.3658087303775073</v>
      </c>
      <c r="AI73">
        <v>2.1373222876121298</v>
      </c>
      <c r="AK73">
        <v>46.924800850062752</v>
      </c>
    </row>
    <row r="74" spans="1:37" x14ac:dyDescent="0.2">
      <c r="A74">
        <v>73</v>
      </c>
      <c r="B74">
        <v>761</v>
      </c>
      <c r="C74">
        <v>175</v>
      </c>
      <c r="D74">
        <v>0.411981337330175</v>
      </c>
      <c r="E74">
        <v>143.44392987996773</v>
      </c>
      <c r="F74">
        <v>61.382583799118336</v>
      </c>
      <c r="G74">
        <v>71.538022561871855</v>
      </c>
      <c r="H74">
        <v>66.943510967105098</v>
      </c>
      <c r="J74">
        <v>51.555017705719713</v>
      </c>
      <c r="L74">
        <v>4.9803844015646934</v>
      </c>
      <c r="M74">
        <v>14.655171253292204</v>
      </c>
      <c r="N74">
        <v>2.2024073616914643</v>
      </c>
      <c r="O74">
        <v>23.263272764677325</v>
      </c>
      <c r="P74">
        <v>10.311022855773656</v>
      </c>
      <c r="R74">
        <v>13.992568051578088</v>
      </c>
      <c r="S74">
        <v>36.611627811421805</v>
      </c>
      <c r="U74">
        <v>2.7427595996947183</v>
      </c>
      <c r="V74">
        <v>43.495110866297566</v>
      </c>
      <c r="W74">
        <v>25.211373039532276</v>
      </c>
      <c r="X74">
        <v>45.813409569740003</v>
      </c>
      <c r="Y74">
        <v>6.849276198914926</v>
      </c>
      <c r="Z74">
        <v>33.732833766293112</v>
      </c>
      <c r="AA74">
        <v>4.1760355547409418</v>
      </c>
      <c r="AB74">
        <v>34.811784221314902</v>
      </c>
      <c r="AD74">
        <v>8.8551098276670359</v>
      </c>
      <c r="AE74">
        <v>15.43891665241693</v>
      </c>
      <c r="AF74">
        <v>14.275091393588983</v>
      </c>
      <c r="AG74">
        <v>20.40201734245111</v>
      </c>
      <c r="AH74">
        <v>4.9981534169710757</v>
      </c>
      <c r="AI74">
        <v>2.1390201087722049</v>
      </c>
      <c r="AK74">
        <v>46.815050108352807</v>
      </c>
    </row>
    <row r="75" spans="1:37" x14ac:dyDescent="0.2">
      <c r="A75">
        <v>74</v>
      </c>
      <c r="B75">
        <v>760</v>
      </c>
      <c r="C75">
        <v>175</v>
      </c>
      <c r="D75">
        <v>0.41134443207665999</v>
      </c>
      <c r="E75">
        <v>143.25113819458619</v>
      </c>
      <c r="F75">
        <v>60.53641532620594</v>
      </c>
      <c r="G75">
        <v>71.391641041468787</v>
      </c>
      <c r="H75">
        <v>66.79464249749897</v>
      </c>
      <c r="J75">
        <v>51.386689296926548</v>
      </c>
      <c r="L75">
        <v>4.7621732036148492</v>
      </c>
      <c r="M75">
        <v>14.667533258301521</v>
      </c>
      <c r="N75">
        <v>2.2043831804596028</v>
      </c>
      <c r="O75">
        <v>22.337394003363812</v>
      </c>
      <c r="P75">
        <v>10.041655021409609</v>
      </c>
      <c r="R75">
        <v>13.709550516226843</v>
      </c>
      <c r="S75">
        <v>36.241184082970747</v>
      </c>
      <c r="U75">
        <v>2.7107512273155061</v>
      </c>
      <c r="V75">
        <v>43.492986843766786</v>
      </c>
      <c r="W75">
        <v>25.003389019832191</v>
      </c>
      <c r="X75">
        <v>45.762265673515131</v>
      </c>
      <c r="Y75">
        <v>6.5982218237089887</v>
      </c>
      <c r="Z75">
        <v>33.289111849569579</v>
      </c>
      <c r="AA75">
        <v>3.9445224071855409</v>
      </c>
      <c r="AB75">
        <v>34.711276684733186</v>
      </c>
      <c r="AD75">
        <v>8.5908053797791357</v>
      </c>
      <c r="AE75">
        <v>15.269657070601363</v>
      </c>
      <c r="AF75">
        <v>14.286322187637618</v>
      </c>
      <c r="AG75">
        <v>20.286642001529071</v>
      </c>
      <c r="AH75">
        <v>4.6263090592696274</v>
      </c>
      <c r="AI75">
        <v>2.1407166390763503</v>
      </c>
      <c r="AK75">
        <v>46.703928220650312</v>
      </c>
    </row>
    <row r="76" spans="1:37" x14ac:dyDescent="0.2">
      <c r="A76">
        <v>75</v>
      </c>
      <c r="B76">
        <v>759</v>
      </c>
      <c r="C76">
        <v>175</v>
      </c>
      <c r="D76">
        <v>0.41070629269001901</v>
      </c>
      <c r="E76">
        <v>143.05849263040096</v>
      </c>
      <c r="F76">
        <v>59.684915035354599</v>
      </c>
      <c r="G76">
        <v>71.243601565425607</v>
      </c>
      <c r="H76">
        <v>66.64412902979538</v>
      </c>
      <c r="J76">
        <v>51.212670082057969</v>
      </c>
      <c r="L76">
        <v>4.5401383586975461</v>
      </c>
      <c r="M76">
        <v>14.681105973359744</v>
      </c>
      <c r="N76">
        <v>2.206358493648688</v>
      </c>
      <c r="O76">
        <v>21.401682043312913</v>
      </c>
      <c r="P76">
        <v>9.7689784156942121</v>
      </c>
      <c r="R76">
        <v>13.419771152662168</v>
      </c>
      <c r="S76">
        <v>35.85690946610702</v>
      </c>
      <c r="U76">
        <v>2.6810667374603883</v>
      </c>
      <c r="V76">
        <v>43.485818028002598</v>
      </c>
      <c r="W76">
        <v>24.797528478594089</v>
      </c>
      <c r="X76">
        <v>45.718050793860954</v>
      </c>
      <c r="Y76">
        <v>6.3439780855445518</v>
      </c>
      <c r="Z76">
        <v>32.841949404390171</v>
      </c>
      <c r="AA76">
        <v>3.7098553507789838</v>
      </c>
      <c r="AB76">
        <v>34.604281755818597</v>
      </c>
      <c r="AD76">
        <v>8.3237039364621168</v>
      </c>
      <c r="AE76">
        <v>15.099741548492112</v>
      </c>
      <c r="AF76">
        <v>14.298763484703317</v>
      </c>
      <c r="AG76">
        <v>20.164781260503307</v>
      </c>
      <c r="AH76">
        <v>4.2494316133469594</v>
      </c>
      <c r="AI76">
        <v>2.1424118402512837</v>
      </c>
      <c r="AK76">
        <v>46.590919496735687</v>
      </c>
    </row>
    <row r="77" spans="1:37" x14ac:dyDescent="0.2">
      <c r="A77">
        <v>76</v>
      </c>
      <c r="B77">
        <v>758</v>
      </c>
      <c r="C77">
        <v>175</v>
      </c>
      <c r="D77">
        <v>0.41006691557969399</v>
      </c>
      <c r="E77">
        <v>142.84384538337625</v>
      </c>
      <c r="F77">
        <v>58.658015334505052</v>
      </c>
      <c r="G77">
        <v>71.069021587530472</v>
      </c>
      <c r="H77">
        <v>66.467088038459281</v>
      </c>
      <c r="J77">
        <v>50.950515645506208</v>
      </c>
      <c r="L77">
        <v>4.2666974298192359</v>
      </c>
      <c r="M77">
        <v>14.69476563900624</v>
      </c>
      <c r="N77">
        <v>2.2083317114896883</v>
      </c>
      <c r="O77">
        <v>20.282358076994619</v>
      </c>
      <c r="P77">
        <v>9.4432263789085233</v>
      </c>
      <c r="R77">
        <v>13.053605188540775</v>
      </c>
      <c r="S77">
        <v>35.339686910186451</v>
      </c>
      <c r="U77">
        <v>2.6558836761731426</v>
      </c>
      <c r="V77">
        <v>43.454493590715558</v>
      </c>
      <c r="W77">
        <v>24.595555424106774</v>
      </c>
      <c r="X77">
        <v>45.686939517318578</v>
      </c>
      <c r="Y77">
        <v>6.036753681421084</v>
      </c>
      <c r="Z77">
        <v>32.276488468230092</v>
      </c>
      <c r="AA77">
        <v>3.4237235691308889</v>
      </c>
      <c r="AB77">
        <v>34.429286252338521</v>
      </c>
      <c r="AD77">
        <v>7.9880872069568039</v>
      </c>
      <c r="AE77">
        <v>14.878048889369358</v>
      </c>
      <c r="AF77">
        <v>14.311289941114545</v>
      </c>
      <c r="AG77">
        <v>19.974920353225983</v>
      </c>
      <c r="AH77">
        <v>3.7920093283561283</v>
      </c>
      <c r="AI77">
        <v>2.1441041206903564</v>
      </c>
      <c r="AK77">
        <v>46.42452557790665</v>
      </c>
    </row>
    <row r="78" spans="1:37" x14ac:dyDescent="0.2">
      <c r="A78">
        <v>77</v>
      </c>
      <c r="B78">
        <v>757</v>
      </c>
      <c r="C78">
        <v>175</v>
      </c>
      <c r="D78">
        <v>0.40942629714119499</v>
      </c>
      <c r="E78">
        <v>141.9509233470294</v>
      </c>
      <c r="F78">
        <v>52.407288268393302</v>
      </c>
      <c r="G78">
        <v>70.134592973764526</v>
      </c>
      <c r="H78">
        <v>65.530211410189978</v>
      </c>
      <c r="J78">
        <v>48.161868026527344</v>
      </c>
      <c r="L78">
        <v>2.5308397026494021</v>
      </c>
      <c r="M78">
        <v>14.663461570428762</v>
      </c>
      <c r="N78">
        <v>2.2102546473382731</v>
      </c>
      <c r="O78">
        <v>13.843839473407542</v>
      </c>
      <c r="P78">
        <v>7.5977344789099597</v>
      </c>
      <c r="R78">
        <v>10.548925760243053</v>
      </c>
      <c r="S78">
        <v>31.23300203515922</v>
      </c>
      <c r="U78">
        <v>2.6900853093208963</v>
      </c>
      <c r="V78">
        <v>42.860930150229073</v>
      </c>
      <c r="W78">
        <v>24.455661766142352</v>
      </c>
      <c r="X78">
        <v>45.823421587174494</v>
      </c>
      <c r="Y78">
        <v>4.2072805378882334</v>
      </c>
      <c r="Z78">
        <v>28.140209118185034</v>
      </c>
      <c r="AA78">
        <v>1.652028995467139</v>
      </c>
      <c r="AB78">
        <v>32.385464325563362</v>
      </c>
      <c r="AD78">
        <v>5.5946465659985538</v>
      </c>
      <c r="AE78">
        <v>13.068718095269409</v>
      </c>
      <c r="AF78">
        <v>14.278802690988575</v>
      </c>
      <c r="AG78">
        <v>17.916185250199483</v>
      </c>
      <c r="AH78">
        <v>1.0099319842108332</v>
      </c>
      <c r="AI78">
        <v>2.145745291910925</v>
      </c>
      <c r="AK78">
        <v>44.667512229226666</v>
      </c>
    </row>
    <row r="79" spans="1:37" x14ac:dyDescent="0.2">
      <c r="A79">
        <v>78</v>
      </c>
      <c r="B79">
        <v>756</v>
      </c>
      <c r="C79">
        <v>175</v>
      </c>
      <c r="D79">
        <v>0.40878443375601398</v>
      </c>
      <c r="E79">
        <v>142.31239553041934</v>
      </c>
      <c r="F79">
        <v>50.682077715572596</v>
      </c>
      <c r="G79">
        <v>70.355689006815552</v>
      </c>
      <c r="H79">
        <v>65.748872448432607</v>
      </c>
      <c r="J79">
        <v>35.624586976542076</v>
      </c>
      <c r="L79">
        <v>1.4369517504891591</v>
      </c>
      <c r="M79">
        <v>14.611864992172301</v>
      </c>
      <c r="N79">
        <v>2.2122557112998038</v>
      </c>
      <c r="O79">
        <v>7.8312485132363818</v>
      </c>
      <c r="P79">
        <v>8.0633777137803531</v>
      </c>
      <c r="R79">
        <v>9.5275548667856107</v>
      </c>
      <c r="S79">
        <v>27.138758765782548</v>
      </c>
      <c r="U79">
        <v>2.8118827821165504</v>
      </c>
      <c r="V79">
        <v>42.294669776079772</v>
      </c>
      <c r="W79">
        <v>24.252511728280805</v>
      </c>
      <c r="X79">
        <v>46.210942974406414</v>
      </c>
      <c r="Y79">
        <v>3.608542194717701</v>
      </c>
      <c r="Z79">
        <v>23.005617175726169</v>
      </c>
      <c r="AB79">
        <v>28.574594919762884</v>
      </c>
      <c r="AD79">
        <v>3.0983027370536105</v>
      </c>
      <c r="AE79">
        <v>9.809378327240827</v>
      </c>
      <c r="AF79">
        <v>14.226101374562532</v>
      </c>
      <c r="AG79">
        <v>14.090483311694438</v>
      </c>
      <c r="AI79">
        <v>2.147463762180152</v>
      </c>
      <c r="AK79">
        <v>36.517026613437729</v>
      </c>
    </row>
    <row r="80" spans="1:37" x14ac:dyDescent="0.2">
      <c r="A80">
        <v>79</v>
      </c>
      <c r="B80">
        <v>755</v>
      </c>
      <c r="C80">
        <v>175</v>
      </c>
      <c r="D80">
        <v>0.40814132179156798</v>
      </c>
      <c r="E80">
        <v>142.61511674849004</v>
      </c>
      <c r="F80">
        <v>49.724184647706963</v>
      </c>
      <c r="G80">
        <v>70.533512311151952</v>
      </c>
      <c r="H80">
        <v>65.924273798453385</v>
      </c>
      <c r="J80">
        <v>24.824090350306825</v>
      </c>
      <c r="L80">
        <v>1.4620222056096099</v>
      </c>
      <c r="M80">
        <v>14.418639056332019</v>
      </c>
      <c r="N80">
        <v>2.2142569974123858</v>
      </c>
      <c r="O80">
        <v>7.4866154212603506</v>
      </c>
      <c r="P80">
        <v>8.442483449154734</v>
      </c>
      <c r="R80">
        <v>9.5157073405710442</v>
      </c>
      <c r="S80">
        <v>26.751976767892806</v>
      </c>
      <c r="U80">
        <v>2.8484223453251376</v>
      </c>
      <c r="V80">
        <v>42.399710462366947</v>
      </c>
      <c r="W80">
        <v>23.951287954386558</v>
      </c>
      <c r="X80">
        <v>46.354114009987413</v>
      </c>
      <c r="Y80">
        <v>3.6094129687776788</v>
      </c>
      <c r="Z80">
        <v>19.278859520279354</v>
      </c>
      <c r="AB80">
        <v>26.273694540147751</v>
      </c>
      <c r="AD80">
        <v>1.3062251076619598</v>
      </c>
      <c r="AE80">
        <v>7.564668834347172</v>
      </c>
      <c r="AF80">
        <v>14.031771243567045</v>
      </c>
      <c r="AG80">
        <v>11.774753142871985</v>
      </c>
      <c r="AI80">
        <v>2.1491816236972467</v>
      </c>
      <c r="AK80">
        <v>29.359247576378465</v>
      </c>
    </row>
    <row r="81" spans="1:37" x14ac:dyDescent="0.2">
      <c r="A81">
        <v>80</v>
      </c>
      <c r="B81">
        <v>754</v>
      </c>
      <c r="C81">
        <v>175</v>
      </c>
      <c r="D81">
        <v>0.40749695760112897</v>
      </c>
      <c r="E81">
        <v>142.79802792786612</v>
      </c>
      <c r="F81">
        <v>49.551521949363561</v>
      </c>
      <c r="G81">
        <v>70.606369265930283</v>
      </c>
      <c r="H81">
        <v>65.994721860248148</v>
      </c>
      <c r="J81">
        <v>18.505761219360195</v>
      </c>
      <c r="L81">
        <v>1.4824340948314347</v>
      </c>
      <c r="M81">
        <v>14.171526749561846</v>
      </c>
      <c r="N81">
        <v>2.2162515734093806</v>
      </c>
      <c r="O81">
        <v>7.2834854358187942</v>
      </c>
      <c r="P81">
        <v>8.6116575338083514</v>
      </c>
      <c r="R81">
        <v>9.4185283130084425</v>
      </c>
      <c r="S81">
        <v>26.749879176818386</v>
      </c>
      <c r="U81">
        <v>2.8436229885354449</v>
      </c>
      <c r="V81">
        <v>42.695182913977</v>
      </c>
      <c r="W81">
        <v>23.616250742226605</v>
      </c>
      <c r="X81">
        <v>46.379049060610896</v>
      </c>
      <c r="Y81">
        <v>3.5083171536525026</v>
      </c>
      <c r="Z81">
        <v>17.758673348459464</v>
      </c>
      <c r="AB81">
        <v>25.523007108487501</v>
      </c>
      <c r="AD81">
        <v>0.53034621036077778</v>
      </c>
      <c r="AE81">
        <v>6.6597153436439234</v>
      </c>
      <c r="AF81">
        <v>13.783548358000976</v>
      </c>
      <c r="AG81">
        <v>11.009231739168147</v>
      </c>
      <c r="AI81">
        <v>2.1508919423573727</v>
      </c>
      <c r="AK81">
        <v>25.119393470899396</v>
      </c>
    </row>
    <row r="82" spans="1:37" x14ac:dyDescent="0.2">
      <c r="A82">
        <v>81</v>
      </c>
      <c r="B82">
        <v>776</v>
      </c>
      <c r="C82">
        <v>150</v>
      </c>
      <c r="D82">
        <v>0.447600915026452</v>
      </c>
      <c r="E82">
        <v>130.41598785502873</v>
      </c>
      <c r="F82">
        <v>66.205260860912205</v>
      </c>
      <c r="G82">
        <v>72.483117606242146</v>
      </c>
      <c r="H82">
        <v>67.926520188410251</v>
      </c>
      <c r="J82">
        <v>51.917561155819946</v>
      </c>
      <c r="L82">
        <v>7.2765460229298915</v>
      </c>
      <c r="M82">
        <v>15.082392464826452</v>
      </c>
      <c r="N82">
        <v>2.1914786608436692</v>
      </c>
      <c r="O82">
        <v>29.87004728374723</v>
      </c>
      <c r="P82">
        <v>11.728889644917196</v>
      </c>
      <c r="Q82">
        <v>5.8397279443847878E-2</v>
      </c>
      <c r="R82">
        <v>16.52459268709201</v>
      </c>
      <c r="S82">
        <v>40.72454439686863</v>
      </c>
      <c r="U82">
        <v>3.5533096264731054</v>
      </c>
      <c r="V82">
        <v>43.619109121307815</v>
      </c>
      <c r="W82">
        <v>28.415035783646445</v>
      </c>
      <c r="X82">
        <v>45.693461717795188</v>
      </c>
      <c r="Y82">
        <v>8.0378171473777442</v>
      </c>
      <c r="Z82">
        <v>36.643098409165319</v>
      </c>
      <c r="AA82">
        <v>5.440825941320516</v>
      </c>
      <c r="AB82">
        <v>36.330594066833683</v>
      </c>
      <c r="AC82">
        <v>0.11013127350223612</v>
      </c>
      <c r="AD82">
        <v>10.265959357320208</v>
      </c>
      <c r="AE82">
        <v>16.991889089978184</v>
      </c>
      <c r="AF82">
        <v>14.815206932685074</v>
      </c>
      <c r="AG82">
        <v>22.270177309768101</v>
      </c>
      <c r="AH82">
        <v>6.4924264886279701</v>
      </c>
      <c r="AI82">
        <v>2.1291925319772993</v>
      </c>
      <c r="AK82">
        <v>46.480095019910586</v>
      </c>
    </row>
    <row r="83" spans="1:37" x14ac:dyDescent="0.2">
      <c r="A83">
        <v>82</v>
      </c>
      <c r="B83">
        <v>775</v>
      </c>
      <c r="C83">
        <v>150</v>
      </c>
      <c r="D83">
        <v>0.44700710776129698</v>
      </c>
      <c r="E83">
        <v>130.31512423657676</v>
      </c>
      <c r="F83">
        <v>65.896131371984666</v>
      </c>
      <c r="G83">
        <v>72.430294895344133</v>
      </c>
      <c r="H83">
        <v>67.871008409029528</v>
      </c>
      <c r="J83">
        <v>51.8714399991199</v>
      </c>
      <c r="L83">
        <v>7.1988379743508881</v>
      </c>
      <c r="M83">
        <v>15.036766024603375</v>
      </c>
      <c r="N83">
        <v>2.1849081992133081</v>
      </c>
      <c r="O83">
        <v>29.516521759769308</v>
      </c>
      <c r="P83">
        <v>11.637971589326268</v>
      </c>
      <c r="Q83">
        <v>7.8193118110802401E-3</v>
      </c>
      <c r="R83">
        <v>16.35346971422705</v>
      </c>
      <c r="S83">
        <v>40.398725006252057</v>
      </c>
      <c r="U83">
        <v>3.4923195279061741</v>
      </c>
      <c r="V83">
        <v>43.547209877274987</v>
      </c>
      <c r="W83">
        <v>28.249752611006194</v>
      </c>
      <c r="X83">
        <v>45.557597879218449</v>
      </c>
      <c r="Y83">
        <v>7.9641392840961229</v>
      </c>
      <c r="Z83">
        <v>36.47465970288917</v>
      </c>
      <c r="AA83">
        <v>5.367243026624485</v>
      </c>
      <c r="AB83">
        <v>36.220164292923478</v>
      </c>
      <c r="AC83">
        <v>0.10157343583912871</v>
      </c>
      <c r="AD83">
        <v>10.181552917569913</v>
      </c>
      <c r="AE83">
        <v>16.912413288911921</v>
      </c>
      <c r="AF83">
        <v>14.759895559934867</v>
      </c>
      <c r="AG83">
        <v>22.136329557486405</v>
      </c>
      <c r="AH83">
        <v>6.3870331649027845</v>
      </c>
      <c r="AI83">
        <v>2.122356042620007</v>
      </c>
      <c r="AK83">
        <v>46.484902397241548</v>
      </c>
    </row>
    <row r="84" spans="1:37" x14ac:dyDescent="0.2">
      <c r="A84">
        <v>83</v>
      </c>
      <c r="B84">
        <v>774</v>
      </c>
      <c r="C84">
        <v>150</v>
      </c>
      <c r="D84">
        <v>0.44641216635630598</v>
      </c>
      <c r="E84">
        <v>130.21025142518795</v>
      </c>
      <c r="F84">
        <v>65.497776949997231</v>
      </c>
      <c r="G84">
        <v>72.360520494860921</v>
      </c>
      <c r="H84">
        <v>67.798557594546907</v>
      </c>
      <c r="J84">
        <v>51.835767518484758</v>
      </c>
      <c r="L84">
        <v>7.1495598450275262</v>
      </c>
      <c r="M84">
        <v>15.04294473695183</v>
      </c>
      <c r="N84">
        <v>2.1709127668830068</v>
      </c>
      <c r="O84">
        <v>29.015348802228171</v>
      </c>
      <c r="P84">
        <v>11.505732496318762</v>
      </c>
      <c r="R84">
        <v>16.209129815371845</v>
      </c>
      <c r="S84">
        <v>40.236411486264181</v>
      </c>
      <c r="U84">
        <v>3.4697076802934101</v>
      </c>
      <c r="V84">
        <v>43.560822689431618</v>
      </c>
      <c r="W84">
        <v>28.130383492735731</v>
      </c>
      <c r="X84">
        <v>45.548648487215196</v>
      </c>
      <c r="Y84">
        <v>7.8531670253654635</v>
      </c>
      <c r="Z84">
        <v>36.257572298382549</v>
      </c>
      <c r="AA84">
        <v>5.2573841463197244</v>
      </c>
      <c r="AB84">
        <v>36.171637713166959</v>
      </c>
      <c r="AC84">
        <v>8.5590778537534065E-2</v>
      </c>
      <c r="AD84">
        <v>10.066669195951045</v>
      </c>
      <c r="AE84">
        <v>16.817429635421373</v>
      </c>
      <c r="AF84">
        <v>14.748964591717082</v>
      </c>
      <c r="AG84">
        <v>22.056962440787178</v>
      </c>
      <c r="AH84">
        <v>6.2369634883797955</v>
      </c>
      <c r="AI84">
        <v>2.1080937865304032</v>
      </c>
      <c r="AK84">
        <v>46.470834442540173</v>
      </c>
    </row>
    <row r="85" spans="1:37" x14ac:dyDescent="0.2">
      <c r="A85">
        <v>84</v>
      </c>
      <c r="B85">
        <v>773</v>
      </c>
      <c r="C85">
        <v>150</v>
      </c>
      <c r="D85">
        <v>0.44581608755914398</v>
      </c>
      <c r="E85">
        <v>130.10512349624901</v>
      </c>
      <c r="F85">
        <v>65.086668580653793</v>
      </c>
      <c r="G85">
        <v>72.288155188606552</v>
      </c>
      <c r="H85">
        <v>67.723528548865545</v>
      </c>
      <c r="J85">
        <v>51.801489903547541</v>
      </c>
      <c r="L85">
        <v>5.8684391558947899</v>
      </c>
      <c r="M85">
        <v>15.057215573691629</v>
      </c>
      <c r="N85">
        <v>2.1557714177890128</v>
      </c>
      <c r="O85">
        <v>28.491730735987968</v>
      </c>
      <c r="P85">
        <v>11.36717300902926</v>
      </c>
      <c r="R85">
        <v>16.068197272112787</v>
      </c>
      <c r="S85">
        <v>40.097845572931455</v>
      </c>
      <c r="U85">
        <v>3.4533350431906351</v>
      </c>
      <c r="V85">
        <v>43.586802500381452</v>
      </c>
      <c r="W85">
        <v>28.018490351909705</v>
      </c>
      <c r="X85">
        <v>45.560358093212962</v>
      </c>
      <c r="Y85">
        <v>7.7364422457098572</v>
      </c>
      <c r="Z85">
        <v>36.033321453383387</v>
      </c>
      <c r="AA85">
        <v>5.1419988143640802</v>
      </c>
      <c r="AB85">
        <v>36.131827974686004</v>
      </c>
      <c r="AC85">
        <v>6.8462355095162658E-2</v>
      </c>
      <c r="AD85">
        <v>9.9471559685176327</v>
      </c>
      <c r="AE85">
        <v>16.720260475751711</v>
      </c>
      <c r="AF85">
        <v>14.744980059161747</v>
      </c>
      <c r="AG85">
        <v>21.985168666318121</v>
      </c>
      <c r="AH85">
        <v>6.0799433929702635</v>
      </c>
      <c r="AI85">
        <v>2.0926848158138718</v>
      </c>
      <c r="AK85">
        <v>46.454024680276511</v>
      </c>
    </row>
    <row r="86" spans="1:37" x14ac:dyDescent="0.2">
      <c r="A86">
        <v>85</v>
      </c>
      <c r="B86">
        <v>772</v>
      </c>
      <c r="C86">
        <v>150</v>
      </c>
      <c r="D86">
        <v>0.44521886810505501</v>
      </c>
      <c r="E86">
        <v>130.00038514048398</v>
      </c>
      <c r="F86">
        <v>64.676573073205944</v>
      </c>
      <c r="G86">
        <v>72.215803015447207</v>
      </c>
      <c r="H86">
        <v>67.648525330978899</v>
      </c>
      <c r="J86">
        <v>51.767013958771599</v>
      </c>
      <c r="L86">
        <v>5.7612597918152391</v>
      </c>
      <c r="M86">
        <v>15.071649313841579</v>
      </c>
      <c r="N86">
        <v>2.1406213535399496</v>
      </c>
      <c r="O86">
        <v>27.968339481956352</v>
      </c>
      <c r="P86">
        <v>11.228638428426963</v>
      </c>
      <c r="R86">
        <v>15.926534582860656</v>
      </c>
      <c r="S86">
        <v>39.957856373530547</v>
      </c>
      <c r="U86">
        <v>3.4373356030753945</v>
      </c>
      <c r="V86">
        <v>43.611979714242899</v>
      </c>
      <c r="W86">
        <v>27.907075244237895</v>
      </c>
      <c r="X86">
        <v>45.573359610710085</v>
      </c>
      <c r="Y86">
        <v>7.6196846269528926</v>
      </c>
      <c r="Z86">
        <v>35.809392634990218</v>
      </c>
      <c r="AA86">
        <v>5.0265586027770626</v>
      </c>
      <c r="AB86">
        <v>36.091178054235016</v>
      </c>
      <c r="AC86">
        <v>5.1325366681403889E-2</v>
      </c>
      <c r="AD86">
        <v>9.8276944637512553</v>
      </c>
      <c r="AE86">
        <v>16.623296688422794</v>
      </c>
      <c r="AF86">
        <v>14.741149948285857</v>
      </c>
      <c r="AG86">
        <v>21.912528418041827</v>
      </c>
      <c r="AH86">
        <v>5.922825918921065</v>
      </c>
      <c r="AI86">
        <v>2.0772663302468923</v>
      </c>
      <c r="AK86">
        <v>46.437393630876315</v>
      </c>
    </row>
    <row r="87" spans="1:37" x14ac:dyDescent="0.2">
      <c r="A87">
        <v>86</v>
      </c>
      <c r="B87">
        <v>771</v>
      </c>
      <c r="C87">
        <v>150</v>
      </c>
      <c r="D87">
        <v>0.44462050471675502</v>
      </c>
      <c r="E87">
        <v>129.8960389413069</v>
      </c>
      <c r="F87">
        <v>64.267504137532725</v>
      </c>
      <c r="G87">
        <v>72.143467847103935</v>
      </c>
      <c r="H87">
        <v>67.573551832774868</v>
      </c>
      <c r="J87">
        <v>51.732331322152604</v>
      </c>
      <c r="L87">
        <v>5.6538373149498442</v>
      </c>
      <c r="M87">
        <v>15.08624131963761</v>
      </c>
      <c r="N87">
        <v>2.1254626970716783</v>
      </c>
      <c r="O87">
        <v>27.445194445338121</v>
      </c>
      <c r="P87">
        <v>11.090136642581481</v>
      </c>
      <c r="R87">
        <v>15.78415331141621</v>
      </c>
      <c r="S87">
        <v>39.81640525263753</v>
      </c>
      <c r="U87">
        <v>3.4217059578665738</v>
      </c>
      <c r="V87">
        <v>43.636338667707406</v>
      </c>
      <c r="W87">
        <v>27.796139445733214</v>
      </c>
      <c r="X87">
        <v>45.587643440415903</v>
      </c>
      <c r="Y87">
        <v>7.50290084099856</v>
      </c>
      <c r="Z87">
        <v>35.585786917339952</v>
      </c>
      <c r="AA87">
        <v>4.9110705821392111</v>
      </c>
      <c r="AB87">
        <v>36.049664248515228</v>
      </c>
      <c r="AC87">
        <v>3.417993579311597E-2</v>
      </c>
      <c r="AD87">
        <v>9.7082892027049628</v>
      </c>
      <c r="AE87">
        <v>16.526534925881773</v>
      </c>
      <c r="AF87">
        <v>14.737469749659031</v>
      </c>
      <c r="AG87">
        <v>21.839018121220704</v>
      </c>
      <c r="AH87">
        <v>5.7656229204468374</v>
      </c>
      <c r="AI87">
        <v>2.0618384509330645</v>
      </c>
      <c r="AK87">
        <v>46.420942562766484</v>
      </c>
    </row>
    <row r="88" spans="1:37" x14ac:dyDescent="0.2">
      <c r="A88">
        <v>87</v>
      </c>
      <c r="B88">
        <v>770</v>
      </c>
      <c r="C88">
        <v>150</v>
      </c>
      <c r="D88">
        <v>0.44402099410439499</v>
      </c>
      <c r="E88">
        <v>129.79208742359725</v>
      </c>
      <c r="F88">
        <v>63.859475215070127</v>
      </c>
      <c r="G88">
        <v>72.071153579924371</v>
      </c>
      <c r="H88">
        <v>67.498611970806607</v>
      </c>
      <c r="J88">
        <v>51.697433846842145</v>
      </c>
      <c r="L88">
        <v>5.546101980377105</v>
      </c>
      <c r="M88">
        <v>15.100986789104159</v>
      </c>
      <c r="N88">
        <v>2.1102955610226575</v>
      </c>
      <c r="O88">
        <v>26.92231504210822</v>
      </c>
      <c r="P88">
        <v>10.951675578574363</v>
      </c>
      <c r="R88">
        <v>15.641065215663566</v>
      </c>
      <c r="S88">
        <v>39.673454719282134</v>
      </c>
      <c r="U88">
        <v>3.4064425401386855</v>
      </c>
      <c r="V88">
        <v>43.65986423753052</v>
      </c>
      <c r="W88">
        <v>27.685684143497891</v>
      </c>
      <c r="X88">
        <v>45.603199495096426</v>
      </c>
      <c r="Y88">
        <v>7.3860976089521211</v>
      </c>
      <c r="Z88">
        <v>35.362505087807477</v>
      </c>
      <c r="AA88">
        <v>4.7955418148177706</v>
      </c>
      <c r="AB88">
        <v>36.007263371177785</v>
      </c>
      <c r="AC88">
        <v>1.7026174629989101E-2</v>
      </c>
      <c r="AD88">
        <v>9.5889446409221648</v>
      </c>
      <c r="AE88">
        <v>16.429971635803113</v>
      </c>
      <c r="AF88">
        <v>14.733934779357126</v>
      </c>
      <c r="AG88">
        <v>21.764614707784794</v>
      </c>
      <c r="AH88">
        <v>5.608346284116668</v>
      </c>
      <c r="AI88">
        <v>2.0464012886785876</v>
      </c>
      <c r="AK88">
        <v>46.404672646981773</v>
      </c>
    </row>
    <row r="89" spans="1:37" x14ac:dyDescent="0.2">
      <c r="A89">
        <v>88</v>
      </c>
      <c r="B89">
        <v>769</v>
      </c>
      <c r="C89">
        <v>150</v>
      </c>
      <c r="D89">
        <v>0.44342033296550898</v>
      </c>
      <c r="E89">
        <v>129.68853305772743</v>
      </c>
      <c r="F89">
        <v>63.45249945447565</v>
      </c>
      <c r="G89">
        <v>71.998864128611984</v>
      </c>
      <c r="H89">
        <v>67.423709680021275</v>
      </c>
      <c r="J89">
        <v>51.662313583766021</v>
      </c>
      <c r="L89">
        <v>5.4381162836704755</v>
      </c>
      <c r="M89">
        <v>15.115880761133369</v>
      </c>
      <c r="N89">
        <v>2.0951200445376483</v>
      </c>
      <c r="O89">
        <v>26.39972064906549</v>
      </c>
      <c r="P89">
        <v>10.813263186765329</v>
      </c>
      <c r="R89">
        <v>15.497282204448874</v>
      </c>
      <c r="S89">
        <v>39.528968418649107</v>
      </c>
      <c r="U89">
        <v>3.391541629862513</v>
      </c>
      <c r="V89">
        <v>43.682541833268139</v>
      </c>
      <c r="W89">
        <v>27.575710451382559</v>
      </c>
      <c r="X89">
        <v>45.620017239745884</v>
      </c>
      <c r="Y89">
        <v>7.2692816877853756</v>
      </c>
      <c r="Z89">
        <v>35.139547626856974</v>
      </c>
      <c r="AA89">
        <v>4.6799793383540749</v>
      </c>
      <c r="AB89">
        <v>35.963952746113137</v>
      </c>
      <c r="AD89">
        <v>9.469665156327963</v>
      </c>
      <c r="AE89">
        <v>16.333603053939182</v>
      </c>
      <c r="AF89">
        <v>14.730540180841887</v>
      </c>
      <c r="AG89">
        <v>21.689295606425564</v>
      </c>
      <c r="AH89">
        <v>5.4510079115592278</v>
      </c>
      <c r="AI89">
        <v>2.0309549407944463</v>
      </c>
      <c r="AK89">
        <v>46.388584945466476</v>
      </c>
    </row>
    <row r="90" spans="1:37" x14ac:dyDescent="0.2">
      <c r="A90">
        <v>89</v>
      </c>
      <c r="B90">
        <v>768</v>
      </c>
      <c r="C90">
        <v>150</v>
      </c>
      <c r="D90">
        <v>0.442818517984921</v>
      </c>
      <c r="E90">
        <v>129.5003278998627</v>
      </c>
      <c r="F90">
        <v>62.625904778437167</v>
      </c>
      <c r="G90">
        <v>71.855586754488428</v>
      </c>
      <c r="H90">
        <v>67.277832242023337</v>
      </c>
      <c r="J90">
        <v>51.496768359405102</v>
      </c>
      <c r="L90">
        <v>5.2246908604135607</v>
      </c>
      <c r="M90">
        <v>15.127184264738441</v>
      </c>
      <c r="N90">
        <v>2.0969264612997049</v>
      </c>
      <c r="O90">
        <v>25.490175414267803</v>
      </c>
      <c r="P90">
        <v>10.549864325351058</v>
      </c>
      <c r="R90">
        <v>15.217976031936685</v>
      </c>
      <c r="S90">
        <v>39.158845837250354</v>
      </c>
      <c r="U90">
        <v>3.360178799090622</v>
      </c>
      <c r="V90">
        <v>43.678674781467748</v>
      </c>
      <c r="W90">
        <v>27.367499859441825</v>
      </c>
      <c r="X90">
        <v>45.572087149031312</v>
      </c>
      <c r="Y90">
        <v>7.0241648882535079</v>
      </c>
      <c r="Z90">
        <v>34.703070902901921</v>
      </c>
      <c r="AA90">
        <v>4.4537207790233149</v>
      </c>
      <c r="AB90">
        <v>35.860759563387909</v>
      </c>
      <c r="AD90">
        <v>9.2113800430060007</v>
      </c>
      <c r="AE90">
        <v>16.165910549429132</v>
      </c>
      <c r="AF90">
        <v>14.74053730224488</v>
      </c>
      <c r="AG90">
        <v>21.571078326569005</v>
      </c>
      <c r="AH90">
        <v>5.0885055502737933</v>
      </c>
      <c r="AI90">
        <v>2.0324897191300386</v>
      </c>
      <c r="AK90">
        <v>46.281698685274577</v>
      </c>
    </row>
    <row r="91" spans="1:37" x14ac:dyDescent="0.2">
      <c r="A91">
        <v>90</v>
      </c>
      <c r="B91">
        <v>767</v>
      </c>
      <c r="C91">
        <v>150</v>
      </c>
      <c r="D91">
        <v>0.44221554583473799</v>
      </c>
      <c r="E91">
        <v>129.31159272089954</v>
      </c>
      <c r="F91">
        <v>61.791444778291677</v>
      </c>
      <c r="G91">
        <v>71.710281988654302</v>
      </c>
      <c r="H91">
        <v>67.129940208234842</v>
      </c>
      <c r="J91">
        <v>51.325251911982576</v>
      </c>
      <c r="L91">
        <v>5.007100022066294</v>
      </c>
      <c r="M91">
        <v>15.139487321857688</v>
      </c>
      <c r="N91">
        <v>2.0989055271493786</v>
      </c>
      <c r="O91">
        <v>24.569077030900001</v>
      </c>
      <c r="P91">
        <v>10.282590794299258</v>
      </c>
      <c r="R91">
        <v>14.931572039666539</v>
      </c>
      <c r="S91">
        <v>38.77439849196945</v>
      </c>
      <c r="U91">
        <v>3.3307153604329987</v>
      </c>
      <c r="V91">
        <v>43.670020484028967</v>
      </c>
      <c r="W91">
        <v>27.160280643596717</v>
      </c>
      <c r="X91">
        <v>45.529687408922918</v>
      </c>
      <c r="Y91">
        <v>6.7752356480803586</v>
      </c>
      <c r="Z91">
        <v>34.261934581684116</v>
      </c>
      <c r="AA91">
        <v>4.2239904101639691</v>
      </c>
      <c r="AB91">
        <v>35.75124678368082</v>
      </c>
      <c r="AD91">
        <v>8.9494486197376713</v>
      </c>
      <c r="AE91">
        <v>15.997143116871944</v>
      </c>
      <c r="AF91">
        <v>14.751706886794377</v>
      </c>
      <c r="AG91">
        <v>21.446716550425464</v>
      </c>
      <c r="AH91">
        <v>4.7198890214949758</v>
      </c>
      <c r="AI91">
        <v>2.0341963376917924</v>
      </c>
      <c r="AK91">
        <v>46.172542666567608</v>
      </c>
    </row>
    <row r="92" spans="1:37" x14ac:dyDescent="0.2">
      <c r="A92">
        <v>91</v>
      </c>
      <c r="B92">
        <v>766</v>
      </c>
      <c r="C92">
        <v>150</v>
      </c>
      <c r="D92">
        <v>0.44161141317423203</v>
      </c>
      <c r="E92">
        <v>129.12303104237051</v>
      </c>
      <c r="F92">
        <v>60.951755113650513</v>
      </c>
      <c r="G92">
        <v>71.56338590673441</v>
      </c>
      <c r="H92">
        <v>66.98046967464164</v>
      </c>
      <c r="J92">
        <v>51.147976954727902</v>
      </c>
      <c r="L92">
        <v>4.7858557873684475</v>
      </c>
      <c r="M92">
        <v>15.152884182816232</v>
      </c>
      <c r="N92">
        <v>2.1008840946900187</v>
      </c>
      <c r="O92">
        <v>23.638432692038702</v>
      </c>
      <c r="P92">
        <v>10.012141619453452</v>
      </c>
      <c r="R92">
        <v>14.638608703178949</v>
      </c>
      <c r="S92">
        <v>38.375685931962181</v>
      </c>
      <c r="U92">
        <v>3.3034736478690498</v>
      </c>
      <c r="V92">
        <v>43.656200365707427</v>
      </c>
      <c r="W92">
        <v>26.955105289782974</v>
      </c>
      <c r="X92">
        <v>45.493934691193793</v>
      </c>
      <c r="Y92">
        <v>6.5232320489315647</v>
      </c>
      <c r="Z92">
        <v>33.817195394624989</v>
      </c>
      <c r="AA92">
        <v>3.9912865311245334</v>
      </c>
      <c r="AB92">
        <v>35.63489501742793</v>
      </c>
      <c r="AD92">
        <v>8.6846368251221975</v>
      </c>
      <c r="AE92">
        <v>15.827567410651712</v>
      </c>
      <c r="AF92">
        <v>14.763970042878253</v>
      </c>
      <c r="AG92">
        <v>21.315517746747307</v>
      </c>
      <c r="AH92">
        <v>4.3463966615786607</v>
      </c>
      <c r="AI92">
        <v>2.0359016472481186</v>
      </c>
      <c r="AK92">
        <v>46.061520755863867</v>
      </c>
    </row>
    <row r="93" spans="1:37" x14ac:dyDescent="0.2">
      <c r="A93">
        <v>92</v>
      </c>
      <c r="B93">
        <v>765</v>
      </c>
      <c r="C93">
        <v>150</v>
      </c>
      <c r="D93">
        <v>0.44100611664981298</v>
      </c>
      <c r="E93">
        <v>128.93441851001387</v>
      </c>
      <c r="F93">
        <v>60.104585845751387</v>
      </c>
      <c r="G93">
        <v>71.41451005535238</v>
      </c>
      <c r="H93">
        <v>66.829032208267051</v>
      </c>
      <c r="J93">
        <v>50.963453104545451</v>
      </c>
      <c r="L93">
        <v>4.5602145483294372</v>
      </c>
      <c r="M93">
        <v>15.167436509663796</v>
      </c>
      <c r="N93">
        <v>2.1028621180096354</v>
      </c>
      <c r="O93">
        <v>22.695621948023749</v>
      </c>
      <c r="P93">
        <v>9.7377398701964708</v>
      </c>
      <c r="R93">
        <v>14.337936895703677</v>
      </c>
      <c r="S93">
        <v>37.959783179425052</v>
      </c>
      <c r="U93">
        <v>3.2786464762732646</v>
      </c>
      <c r="V93">
        <v>43.63638440833585</v>
      </c>
      <c r="W93">
        <v>26.752022400589482</v>
      </c>
      <c r="X93">
        <v>45.465394555454075</v>
      </c>
      <c r="Y93">
        <v>6.26738519431178</v>
      </c>
      <c r="Z93">
        <v>33.36731899523366</v>
      </c>
      <c r="AA93">
        <v>3.7548696110099993</v>
      </c>
      <c r="AB93">
        <v>35.510231691417822</v>
      </c>
      <c r="AD93">
        <v>8.4160589511190622</v>
      </c>
      <c r="AE93">
        <v>15.656547622306041</v>
      </c>
      <c r="AF93">
        <v>14.777388392110778</v>
      </c>
      <c r="AG93">
        <v>21.176009302139583</v>
      </c>
      <c r="AH93">
        <v>3.9668745396280527</v>
      </c>
      <c r="AI93">
        <v>2.0376056000522049</v>
      </c>
      <c r="AK93">
        <v>45.947918358070893</v>
      </c>
    </row>
    <row r="94" spans="1:37" x14ac:dyDescent="0.2">
      <c r="A94">
        <v>93</v>
      </c>
      <c r="B94">
        <v>764</v>
      </c>
      <c r="C94">
        <v>150</v>
      </c>
      <c r="D94">
        <v>0.44039965289495597</v>
      </c>
      <c r="E94">
        <v>128.46932411179682</v>
      </c>
      <c r="F94">
        <v>57.106725949255448</v>
      </c>
      <c r="G94">
        <v>70.949177525561822</v>
      </c>
      <c r="H94">
        <v>66.361150920604416</v>
      </c>
      <c r="J94">
        <v>49.717252671906607</v>
      </c>
      <c r="L94">
        <v>3.7249999793975221</v>
      </c>
      <c r="M94">
        <v>15.165860506708126</v>
      </c>
      <c r="N94">
        <v>2.1048194829612399</v>
      </c>
      <c r="O94">
        <v>19.546011065187212</v>
      </c>
      <c r="P94">
        <v>8.8304116366010348</v>
      </c>
      <c r="R94">
        <v>13.134559336678089</v>
      </c>
      <c r="S94">
        <v>35.984407336547925</v>
      </c>
      <c r="U94">
        <v>3.2857208332986558</v>
      </c>
      <c r="V94">
        <v>43.353218524368273</v>
      </c>
      <c r="W94">
        <v>26.573414298593004</v>
      </c>
      <c r="X94">
        <v>45.527223936602795</v>
      </c>
      <c r="Y94">
        <v>5.3784347799014869</v>
      </c>
      <c r="Z94">
        <v>31.468036885083716</v>
      </c>
      <c r="AA94">
        <v>2.9012349846321301</v>
      </c>
      <c r="AB94">
        <v>34.580772316852659</v>
      </c>
      <c r="AD94">
        <v>7.3579173474438564</v>
      </c>
      <c r="AE94">
        <v>14.837205675409761</v>
      </c>
      <c r="AF94">
        <v>14.774658030135745</v>
      </c>
      <c r="AG94">
        <v>20.231686619405941</v>
      </c>
      <c r="AH94">
        <v>2.6267099440330046</v>
      </c>
      <c r="AI94">
        <v>2.0392880801216595</v>
      </c>
      <c r="AK94">
        <v>45.178659245568454</v>
      </c>
    </row>
    <row r="95" spans="1:37" x14ac:dyDescent="0.2">
      <c r="A95">
        <v>94</v>
      </c>
      <c r="B95">
        <v>763</v>
      </c>
      <c r="C95">
        <v>150</v>
      </c>
      <c r="D95">
        <v>0.43979201853014099</v>
      </c>
      <c r="E95">
        <v>127.69512695811238</v>
      </c>
      <c r="F95">
        <v>51.683786870369858</v>
      </c>
      <c r="G95">
        <v>70.131572152706653</v>
      </c>
      <c r="H95">
        <v>65.541009667476487</v>
      </c>
      <c r="J95">
        <v>47.275695131914397</v>
      </c>
      <c r="L95">
        <v>2.2052348713875944</v>
      </c>
      <c r="M95">
        <v>15.135359488229124</v>
      </c>
      <c r="N95">
        <v>2.1067523607188212</v>
      </c>
      <c r="O95">
        <v>13.926444258038194</v>
      </c>
      <c r="P95">
        <v>7.2185207826996969</v>
      </c>
      <c r="R95">
        <v>10.918435648608703</v>
      </c>
      <c r="S95">
        <v>32.314572226412579</v>
      </c>
      <c r="U95">
        <v>3.3217433284649163</v>
      </c>
      <c r="V95">
        <v>42.793914661574938</v>
      </c>
      <c r="W95">
        <v>26.429400777509489</v>
      </c>
      <c r="X95">
        <v>45.670240111440158</v>
      </c>
      <c r="Y95">
        <v>3.7828480391874972</v>
      </c>
      <c r="Z95">
        <v>27.889098712235221</v>
      </c>
      <c r="AA95">
        <v>1.3557330373879521</v>
      </c>
      <c r="AB95">
        <v>32.760220518295732</v>
      </c>
      <c r="AD95">
        <v>5.3638329773614872</v>
      </c>
      <c r="AE95">
        <v>13.267850916621978</v>
      </c>
      <c r="AF95">
        <v>14.742978447907092</v>
      </c>
      <c r="AG95">
        <v>18.396249500046789</v>
      </c>
      <c r="AH95">
        <v>0.19844970826751251</v>
      </c>
      <c r="AI95">
        <v>2.0409452567941351</v>
      </c>
      <c r="AK95">
        <v>43.659492975048849</v>
      </c>
    </row>
    <row r="96" spans="1:37" x14ac:dyDescent="0.2">
      <c r="A96">
        <v>95</v>
      </c>
      <c r="B96">
        <v>762</v>
      </c>
      <c r="C96">
        <v>150</v>
      </c>
      <c r="D96">
        <v>0.439183210162781</v>
      </c>
      <c r="E96">
        <v>128.38374959960791</v>
      </c>
      <c r="F96">
        <v>51.601465177532916</v>
      </c>
      <c r="G96">
        <v>70.640478431419538</v>
      </c>
      <c r="H96">
        <v>66.047392964033477</v>
      </c>
      <c r="J96">
        <v>34.296957202429653</v>
      </c>
      <c r="L96">
        <v>1.4086842243952888</v>
      </c>
      <c r="M96">
        <v>15.084967764185365</v>
      </c>
      <c r="N96">
        <v>2.1087736199702163</v>
      </c>
      <c r="O96">
        <v>8.7690305838083198</v>
      </c>
      <c r="P96">
        <v>8.2597491886768104</v>
      </c>
      <c r="R96">
        <v>10.358538493301729</v>
      </c>
      <c r="S96">
        <v>28.443901065272431</v>
      </c>
      <c r="U96">
        <v>3.4822750722261193</v>
      </c>
      <c r="V96">
        <v>42.17908149610512</v>
      </c>
      <c r="W96">
        <v>26.201955210004581</v>
      </c>
      <c r="X96">
        <v>46.170382145887224</v>
      </c>
      <c r="Y96">
        <v>3.5675887797917665</v>
      </c>
      <c r="Z96">
        <v>23.401351294659381</v>
      </c>
      <c r="AB96">
        <v>28.909644990160906</v>
      </c>
      <c r="AD96">
        <v>3.3221285979732587</v>
      </c>
      <c r="AE96">
        <v>10.133755561330595</v>
      </c>
      <c r="AF96">
        <v>14.691496829580233</v>
      </c>
      <c r="AG96">
        <v>14.530879512948994</v>
      </c>
      <c r="AI96">
        <v>2.0426899969211338</v>
      </c>
      <c r="AK96">
        <v>35.270567631933993</v>
      </c>
    </row>
    <row r="97" spans="1:37" x14ac:dyDescent="0.2">
      <c r="A97">
        <v>96</v>
      </c>
      <c r="B97">
        <v>761</v>
      </c>
      <c r="C97">
        <v>150</v>
      </c>
      <c r="D97">
        <v>0.43857322438717999</v>
      </c>
      <c r="E97">
        <v>128.66923517131005</v>
      </c>
      <c r="F97">
        <v>50.740400305408684</v>
      </c>
      <c r="G97">
        <v>70.798812125223535</v>
      </c>
      <c r="H97">
        <v>66.203216594356419</v>
      </c>
      <c r="J97">
        <v>24.723112123349857</v>
      </c>
      <c r="L97">
        <v>1.4295955628890407</v>
      </c>
      <c r="M97">
        <v>14.902528726799966</v>
      </c>
      <c r="N97">
        <v>2.1107757243442093</v>
      </c>
      <c r="O97">
        <v>8.4639018948469911</v>
      </c>
      <c r="P97">
        <v>8.5998208675001369</v>
      </c>
      <c r="R97">
        <v>10.321478737121875</v>
      </c>
      <c r="S97">
        <v>28.011384160498157</v>
      </c>
      <c r="U97">
        <v>3.5258907586531962</v>
      </c>
      <c r="V97">
        <v>42.240750821948204</v>
      </c>
      <c r="W97">
        <v>25.904713171937441</v>
      </c>
      <c r="X97">
        <v>46.335177671553204</v>
      </c>
      <c r="Y97">
        <v>3.5555423012964456</v>
      </c>
      <c r="Z97">
        <v>20.010571862588183</v>
      </c>
      <c r="AB97">
        <v>26.760572079706549</v>
      </c>
      <c r="AD97">
        <v>1.6926996255213667</v>
      </c>
      <c r="AE97">
        <v>8.0789405257210696</v>
      </c>
      <c r="AF97">
        <v>14.507949036531565</v>
      </c>
      <c r="AG97">
        <v>12.366995474800781</v>
      </c>
      <c r="AI97">
        <v>2.0444147622952213</v>
      </c>
      <c r="AK97">
        <v>28.944132800293321</v>
      </c>
    </row>
    <row r="98" spans="1:37" x14ac:dyDescent="0.2">
      <c r="A98">
        <v>97</v>
      </c>
      <c r="B98">
        <v>760</v>
      </c>
      <c r="C98">
        <v>150</v>
      </c>
      <c r="D98">
        <v>0.43796205778444602</v>
      </c>
      <c r="E98">
        <v>128.85412253123269</v>
      </c>
      <c r="F98">
        <v>50.540488010242051</v>
      </c>
      <c r="G98">
        <v>70.872614977366013</v>
      </c>
      <c r="H98">
        <v>66.274522322290295</v>
      </c>
      <c r="J98">
        <v>18.637065160493773</v>
      </c>
      <c r="L98">
        <v>1.4483796153800867</v>
      </c>
      <c r="M98">
        <v>14.664547620223221</v>
      </c>
      <c r="N98">
        <v>2.1127732350174497</v>
      </c>
      <c r="O98">
        <v>8.2617983740553917</v>
      </c>
      <c r="P98">
        <v>8.7708338891974318</v>
      </c>
      <c r="R98">
        <v>10.221818339380629</v>
      </c>
      <c r="S98">
        <v>27.962475320087034</v>
      </c>
      <c r="U98">
        <v>3.5262300575392018</v>
      </c>
      <c r="V98">
        <v>42.506387209898804</v>
      </c>
      <c r="W98">
        <v>25.573653387679716</v>
      </c>
      <c r="X98">
        <v>46.376102518008466</v>
      </c>
      <c r="Y98">
        <v>3.4554423701958417</v>
      </c>
      <c r="Z98">
        <v>18.440661567939799</v>
      </c>
      <c r="AB98">
        <v>25.946626616557204</v>
      </c>
      <c r="AD98">
        <v>0.89572664967272719</v>
      </c>
      <c r="AE98">
        <v>7.1400694672215135</v>
      </c>
      <c r="AF98">
        <v>14.268854879622292</v>
      </c>
      <c r="AG98">
        <v>11.53823678222423</v>
      </c>
      <c r="AI98">
        <v>2.0461341122551979</v>
      </c>
      <c r="AK98">
        <v>24.869800135364933</v>
      </c>
    </row>
    <row r="99" spans="1:37" x14ac:dyDescent="0.2">
      <c r="A99">
        <v>98</v>
      </c>
      <c r="B99">
        <v>788</v>
      </c>
      <c r="C99">
        <v>125</v>
      </c>
      <c r="D99">
        <v>0.48055458700466802</v>
      </c>
      <c r="E99">
        <v>116.85440967583857</v>
      </c>
      <c r="F99">
        <v>68.910180169178588</v>
      </c>
      <c r="G99">
        <v>73.087167212610112</v>
      </c>
      <c r="H99">
        <v>68.563020741118564</v>
      </c>
      <c r="J99">
        <v>52.012229117112696</v>
      </c>
      <c r="L99">
        <v>6.7659974283323994</v>
      </c>
      <c r="M99">
        <v>15.5310698250382</v>
      </c>
      <c r="N99">
        <v>2.1341534644090143</v>
      </c>
      <c r="O99">
        <v>34.319763590808293</v>
      </c>
      <c r="P99">
        <v>12.483757707401329</v>
      </c>
      <c r="Q99">
        <v>1.8989501269773654E-2</v>
      </c>
      <c r="R99">
        <v>18.312587701935744</v>
      </c>
      <c r="S99">
        <v>44.134038560805571</v>
      </c>
      <c r="U99">
        <v>4.34803451480078</v>
      </c>
      <c r="V99">
        <v>43.70660800981711</v>
      </c>
      <c r="W99">
        <v>31.305575219851676</v>
      </c>
      <c r="X99">
        <v>45.284878957672866</v>
      </c>
      <c r="Y99">
        <v>8.6291037061922236</v>
      </c>
      <c r="Z99">
        <v>38.553228831198247</v>
      </c>
      <c r="AA99">
        <v>6.1227217680972386</v>
      </c>
      <c r="AB99">
        <v>37.69123366511969</v>
      </c>
      <c r="AC99">
        <v>0.16830987085036841</v>
      </c>
      <c r="AD99">
        <v>11.087953714056351</v>
      </c>
      <c r="AE99">
        <v>18.175217304117158</v>
      </c>
      <c r="AF99">
        <v>15.321189322672778</v>
      </c>
      <c r="AG99">
        <v>23.882761765419545</v>
      </c>
      <c r="AH99">
        <v>7.155286457358299</v>
      </c>
      <c r="AI99">
        <v>2.0720542704917762</v>
      </c>
      <c r="AK99">
        <v>45.883470295516851</v>
      </c>
    </row>
    <row r="100" spans="1:37" x14ac:dyDescent="0.2">
      <c r="A100">
        <v>99</v>
      </c>
      <c r="B100">
        <v>787</v>
      </c>
      <c r="C100">
        <v>125</v>
      </c>
      <c r="D100">
        <v>0.479998585105882</v>
      </c>
      <c r="E100">
        <v>116.75167211118192</v>
      </c>
      <c r="F100">
        <v>68.538447339860909</v>
      </c>
      <c r="G100">
        <v>73.022171598058293</v>
      </c>
      <c r="H100">
        <v>68.495175518513292</v>
      </c>
      <c r="J100">
        <v>51.970466070247078</v>
      </c>
      <c r="L100">
        <v>6.6736122379685643</v>
      </c>
      <c r="M100">
        <v>15.522710786139712</v>
      </c>
      <c r="N100">
        <v>2.1225602781500879</v>
      </c>
      <c r="O100">
        <v>33.858813674673158</v>
      </c>
      <c r="P100">
        <v>12.363375591538778</v>
      </c>
      <c r="R100">
        <v>18.161646864243963</v>
      </c>
      <c r="S100">
        <v>43.924184117133464</v>
      </c>
      <c r="U100">
        <v>4.3159335508634333</v>
      </c>
      <c r="V100">
        <v>43.696903703250833</v>
      </c>
      <c r="W100">
        <v>31.171369269936044</v>
      </c>
      <c r="X100">
        <v>45.243252544184102</v>
      </c>
      <c r="Y100">
        <v>8.5291766694984918</v>
      </c>
      <c r="Z100">
        <v>38.348688722852827</v>
      </c>
      <c r="AA100">
        <v>6.0237807956507092</v>
      </c>
      <c r="AB100">
        <v>37.623723359678706</v>
      </c>
      <c r="AC100">
        <v>0.15472528522666351</v>
      </c>
      <c r="AD100">
        <v>10.981358267739944</v>
      </c>
      <c r="AE100">
        <v>18.083610913095992</v>
      </c>
      <c r="AF100">
        <v>15.298116675379211</v>
      </c>
      <c r="AG100">
        <v>23.786815123938062</v>
      </c>
      <c r="AH100">
        <v>7.0183959569706369</v>
      </c>
      <c r="AI100">
        <v>2.0602055940270172</v>
      </c>
      <c r="AK100">
        <v>45.874101883844553</v>
      </c>
    </row>
    <row r="101" spans="1:37" x14ac:dyDescent="0.2">
      <c r="A101">
        <v>100</v>
      </c>
      <c r="B101">
        <v>786</v>
      </c>
      <c r="C101">
        <v>125</v>
      </c>
      <c r="D101">
        <v>0.47944153330501299</v>
      </c>
      <c r="E101">
        <v>116.64788250347881</v>
      </c>
      <c r="F101">
        <v>68.131867411618074</v>
      </c>
      <c r="G101">
        <v>72.950418552289946</v>
      </c>
      <c r="H101">
        <v>68.420585283423534</v>
      </c>
      <c r="J101">
        <v>51.933420821913458</v>
      </c>
      <c r="L101">
        <v>6.5687444324931441</v>
      </c>
      <c r="M101">
        <v>15.535554515306023</v>
      </c>
      <c r="N101">
        <v>2.1079242134889977</v>
      </c>
      <c r="O101">
        <v>33.338463191655336</v>
      </c>
      <c r="P101">
        <v>12.226442789676312</v>
      </c>
      <c r="R101">
        <v>18.021260416370264</v>
      </c>
      <c r="S101">
        <v>43.780070978063165</v>
      </c>
      <c r="U101">
        <v>4.2998517505283305</v>
      </c>
      <c r="V101">
        <v>43.721402030392916</v>
      </c>
      <c r="W101">
        <v>31.056149372436678</v>
      </c>
      <c r="X101">
        <v>45.254740081882765</v>
      </c>
      <c r="Y101">
        <v>8.414319048153823</v>
      </c>
      <c r="Z101">
        <v>38.124426554522273</v>
      </c>
      <c r="AA101">
        <v>5.9103129982634277</v>
      </c>
      <c r="AB101">
        <v>37.580409507706591</v>
      </c>
      <c r="AC101">
        <v>0.13809797750233363</v>
      </c>
      <c r="AD101">
        <v>10.862496305062491</v>
      </c>
      <c r="AE101">
        <v>17.985613580619681</v>
      </c>
      <c r="AF101">
        <v>15.293204082877832</v>
      </c>
      <c r="AG101">
        <v>23.712024403950707</v>
      </c>
      <c r="AH101">
        <v>6.8637479572026843</v>
      </c>
      <c r="AI101">
        <v>2.045313265054665</v>
      </c>
      <c r="AK101">
        <v>45.857645043470043</v>
      </c>
    </row>
    <row r="102" spans="1:37" x14ac:dyDescent="0.2">
      <c r="A102">
        <v>101</v>
      </c>
      <c r="B102">
        <v>785</v>
      </c>
      <c r="C102">
        <v>125</v>
      </c>
      <c r="D102">
        <v>0.47888342862543298</v>
      </c>
      <c r="E102">
        <v>116.54446350853416</v>
      </c>
      <c r="F102">
        <v>67.726294379519487</v>
      </c>
      <c r="G102">
        <v>72.878689165033975</v>
      </c>
      <c r="H102">
        <v>68.346031145213757</v>
      </c>
      <c r="J102">
        <v>51.89623814460635</v>
      </c>
      <c r="L102">
        <v>6.4635719101786817</v>
      </c>
      <c r="M102">
        <v>15.548535266111488</v>
      </c>
      <c r="N102">
        <v>2.0932842012425517</v>
      </c>
      <c r="O102">
        <v>32.818419015337973</v>
      </c>
      <c r="P102">
        <v>12.089560432967923</v>
      </c>
      <c r="R102">
        <v>17.880219185091537</v>
      </c>
      <c r="S102">
        <v>43.634663166079633</v>
      </c>
      <c r="U102">
        <v>4.2840929452496139</v>
      </c>
      <c r="V102">
        <v>43.745165782972535</v>
      </c>
      <c r="W102">
        <v>30.941358498821781</v>
      </c>
      <c r="X102">
        <v>45.267391674591757</v>
      </c>
      <c r="Y102">
        <v>8.2994543592396273</v>
      </c>
      <c r="Z102">
        <v>37.900483229630169</v>
      </c>
      <c r="AA102">
        <v>5.7968136852065291</v>
      </c>
      <c r="AB102">
        <v>37.536318497338634</v>
      </c>
      <c r="AC102">
        <v>0.12146687805902721</v>
      </c>
      <c r="AD102">
        <v>10.743694363172063</v>
      </c>
      <c r="AE102">
        <v>17.887812831115905</v>
      </c>
      <c r="AF102">
        <v>15.2884247347901</v>
      </c>
      <c r="AG102">
        <v>23.636454929790503</v>
      </c>
      <c r="AH102">
        <v>6.7090214530879706</v>
      </c>
      <c r="AI102">
        <v>2.0304162125683489</v>
      </c>
      <c r="AK102">
        <v>45.841383279608642</v>
      </c>
    </row>
    <row r="103" spans="1:37" x14ac:dyDescent="0.2">
      <c r="A103">
        <v>102</v>
      </c>
      <c r="B103">
        <v>784</v>
      </c>
      <c r="C103">
        <v>125</v>
      </c>
      <c r="D103">
        <v>0.47832426807926898</v>
      </c>
      <c r="E103">
        <v>116.44141684829597</v>
      </c>
      <c r="F103">
        <v>67.321739140339844</v>
      </c>
      <c r="G103">
        <v>72.806986743686252</v>
      </c>
      <c r="H103">
        <v>68.271516430955387</v>
      </c>
      <c r="J103">
        <v>51.858911182343817</v>
      </c>
      <c r="L103">
        <v>6.3581650064580186</v>
      </c>
      <c r="M103">
        <v>15.561648970536769</v>
      </c>
      <c r="N103">
        <v>2.0786403935518387</v>
      </c>
      <c r="O103">
        <v>32.298697860138816</v>
      </c>
      <c r="P103">
        <v>11.95273530928532</v>
      </c>
      <c r="R103">
        <v>17.73853414603791</v>
      </c>
      <c r="S103">
        <v>43.487928979862836</v>
      </c>
      <c r="U103">
        <v>4.2686537086732521</v>
      </c>
      <c r="V103">
        <v>43.768182239917877</v>
      </c>
      <c r="W103">
        <v>30.826997315699689</v>
      </c>
      <c r="X103">
        <v>45.281197591956598</v>
      </c>
      <c r="Y103">
        <v>8.1845882986773812</v>
      </c>
      <c r="Z103">
        <v>37.676859984126985</v>
      </c>
      <c r="AA103">
        <v>5.6832891400659502</v>
      </c>
      <c r="AB103">
        <v>37.491431095155022</v>
      </c>
      <c r="AC103">
        <v>0.10483213860278877</v>
      </c>
      <c r="AD103">
        <v>10.624956551176332</v>
      </c>
      <c r="AE103">
        <v>17.790205862690343</v>
      </c>
      <c r="AF103">
        <v>15.283774720482748</v>
      </c>
      <c r="AG103">
        <v>23.560087625579254</v>
      </c>
      <c r="AH103">
        <v>6.5542270124758106</v>
      </c>
      <c r="AI103">
        <v>2.0155145868842297</v>
      </c>
      <c r="AK103">
        <v>45.825317557756875</v>
      </c>
    </row>
    <row r="104" spans="1:37" x14ac:dyDescent="0.2">
      <c r="A104">
        <v>103</v>
      </c>
      <c r="B104">
        <v>783</v>
      </c>
      <c r="C104">
        <v>125</v>
      </c>
      <c r="D104">
        <v>0.47776404866733202</v>
      </c>
      <c r="E104">
        <v>116.3387441840306</v>
      </c>
      <c r="F104">
        <v>66.918212344567706</v>
      </c>
      <c r="G104">
        <v>72.735314608233651</v>
      </c>
      <c r="H104">
        <v>68.197044480346733</v>
      </c>
      <c r="J104">
        <v>51.821433292895961</v>
      </c>
      <c r="L104">
        <v>6.2525109005299253</v>
      </c>
      <c r="M104">
        <v>15.574891436545526</v>
      </c>
      <c r="N104">
        <v>2.0639929361227414</v>
      </c>
      <c r="O104">
        <v>31.779316421998036</v>
      </c>
      <c r="P104">
        <v>11.815974225301282</v>
      </c>
      <c r="R104">
        <v>17.596216428415843</v>
      </c>
      <c r="S104">
        <v>43.339837777159325</v>
      </c>
      <c r="U104">
        <v>4.2535304784498393</v>
      </c>
      <c r="V104">
        <v>43.790439165275352</v>
      </c>
      <c r="W104">
        <v>30.713066400505767</v>
      </c>
      <c r="X104">
        <v>45.296147700750112</v>
      </c>
      <c r="Y104">
        <v>8.0697265911503617</v>
      </c>
      <c r="Z104">
        <v>37.453557841358844</v>
      </c>
      <c r="AA104">
        <v>5.5697456303622532</v>
      </c>
      <c r="AB104">
        <v>37.445728573655778</v>
      </c>
      <c r="AC104">
        <v>8.8193904403525411E-2</v>
      </c>
      <c r="AD104">
        <v>10.506286921769071</v>
      </c>
      <c r="AE104">
        <v>17.692789723524239</v>
      </c>
      <c r="AF104">
        <v>15.279249998879374</v>
      </c>
      <c r="AG104">
        <v>23.482903914936163</v>
      </c>
      <c r="AH104">
        <v>6.3993752061808458</v>
      </c>
      <c r="AI104">
        <v>2.0006085318837297</v>
      </c>
      <c r="AK104">
        <v>45.809448767020456</v>
      </c>
    </row>
    <row r="105" spans="1:37" x14ac:dyDescent="0.2">
      <c r="A105">
        <v>104</v>
      </c>
      <c r="B105">
        <v>782</v>
      </c>
      <c r="C105">
        <v>125</v>
      </c>
      <c r="D105">
        <v>0.47720276737904699</v>
      </c>
      <c r="E105">
        <v>116.23644711915662</v>
      </c>
      <c r="F105">
        <v>66.515724379301034</v>
      </c>
      <c r="G105">
        <v>72.663676086425326</v>
      </c>
      <c r="H105">
        <v>68.122618640884767</v>
      </c>
      <c r="J105">
        <v>51.783798036606022</v>
      </c>
      <c r="L105">
        <v>6.1466581230662705</v>
      </c>
      <c r="M105">
        <v>15.588258352414119</v>
      </c>
      <c r="N105">
        <v>2.0493419660239405</v>
      </c>
      <c r="O105">
        <v>31.260291341778512</v>
      </c>
      <c r="P105">
        <v>11.67928399463394</v>
      </c>
      <c r="R105">
        <v>17.453277282137869</v>
      </c>
      <c r="S105">
        <v>43.190359969857056</v>
      </c>
      <c r="U105">
        <v>4.2387195660760391</v>
      </c>
      <c r="V105">
        <v>43.811924802818872</v>
      </c>
      <c r="W105">
        <v>30.599566252067905</v>
      </c>
      <c r="X105">
        <v>45.312231495345692</v>
      </c>
      <c r="Y105">
        <v>7.9548749800867045</v>
      </c>
      <c r="Z105">
        <v>37.23057759896944</v>
      </c>
      <c r="AA105">
        <v>5.4561044897916435</v>
      </c>
      <c r="AB105">
        <v>37.399192707738216</v>
      </c>
      <c r="AC105">
        <v>7.1552312094058629E-2</v>
      </c>
      <c r="AD105">
        <v>10.387689462736882</v>
      </c>
      <c r="AE105">
        <v>17.595561307993133</v>
      </c>
      <c r="AF105">
        <v>15.274846400592928</v>
      </c>
      <c r="AG105">
        <v>23.404885715261614</v>
      </c>
      <c r="AH105">
        <v>6.2444765950435812</v>
      </c>
      <c r="AI105">
        <v>1.9856981828093219</v>
      </c>
      <c r="AK105">
        <v>45.793777712535203</v>
      </c>
    </row>
    <row r="106" spans="1:37" x14ac:dyDescent="0.2">
      <c r="A106">
        <v>105</v>
      </c>
      <c r="B106">
        <v>781</v>
      </c>
      <c r="C106">
        <v>125</v>
      </c>
      <c r="D106">
        <v>0.476640421192431</v>
      </c>
      <c r="E106">
        <v>116.13452720257922</v>
      </c>
      <c r="F106">
        <v>66.11428535035364</v>
      </c>
      <c r="G106">
        <v>72.592074508764924</v>
      </c>
      <c r="H106">
        <v>68.04824226286091</v>
      </c>
      <c r="J106">
        <v>51.745999163127443</v>
      </c>
      <c r="L106">
        <v>6.040616160358546</v>
      </c>
      <c r="M106">
        <v>15.6017452918702</v>
      </c>
      <c r="N106">
        <v>2.0346876092237984</v>
      </c>
      <c r="O106">
        <v>30.741639166060597</v>
      </c>
      <c r="P106">
        <v>11.542671425368885</v>
      </c>
      <c r="R106">
        <v>17.309728044529539</v>
      </c>
      <c r="S106">
        <v>43.039467015028123</v>
      </c>
      <c r="U106">
        <v>4.2242171678269802</v>
      </c>
      <c r="V106">
        <v>43.83262786937464</v>
      </c>
      <c r="W106">
        <v>30.486497303136382</v>
      </c>
      <c r="X106">
        <v>45.329438131413873</v>
      </c>
      <c r="Y106">
        <v>7.8400392170727713</v>
      </c>
      <c r="Z106">
        <v>37.007919814485497</v>
      </c>
      <c r="AA106">
        <v>5.342539082375108</v>
      </c>
      <c r="AB106">
        <v>37.35180576822728</v>
      </c>
      <c r="AC106">
        <v>5.4907487206892633E-2</v>
      </c>
      <c r="AD106">
        <v>10.269168087830435</v>
      </c>
      <c r="AE106">
        <v>17.498517352065416</v>
      </c>
      <c r="AF106">
        <v>15.270559630597226</v>
      </c>
      <c r="AG106">
        <v>23.326015428798087</v>
      </c>
      <c r="AH106">
        <v>6.0895417179658295</v>
      </c>
      <c r="AI106">
        <v>1.9707836638036282</v>
      </c>
      <c r="AK106">
        <v>45.778305107214578</v>
      </c>
    </row>
    <row r="107" spans="1:37" x14ac:dyDescent="0.2">
      <c r="A107">
        <v>106</v>
      </c>
      <c r="B107">
        <v>780</v>
      </c>
      <c r="C107">
        <v>125</v>
      </c>
      <c r="D107">
        <v>0.47607700707401701</v>
      </c>
      <c r="E107">
        <v>116.03298593274751</v>
      </c>
      <c r="F107">
        <v>65.713905066456363</v>
      </c>
      <c r="G107">
        <v>72.520513203795559</v>
      </c>
      <c r="H107">
        <v>67.973918694641469</v>
      </c>
      <c r="J107">
        <v>51.708030595750081</v>
      </c>
      <c r="L107">
        <v>5.9343294479681896</v>
      </c>
      <c r="M107">
        <v>15.61534771868388</v>
      </c>
      <c r="N107">
        <v>2.0200299781066406</v>
      </c>
      <c r="O107">
        <v>30.223376309532906</v>
      </c>
      <c r="P107">
        <v>11.406143308141299</v>
      </c>
      <c r="R107">
        <v>17.165580106008292</v>
      </c>
      <c r="S107">
        <v>42.887131397057502</v>
      </c>
      <c r="U107">
        <v>4.2100193758053583</v>
      </c>
      <c r="V107">
        <v>43.85253754437624</v>
      </c>
      <c r="W107">
        <v>30.373859933454415</v>
      </c>
      <c r="X107">
        <v>45.347756460734921</v>
      </c>
      <c r="Y107">
        <v>7.7252250517547436</v>
      </c>
      <c r="Z107">
        <v>36.78558479101946</v>
      </c>
      <c r="AA107">
        <v>5.2289734255588991</v>
      </c>
      <c r="AB107">
        <v>37.30355051048317</v>
      </c>
      <c r="AC107">
        <v>3.8259541689329171E-2</v>
      </c>
      <c r="AD107">
        <v>10.150726627876203</v>
      </c>
      <c r="AE107">
        <v>17.401654428482523</v>
      </c>
      <c r="AF107">
        <v>15.266385270338722</v>
      </c>
      <c r="AG107">
        <v>23.246275928753477</v>
      </c>
      <c r="AH107">
        <v>5.9345810711445148</v>
      </c>
      <c r="AI107">
        <v>1.9558650854238349</v>
      </c>
      <c r="AK107">
        <v>45.763031563526113</v>
      </c>
    </row>
    <row r="108" spans="1:37" x14ac:dyDescent="0.2">
      <c r="A108">
        <v>107</v>
      </c>
      <c r="B108">
        <v>779</v>
      </c>
      <c r="C108">
        <v>125</v>
      </c>
      <c r="D108">
        <v>0.475512521978807</v>
      </c>
      <c r="E108">
        <v>115.93182476228782</v>
      </c>
      <c r="F108">
        <v>65.314593024752284</v>
      </c>
      <c r="G108">
        <v>72.448995493624281</v>
      </c>
      <c r="H108">
        <v>67.899651278193971</v>
      </c>
      <c r="J108">
        <v>51.669886413576165</v>
      </c>
      <c r="L108">
        <v>5.8278661740806932</v>
      </c>
      <c r="M108">
        <v>15.629060990872205</v>
      </c>
      <c r="N108">
        <v>2.005369168903933</v>
      </c>
      <c r="O108">
        <v>29.70551901830175</v>
      </c>
      <c r="P108">
        <v>11.269706404619429</v>
      </c>
      <c r="R108">
        <v>17.020844875101957</v>
      </c>
      <c r="S108">
        <v>42.733326602405441</v>
      </c>
      <c r="U108">
        <v>4.1961221891144724</v>
      </c>
      <c r="V108">
        <v>43.871643456388469</v>
      </c>
      <c r="W108">
        <v>30.261654483659704</v>
      </c>
      <c r="X108">
        <v>45.367175065790967</v>
      </c>
      <c r="Y108">
        <v>7.6104382220752607</v>
      </c>
      <c r="Z108">
        <v>36.563572562806932</v>
      </c>
      <c r="AA108">
        <v>5.1154136125766305</v>
      </c>
      <c r="AB108">
        <v>37.254410158832165</v>
      </c>
      <c r="AC108">
        <v>2.1608571335927706E-2</v>
      </c>
      <c r="AD108">
        <v>10.032368821945319</v>
      </c>
      <c r="AE108">
        <v>17.304968941572238</v>
      </c>
      <c r="AF108">
        <v>15.262318779368634</v>
      </c>
      <c r="AG108">
        <v>23.165650541171715</v>
      </c>
      <c r="AH108">
        <v>5.7796051114253286</v>
      </c>
      <c r="AI108">
        <v>1.940942542073222</v>
      </c>
      <c r="AK108">
        <v>45.747957585067581</v>
      </c>
    </row>
    <row r="109" spans="1:37" x14ac:dyDescent="0.2">
      <c r="A109">
        <v>108</v>
      </c>
      <c r="B109">
        <v>778</v>
      </c>
      <c r="C109">
        <v>125</v>
      </c>
      <c r="D109">
        <v>0.47494696285021398</v>
      </c>
      <c r="E109">
        <v>115.83104510311901</v>
      </c>
      <c r="F109">
        <v>64.916358396151054</v>
      </c>
      <c r="G109">
        <v>72.377524689422145</v>
      </c>
      <c r="H109">
        <v>67.825443344589942</v>
      </c>
      <c r="J109">
        <v>51.631560831115436</v>
      </c>
      <c r="L109">
        <v>5.7212328604002325</v>
      </c>
      <c r="M109">
        <v>15.642880365122219</v>
      </c>
      <c r="N109">
        <v>1.9907052589125389</v>
      </c>
      <c r="O109">
        <v>29.188083331955191</v>
      </c>
      <c r="P109">
        <v>11.133367435726395</v>
      </c>
      <c r="R109">
        <v>16.875533742708924</v>
      </c>
      <c r="S109">
        <v>42.578027088016768</v>
      </c>
      <c r="U109">
        <v>4.1825215258002597</v>
      </c>
      <c r="V109">
        <v>43.88993566728341</v>
      </c>
      <c r="W109">
        <v>30.149881270790985</v>
      </c>
      <c r="X109">
        <v>45.387682297129615</v>
      </c>
      <c r="Y109">
        <v>7.4956844442657564</v>
      </c>
      <c r="Z109">
        <v>36.341882879749548</v>
      </c>
      <c r="AA109">
        <v>5.0018656556580465</v>
      </c>
      <c r="AB109">
        <v>37.20436838705659</v>
      </c>
      <c r="AC109">
        <v>4.9546530068776753E-3</v>
      </c>
      <c r="AD109">
        <v>9.9140983084374898</v>
      </c>
      <c r="AE109">
        <v>17.208457121411687</v>
      </c>
      <c r="AF109">
        <v>15.25835549698605</v>
      </c>
      <c r="AG109">
        <v>23.084123022632024</v>
      </c>
      <c r="AH109">
        <v>5.6246242279801466</v>
      </c>
      <c r="AI109">
        <v>1.9260161092208157</v>
      </c>
      <c r="AK109">
        <v>45.733083557491284</v>
      </c>
    </row>
    <row r="110" spans="1:37" x14ac:dyDescent="0.2">
      <c r="A110">
        <v>109</v>
      </c>
      <c r="B110">
        <v>777</v>
      </c>
      <c r="C110">
        <v>125</v>
      </c>
      <c r="D110">
        <v>0.47438032662001101</v>
      </c>
      <c r="E110">
        <v>115.67302011155689</v>
      </c>
      <c r="F110">
        <v>64.230910365961208</v>
      </c>
      <c r="G110">
        <v>72.257146691105035</v>
      </c>
      <c r="H110">
        <v>67.702340813682127</v>
      </c>
      <c r="J110">
        <v>51.5020550292409</v>
      </c>
      <c r="L110">
        <v>5.5411111841200578</v>
      </c>
      <c r="M110">
        <v>15.655036914183402</v>
      </c>
      <c r="N110">
        <v>1.9874213435958477</v>
      </c>
      <c r="O110">
        <v>28.402672275544411</v>
      </c>
      <c r="P110">
        <v>10.910601318095885</v>
      </c>
      <c r="R110">
        <v>16.634713526799679</v>
      </c>
      <c r="S110">
        <v>42.262351910496299</v>
      </c>
      <c r="U110">
        <v>4.1588970492412258</v>
      </c>
      <c r="V110">
        <v>43.887558937770393</v>
      </c>
      <c r="W110">
        <v>29.972304698212938</v>
      </c>
      <c r="X110">
        <v>45.368246621892375</v>
      </c>
      <c r="Y110">
        <v>7.2922919460497919</v>
      </c>
      <c r="Z110">
        <v>35.973643934500103</v>
      </c>
      <c r="AA110">
        <v>4.8117015281310156</v>
      </c>
      <c r="AB110">
        <v>37.110202531941539</v>
      </c>
      <c r="AD110">
        <v>9.700215202779189</v>
      </c>
      <c r="AE110">
        <v>17.063177921024266</v>
      </c>
      <c r="AF110">
        <v>15.264109596729725</v>
      </c>
      <c r="AG110">
        <v>22.969853810900407</v>
      </c>
      <c r="AH110">
        <v>5.3284955505685572</v>
      </c>
      <c r="AI110">
        <v>1.9224688805012369</v>
      </c>
      <c r="AK110">
        <v>45.655839328154087</v>
      </c>
    </row>
    <row r="111" spans="1:37" x14ac:dyDescent="0.2">
      <c r="A111">
        <v>110</v>
      </c>
      <c r="B111">
        <v>776</v>
      </c>
      <c r="C111">
        <v>125</v>
      </c>
      <c r="D111">
        <v>0.47381261020826598</v>
      </c>
      <c r="E111">
        <v>115.48866326785591</v>
      </c>
      <c r="F111">
        <v>63.409060035552777</v>
      </c>
      <c r="G111">
        <v>72.113040340479074</v>
      </c>
      <c r="H111">
        <v>67.555522547250689</v>
      </c>
      <c r="J111">
        <v>51.326315495055113</v>
      </c>
      <c r="L111">
        <v>5.3244979191750099</v>
      </c>
      <c r="M111">
        <v>15.667178735813234</v>
      </c>
      <c r="N111">
        <v>1.9894039007818847</v>
      </c>
      <c r="O111">
        <v>27.486699383089952</v>
      </c>
      <c r="P111">
        <v>10.64565223456556</v>
      </c>
      <c r="R111">
        <v>16.345126438359109</v>
      </c>
      <c r="S111">
        <v>41.862229976179464</v>
      </c>
      <c r="U111">
        <v>4.1322141348748804</v>
      </c>
      <c r="V111">
        <v>43.871921287050561</v>
      </c>
      <c r="W111">
        <v>29.765764540596685</v>
      </c>
      <c r="X111">
        <v>45.335024163698037</v>
      </c>
      <c r="Y111">
        <v>7.0457805582458723</v>
      </c>
      <c r="Z111">
        <v>35.535132888136552</v>
      </c>
      <c r="AA111">
        <v>4.5839510516751547</v>
      </c>
      <c r="AB111">
        <v>36.990699580990317</v>
      </c>
      <c r="AD111">
        <v>9.4401091055926116</v>
      </c>
      <c r="AE111">
        <v>16.894805971127354</v>
      </c>
      <c r="AF111">
        <v>15.275115659525131</v>
      </c>
      <c r="AG111">
        <v>22.835516376842097</v>
      </c>
      <c r="AH111">
        <v>4.9636756009491263</v>
      </c>
      <c r="AI111">
        <v>1.9241873319126952</v>
      </c>
      <c r="AK111">
        <v>45.548484283004051</v>
      </c>
    </row>
    <row r="112" spans="1:37" x14ac:dyDescent="0.2">
      <c r="A112">
        <v>111</v>
      </c>
      <c r="B112">
        <v>775</v>
      </c>
      <c r="C112">
        <v>125</v>
      </c>
      <c r="D112">
        <v>0.473243810523307</v>
      </c>
      <c r="E112">
        <v>115.30448369235805</v>
      </c>
      <c r="F112">
        <v>62.581941016536156</v>
      </c>
      <c r="G112">
        <v>71.967390402069739</v>
      </c>
      <c r="H112">
        <v>67.407173329835715</v>
      </c>
      <c r="J112">
        <v>51.144697715097081</v>
      </c>
      <c r="L112">
        <v>5.1043832522706873</v>
      </c>
      <c r="M112">
        <v>15.680290562000932</v>
      </c>
      <c r="N112">
        <v>1.9913859640123557</v>
      </c>
      <c r="O112">
        <v>26.561342269433563</v>
      </c>
      <c r="P112">
        <v>10.377622769186848</v>
      </c>
      <c r="R112">
        <v>16.049143774496599</v>
      </c>
      <c r="S112">
        <v>41.447403718187893</v>
      </c>
      <c r="U112">
        <v>4.1076404130199569</v>
      </c>
      <c r="V112">
        <v>43.85102781954938</v>
      </c>
      <c r="W112">
        <v>29.561175897144125</v>
      </c>
      <c r="X112">
        <v>45.308142207023494</v>
      </c>
      <c r="Y112">
        <v>6.7962733407565308</v>
      </c>
      <c r="Z112">
        <v>35.092787556030615</v>
      </c>
      <c r="AA112">
        <v>4.3533696152724737</v>
      </c>
      <c r="AB112">
        <v>36.864009782041265</v>
      </c>
      <c r="AD112">
        <v>9.1770918118659601</v>
      </c>
      <c r="AE112">
        <v>16.725436252803192</v>
      </c>
      <c r="AF112">
        <v>15.287091456254688</v>
      </c>
      <c r="AG112">
        <v>22.693994007389577</v>
      </c>
      <c r="AH112">
        <v>4.5940806264174956</v>
      </c>
      <c r="AI112">
        <v>1.9259044951669642</v>
      </c>
      <c r="AK112">
        <v>45.439236242637143</v>
      </c>
    </row>
    <row r="113" spans="1:37" x14ac:dyDescent="0.2">
      <c r="A113">
        <v>112</v>
      </c>
      <c r="B113">
        <v>774</v>
      </c>
      <c r="C113">
        <v>125</v>
      </c>
      <c r="D113">
        <v>0.47267392446163797</v>
      </c>
      <c r="E113">
        <v>115.12025905329224</v>
      </c>
      <c r="F113">
        <v>61.747290600207585</v>
      </c>
      <c r="G113">
        <v>71.819808420438051</v>
      </c>
      <c r="H113">
        <v>67.256904726048674</v>
      </c>
      <c r="J113">
        <v>50.955696342831999</v>
      </c>
      <c r="L113">
        <v>4.8800305267928596</v>
      </c>
      <c r="M113">
        <v>15.694419340359152</v>
      </c>
      <c r="N113">
        <v>1.9933674885582831</v>
      </c>
      <c r="O113">
        <v>25.623974790389102</v>
      </c>
      <c r="P113">
        <v>10.105735987865494</v>
      </c>
      <c r="R113">
        <v>15.745595165946048</v>
      </c>
      <c r="S113">
        <v>41.014922741483176</v>
      </c>
      <c r="U113">
        <v>4.0853630926769675</v>
      </c>
      <c r="V113">
        <v>43.824045620305682</v>
      </c>
      <c r="W113">
        <v>29.358580382750013</v>
      </c>
      <c r="X113">
        <v>45.288149122309065</v>
      </c>
      <c r="Y113">
        <v>6.5430008828032253</v>
      </c>
      <c r="Z113">
        <v>34.645057872619446</v>
      </c>
      <c r="AA113">
        <v>4.1191299844478122</v>
      </c>
      <c r="AB113">
        <v>36.728642226942192</v>
      </c>
      <c r="AD113">
        <v>8.9102716680981686</v>
      </c>
      <c r="AE113">
        <v>16.554416147397948</v>
      </c>
      <c r="AF113">
        <v>15.30008389516545</v>
      </c>
      <c r="AG113">
        <v>22.543795755231809</v>
      </c>
      <c r="AH113">
        <v>4.2185568145384895</v>
      </c>
      <c r="AI113">
        <v>1.9276203237044345</v>
      </c>
      <c r="AK113">
        <v>45.327371143811483</v>
      </c>
    </row>
    <row r="114" spans="1:37" x14ac:dyDescent="0.2">
      <c r="A114">
        <v>113</v>
      </c>
      <c r="B114">
        <v>773</v>
      </c>
      <c r="C114">
        <v>125</v>
      </c>
      <c r="D114">
        <v>0.472102948907902</v>
      </c>
      <c r="E114">
        <v>114.93567006874274</v>
      </c>
      <c r="F114">
        <v>60.901856066441582</v>
      </c>
      <c r="G114">
        <v>71.669736000277311</v>
      </c>
      <c r="H114">
        <v>67.104158360672855</v>
      </c>
      <c r="J114">
        <v>50.757162663777592</v>
      </c>
      <c r="L114">
        <v>4.6503135188673372</v>
      </c>
      <c r="M114">
        <v>15.709619877102192</v>
      </c>
      <c r="N114">
        <v>1.9953484126725136</v>
      </c>
      <c r="O114">
        <v>24.670828625183518</v>
      </c>
      <c r="P114">
        <v>9.8288750598166654</v>
      </c>
      <c r="R114">
        <v>15.432760944181062</v>
      </c>
      <c r="S114">
        <v>40.560606338814125</v>
      </c>
      <c r="U114">
        <v>4.0656454243472355</v>
      </c>
      <c r="V114">
        <v>43.78979978982057</v>
      </c>
      <c r="W114">
        <v>29.158032730060565</v>
      </c>
      <c r="X114">
        <v>45.275812895980941</v>
      </c>
      <c r="Y114">
        <v>6.2848581924536537</v>
      </c>
      <c r="Z114">
        <v>34.189713849426376</v>
      </c>
      <c r="AA114">
        <v>3.8801629390326999</v>
      </c>
      <c r="AB114">
        <v>36.58249037291629</v>
      </c>
      <c r="AD114">
        <v>8.6383656104728441</v>
      </c>
      <c r="AE114">
        <v>16.380806778652826</v>
      </c>
      <c r="AF114">
        <v>15.314147726098282</v>
      </c>
      <c r="AG114">
        <v>22.382815021433224</v>
      </c>
      <c r="AH114">
        <v>3.8354415755224647</v>
      </c>
      <c r="AI114">
        <v>1.9293347539467407</v>
      </c>
      <c r="AK114">
        <v>45.211845809053735</v>
      </c>
    </row>
    <row r="115" spans="1:37" x14ac:dyDescent="0.2">
      <c r="A115">
        <v>114</v>
      </c>
      <c r="B115">
        <v>772</v>
      </c>
      <c r="C115">
        <v>125</v>
      </c>
      <c r="D115">
        <v>0.47153088073482102</v>
      </c>
      <c r="E115">
        <v>114.34781642746626</v>
      </c>
      <c r="F115">
        <v>56.882501196982979</v>
      </c>
      <c r="G115">
        <v>71.050634188750649</v>
      </c>
      <c r="H115">
        <v>66.482395300998704</v>
      </c>
      <c r="J115">
        <v>48.961931224018571</v>
      </c>
      <c r="L115">
        <v>3.5139633566013253</v>
      </c>
      <c r="M115">
        <v>15.696496768843254</v>
      </c>
      <c r="N115">
        <v>1.9972982307216005</v>
      </c>
      <c r="O115">
        <v>20.450405233987283</v>
      </c>
      <c r="P115">
        <v>8.6139315953659406</v>
      </c>
      <c r="R115">
        <v>13.760625260771491</v>
      </c>
      <c r="S115">
        <v>37.717758543930131</v>
      </c>
      <c r="U115">
        <v>4.0975615007686903</v>
      </c>
      <c r="V115">
        <v>43.332471502303058</v>
      </c>
      <c r="W115">
        <v>28.992554232506947</v>
      </c>
      <c r="X115">
        <v>45.409076836228195</v>
      </c>
      <c r="Y115">
        <v>5.0885398283259642</v>
      </c>
      <c r="Z115">
        <v>31.603093953772518</v>
      </c>
      <c r="AA115">
        <v>2.7259940704493566</v>
      </c>
      <c r="AB115">
        <v>35.204764045404808</v>
      </c>
      <c r="AD115">
        <v>7.2002846307456982</v>
      </c>
      <c r="AE115">
        <v>15.2469503911105</v>
      </c>
      <c r="AF115">
        <v>15.299857045422746</v>
      </c>
      <c r="AG115">
        <v>20.990231131402137</v>
      </c>
      <c r="AH115">
        <v>2.030587118899295</v>
      </c>
      <c r="AI115">
        <v>1.9310172784287567</v>
      </c>
      <c r="AK115">
        <v>44.122270966442414</v>
      </c>
    </row>
    <row r="116" spans="1:37" x14ac:dyDescent="0.2">
      <c r="A116">
        <v>115</v>
      </c>
      <c r="B116">
        <v>771</v>
      </c>
      <c r="C116">
        <v>125</v>
      </c>
      <c r="D116">
        <v>0.47095771680314102</v>
      </c>
      <c r="E116">
        <v>114.14009849866517</v>
      </c>
      <c r="F116">
        <v>54.122235301497568</v>
      </c>
      <c r="G116">
        <v>70.749821789245246</v>
      </c>
      <c r="H116">
        <v>66.17893437058072</v>
      </c>
      <c r="J116">
        <v>44.329119482159001</v>
      </c>
      <c r="L116">
        <v>2.0995803185766779</v>
      </c>
      <c r="M116">
        <v>15.680757018432125</v>
      </c>
      <c r="N116">
        <v>1.9992671085683196</v>
      </c>
      <c r="O116">
        <v>14.041314895255988</v>
      </c>
      <c r="P116">
        <v>8.0355933888433331</v>
      </c>
      <c r="R116">
        <v>12.00193481153139</v>
      </c>
      <c r="S116">
        <v>33.363332836353997</v>
      </c>
      <c r="U116">
        <v>4.1892721863420244</v>
      </c>
      <c r="V116">
        <v>42.642237353199768</v>
      </c>
      <c r="W116">
        <v>28.827160252560564</v>
      </c>
      <c r="X116">
        <v>45.713150780781689</v>
      </c>
      <c r="Y116">
        <v>3.9440791832833551</v>
      </c>
      <c r="Z116">
        <v>28.752659750082834</v>
      </c>
      <c r="AA116">
        <v>1.1860546079820342</v>
      </c>
      <c r="AB116">
        <v>33.099854340346369</v>
      </c>
      <c r="AD116">
        <v>5.8754204157510888</v>
      </c>
      <c r="AE116">
        <v>13.6569987845748</v>
      </c>
      <c r="AF116">
        <v>15.282969027249345</v>
      </c>
      <c r="AG116">
        <v>18.870485352565129</v>
      </c>
      <c r="AI116">
        <v>1.9327180611806489</v>
      </c>
      <c r="AK116">
        <v>41.231295156534877</v>
      </c>
    </row>
    <row r="117" spans="1:37" x14ac:dyDescent="0.2">
      <c r="A117">
        <v>116</v>
      </c>
      <c r="B117">
        <v>770</v>
      </c>
      <c r="C117">
        <v>125</v>
      </c>
      <c r="D117">
        <v>0.47038345396155901</v>
      </c>
      <c r="E117">
        <v>114.43642197664073</v>
      </c>
      <c r="F117">
        <v>52.954720237811273</v>
      </c>
      <c r="G117">
        <v>70.906381092925685</v>
      </c>
      <c r="H117">
        <v>66.332857880788055</v>
      </c>
      <c r="J117">
        <v>35.752728425512991</v>
      </c>
      <c r="L117">
        <v>1.3718122161953579</v>
      </c>
      <c r="M117">
        <v>15.635597684333202</v>
      </c>
      <c r="N117">
        <v>2.0012673072872897</v>
      </c>
      <c r="O117">
        <v>10.197941659345318</v>
      </c>
      <c r="P117">
        <v>8.3720373054046497</v>
      </c>
      <c r="R117">
        <v>11.247631795570301</v>
      </c>
      <c r="S117">
        <v>30.27947672832989</v>
      </c>
      <c r="U117">
        <v>4.31233347351459</v>
      </c>
      <c r="V117">
        <v>42.090291413430656</v>
      </c>
      <c r="W117">
        <v>28.618398569413863</v>
      </c>
      <c r="X117">
        <v>46.107263464664335</v>
      </c>
      <c r="Y117">
        <v>3.5116487254855198</v>
      </c>
      <c r="Z117">
        <v>25.107217453182514</v>
      </c>
      <c r="AB117">
        <v>30.149257461606364</v>
      </c>
      <c r="AD117">
        <v>4.1530619446870318</v>
      </c>
      <c r="AE117">
        <v>11.279531002949929</v>
      </c>
      <c r="AF117">
        <v>15.236692996528902</v>
      </c>
      <c r="AG117">
        <v>15.90508615550219</v>
      </c>
      <c r="AI117">
        <v>1.9344493614448917</v>
      </c>
      <c r="AK117">
        <v>35.730609285725414</v>
      </c>
    </row>
    <row r="118" spans="1:37" x14ac:dyDescent="0.2">
      <c r="A118">
        <v>117</v>
      </c>
      <c r="B118">
        <v>769</v>
      </c>
      <c r="C118">
        <v>125</v>
      </c>
      <c r="D118">
        <v>0.46980808904668597</v>
      </c>
      <c r="E118">
        <v>114.72985087851275</v>
      </c>
      <c r="F118">
        <v>51.959929337165264</v>
      </c>
      <c r="G118">
        <v>71.065593289929922</v>
      </c>
      <c r="H118">
        <v>66.489447042002354</v>
      </c>
      <c r="J118">
        <v>26.61852922835515</v>
      </c>
      <c r="L118">
        <v>1.3887517797129767</v>
      </c>
      <c r="M118">
        <v>15.488169345411107</v>
      </c>
      <c r="N118">
        <v>2.0032712929424297</v>
      </c>
      <c r="O118">
        <v>9.9083260475971535</v>
      </c>
      <c r="P118">
        <v>8.7137982132015601</v>
      </c>
      <c r="R118">
        <v>11.199577032591126</v>
      </c>
      <c r="S118">
        <v>29.656142233704028</v>
      </c>
      <c r="U118">
        <v>4.3796818392344097</v>
      </c>
      <c r="V118">
        <v>42.02107823157543</v>
      </c>
      <c r="W118">
        <v>28.339550621656404</v>
      </c>
      <c r="X118">
        <v>46.341296728702105</v>
      </c>
      <c r="Y118">
        <v>3.5177174376398188</v>
      </c>
      <c r="Z118">
        <v>21.523637688205444</v>
      </c>
      <c r="AB118">
        <v>27.720834446605835</v>
      </c>
      <c r="AD118">
        <v>2.4535016730507615</v>
      </c>
      <c r="AE118">
        <v>9.0726038109297011</v>
      </c>
      <c r="AF118">
        <v>15.088152003616994</v>
      </c>
      <c r="AG118">
        <v>13.461867049354893</v>
      </c>
      <c r="AI118">
        <v>1.9361836434517454</v>
      </c>
      <c r="AK118">
        <v>29.740801945433166</v>
      </c>
    </row>
    <row r="119" spans="1:37" x14ac:dyDescent="0.2">
      <c r="A119">
        <v>118</v>
      </c>
      <c r="B119">
        <v>768</v>
      </c>
      <c r="C119">
        <v>125</v>
      </c>
      <c r="D119">
        <v>0.46923161888296799</v>
      </c>
      <c r="E119">
        <v>114.9314944659849</v>
      </c>
      <c r="F119">
        <v>51.627718941422586</v>
      </c>
      <c r="G119">
        <v>71.15397753088935</v>
      </c>
      <c r="H119">
        <v>66.575221025139228</v>
      </c>
      <c r="J119">
        <v>20.209610539980432</v>
      </c>
      <c r="L119">
        <v>1.4060666429342346</v>
      </c>
      <c r="M119">
        <v>15.272586945820233</v>
      </c>
      <c r="N119">
        <v>2.0052729691783546</v>
      </c>
      <c r="O119">
        <v>9.6915896899430987</v>
      </c>
      <c r="P119">
        <v>8.9139083390142666</v>
      </c>
      <c r="R119">
        <v>11.109551315204339</v>
      </c>
      <c r="S119">
        <v>29.49228082611025</v>
      </c>
      <c r="U119">
        <v>4.3929079741751726</v>
      </c>
      <c r="V119">
        <v>42.215782859893238</v>
      </c>
      <c r="W119">
        <v>28.021087255978426</v>
      </c>
      <c r="X119">
        <v>46.420080386728863</v>
      </c>
      <c r="Y119">
        <v>3.4355093893610809</v>
      </c>
      <c r="Z119">
        <v>19.618962794606702</v>
      </c>
      <c r="AB119">
        <v>26.627195375392287</v>
      </c>
      <c r="AD119">
        <v>1.5077332790711355</v>
      </c>
      <c r="AE119">
        <v>7.924309737902492</v>
      </c>
      <c r="AF119">
        <v>14.871454901745741</v>
      </c>
      <c r="AG119">
        <v>12.353432023490614</v>
      </c>
      <c r="AI119">
        <v>1.9379148090119356</v>
      </c>
      <c r="AK119">
        <v>25.475761805028814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A5A4E-A0F6-46C8-B23D-0DF7FCC49512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3.88671875" bestFit="1" customWidth="1"/>
    <col min="4" max="4" width="11.21875" bestFit="1" customWidth="1"/>
    <col min="5" max="5" width="5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">
      <c r="A2" t="s">
        <v>2</v>
      </c>
      <c r="B2">
        <v>77.41</v>
      </c>
      <c r="D2" t="s">
        <v>22</v>
      </c>
      <c r="E2">
        <v>600</v>
      </c>
      <c r="G2" t="s">
        <v>31</v>
      </c>
      <c r="H2" t="s">
        <v>33</v>
      </c>
    </row>
    <row r="3" spans="1:8" x14ac:dyDescent="0.2">
      <c r="A3" t="s">
        <v>3</v>
      </c>
      <c r="B3">
        <v>7.0000000000000007E-2</v>
      </c>
      <c r="D3" t="s">
        <v>23</v>
      </c>
      <c r="E3">
        <v>1</v>
      </c>
    </row>
    <row r="4" spans="1:8" x14ac:dyDescent="0.2">
      <c r="A4" t="s">
        <v>4</v>
      </c>
      <c r="B4">
        <v>12.76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0.67485000000000006</v>
      </c>
      <c r="D7" t="s">
        <v>26</v>
      </c>
      <c r="E7">
        <v>25</v>
      </c>
    </row>
    <row r="8" spans="1:8" x14ac:dyDescent="0.2">
      <c r="A8" t="s">
        <v>8</v>
      </c>
      <c r="B8">
        <v>0.01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0.97</v>
      </c>
    </row>
    <row r="13" spans="1:8" x14ac:dyDescent="0.2">
      <c r="A13" t="s">
        <v>13</v>
      </c>
      <c r="B13">
        <v>3.37</v>
      </c>
    </row>
    <row r="14" spans="1:8" x14ac:dyDescent="0.2">
      <c r="A14" t="s">
        <v>14</v>
      </c>
      <c r="B14">
        <v>5.0199999999999996</v>
      </c>
    </row>
    <row r="15" spans="1:8" x14ac:dyDescent="0.2">
      <c r="A15" t="s">
        <v>15</v>
      </c>
      <c r="B15">
        <v>0.02</v>
      </c>
    </row>
    <row r="16" spans="1:8" x14ac:dyDescent="0.2">
      <c r="A16" t="s">
        <v>16</v>
      </c>
      <c r="B16">
        <v>11.043433500000001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2025-06-12T15:44:13Z</dcterms:created>
  <dcterms:modified xsi:type="dcterms:W3CDTF">2025-06-12T15:45:40Z</dcterms:modified>
</cp:coreProperties>
</file>